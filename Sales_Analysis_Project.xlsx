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https://d.docs.live.net/DCEFBA6812231ADE/Documents/"/>
    </mc:Choice>
  </mc:AlternateContent>
  <xr:revisionPtr revIDLastSave="834" documentId="8_{2A5EB3FA-C371-4813-895D-A4FC9935FE28}" xr6:coauthVersionLast="47" xr6:coauthVersionMax="47" xr10:uidLastSave="{F921E86E-CC98-47A5-8FD6-33489FA48962}"/>
  <bookViews>
    <workbookView xWindow="-108" yWindow="-108" windowWidth="23256" windowHeight="12456" firstSheet="6" activeTab="8" xr2:uid="{00000000-000D-0000-FFFF-FFFF00000000}"/>
  </bookViews>
  <sheets>
    <sheet name="retal sales datesheet" sheetId="1" r:id="rId1"/>
    <sheet name="Net Sales by Product Category" sheetId="2" r:id="rId2"/>
    <sheet name="Net Sales by City" sheetId="3" r:id="rId3"/>
    <sheet name="Monthly Net Sales Trend" sheetId="4" r:id="rId4"/>
    <sheet name="gender wise sales" sheetId="5" r:id="rId5"/>
    <sheet name="Age wise sales" sheetId="6" r:id="rId6"/>
    <sheet name="Payment mode wise sale" sheetId="7" r:id="rId7"/>
    <sheet name="Dashboard" sheetId="8" r:id="rId8"/>
    <sheet name="Insights &amp; Recommendations" sheetId="9" r:id="rId9"/>
  </sheets>
  <definedNames>
    <definedName name="Slicer_City">#N/A</definedName>
    <definedName name="Slicer_Months__Order_Date">#N/A</definedName>
    <definedName name="Slicer_Product_Category">#N/A</definedName>
    <definedName name="Slicer_Years__Order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8" l="1"/>
  <c r="D2" i="8"/>
  <c r="B2" i="8"/>
  <c r="A2" i="8"/>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alcChain>
</file>

<file path=xl/sharedStrings.xml><?xml version="1.0" encoding="utf-8"?>
<sst xmlns="http://schemas.openxmlformats.org/spreadsheetml/2006/main" count="12094" uniqueCount="4064">
  <si>
    <t>Transaction ID</t>
  </si>
  <si>
    <t>Order Date</t>
  </si>
  <si>
    <t>Customer ID</t>
  </si>
  <si>
    <t>Gender</t>
  </si>
  <si>
    <t>Age</t>
  </si>
  <si>
    <t>City</t>
  </si>
  <si>
    <t>Product Category</t>
  </si>
  <si>
    <t>Payment Mode</t>
  </si>
  <si>
    <t>Quantity</t>
  </si>
  <si>
    <t>Unit Price</t>
  </si>
  <si>
    <t>Discount %</t>
  </si>
  <si>
    <t>Gross Amount</t>
  </si>
  <si>
    <t>Discount Amount</t>
  </si>
  <si>
    <t>Net Sales</t>
  </si>
  <si>
    <t>TXN000001</t>
  </si>
  <si>
    <t>TXN000002</t>
  </si>
  <si>
    <t>TXN000003</t>
  </si>
  <si>
    <t>TXN000004</t>
  </si>
  <si>
    <t>TXN000005</t>
  </si>
  <si>
    <t>TXN000006</t>
  </si>
  <si>
    <t>TXN000007</t>
  </si>
  <si>
    <t>TXN000008</t>
  </si>
  <si>
    <t>TXN000009</t>
  </si>
  <si>
    <t>TXN000010</t>
  </si>
  <si>
    <t>TXN000011</t>
  </si>
  <si>
    <t>TXN000012</t>
  </si>
  <si>
    <t>TXN000013</t>
  </si>
  <si>
    <t>TXN000014</t>
  </si>
  <si>
    <t>TXN000015</t>
  </si>
  <si>
    <t>TXN000016</t>
  </si>
  <si>
    <t>TXN000017</t>
  </si>
  <si>
    <t>TXN000018</t>
  </si>
  <si>
    <t>TXN000019</t>
  </si>
  <si>
    <t>TXN000020</t>
  </si>
  <si>
    <t>TXN000021</t>
  </si>
  <si>
    <t>TXN000022</t>
  </si>
  <si>
    <t>TXN000023</t>
  </si>
  <si>
    <t>TXN000024</t>
  </si>
  <si>
    <t>TXN000025</t>
  </si>
  <si>
    <t>TXN000026</t>
  </si>
  <si>
    <t>TXN000027</t>
  </si>
  <si>
    <t>TXN000028</t>
  </si>
  <si>
    <t>TXN000029</t>
  </si>
  <si>
    <t>TXN000030</t>
  </si>
  <si>
    <t>TXN000031</t>
  </si>
  <si>
    <t>TXN000032</t>
  </si>
  <si>
    <t>TXN000033</t>
  </si>
  <si>
    <t>TXN000034</t>
  </si>
  <si>
    <t>TXN000035</t>
  </si>
  <si>
    <t>TXN000036</t>
  </si>
  <si>
    <t>TXN000037</t>
  </si>
  <si>
    <t>TXN000038</t>
  </si>
  <si>
    <t>TXN000039</t>
  </si>
  <si>
    <t>TXN000040</t>
  </si>
  <si>
    <t>TXN000041</t>
  </si>
  <si>
    <t>TXN000042</t>
  </si>
  <si>
    <t>TXN000043</t>
  </si>
  <si>
    <t>TXN000044</t>
  </si>
  <si>
    <t>TXN000045</t>
  </si>
  <si>
    <t>TXN000046</t>
  </si>
  <si>
    <t>TXN000047</t>
  </si>
  <si>
    <t>TXN000048</t>
  </si>
  <si>
    <t>TXN000049</t>
  </si>
  <si>
    <t>TXN000050</t>
  </si>
  <si>
    <t>TXN000051</t>
  </si>
  <si>
    <t>TXN000052</t>
  </si>
  <si>
    <t>TXN000053</t>
  </si>
  <si>
    <t>TXN000054</t>
  </si>
  <si>
    <t>TXN000055</t>
  </si>
  <si>
    <t>TXN000056</t>
  </si>
  <si>
    <t>TXN000057</t>
  </si>
  <si>
    <t>TXN000058</t>
  </si>
  <si>
    <t>TXN000059</t>
  </si>
  <si>
    <t>TXN000060</t>
  </si>
  <si>
    <t>TXN000061</t>
  </si>
  <si>
    <t>TXN000062</t>
  </si>
  <si>
    <t>TXN000063</t>
  </si>
  <si>
    <t>TXN000064</t>
  </si>
  <si>
    <t>TXN000065</t>
  </si>
  <si>
    <t>TXN000066</t>
  </si>
  <si>
    <t>TXN000067</t>
  </si>
  <si>
    <t>TXN000068</t>
  </si>
  <si>
    <t>TXN000069</t>
  </si>
  <si>
    <t>TXN000070</t>
  </si>
  <si>
    <t>TXN000071</t>
  </si>
  <si>
    <t>TXN000072</t>
  </si>
  <si>
    <t>TXN000073</t>
  </si>
  <si>
    <t>TXN000074</t>
  </si>
  <si>
    <t>TXN000075</t>
  </si>
  <si>
    <t>TXN000076</t>
  </si>
  <si>
    <t>TXN000077</t>
  </si>
  <si>
    <t>TXN000078</t>
  </si>
  <si>
    <t>TXN000079</t>
  </si>
  <si>
    <t>TXN000080</t>
  </si>
  <si>
    <t>TXN000081</t>
  </si>
  <si>
    <t>TXN000082</t>
  </si>
  <si>
    <t>TXN000083</t>
  </si>
  <si>
    <t>TXN000084</t>
  </si>
  <si>
    <t>TXN000085</t>
  </si>
  <si>
    <t>TXN000086</t>
  </si>
  <si>
    <t>TXN000087</t>
  </si>
  <si>
    <t>TXN000088</t>
  </si>
  <si>
    <t>TXN000089</t>
  </si>
  <si>
    <t>TXN000090</t>
  </si>
  <si>
    <t>TXN000091</t>
  </si>
  <si>
    <t>TXN000092</t>
  </si>
  <si>
    <t>TXN000093</t>
  </si>
  <si>
    <t>TXN000094</t>
  </si>
  <si>
    <t>TXN000095</t>
  </si>
  <si>
    <t>TXN000096</t>
  </si>
  <si>
    <t>TXN000097</t>
  </si>
  <si>
    <t>TXN000098</t>
  </si>
  <si>
    <t>TXN000099</t>
  </si>
  <si>
    <t>TXN000100</t>
  </si>
  <si>
    <t>TXN000101</t>
  </si>
  <si>
    <t>TXN000102</t>
  </si>
  <si>
    <t>TXN000103</t>
  </si>
  <si>
    <t>TXN000104</t>
  </si>
  <si>
    <t>TXN000105</t>
  </si>
  <si>
    <t>TXN000106</t>
  </si>
  <si>
    <t>TXN000107</t>
  </si>
  <si>
    <t>TXN000108</t>
  </si>
  <si>
    <t>TXN000109</t>
  </si>
  <si>
    <t>TXN000110</t>
  </si>
  <si>
    <t>TXN000111</t>
  </si>
  <si>
    <t>TXN000112</t>
  </si>
  <si>
    <t>TXN000113</t>
  </si>
  <si>
    <t>TXN000114</t>
  </si>
  <si>
    <t>TXN000115</t>
  </si>
  <si>
    <t>TXN000116</t>
  </si>
  <si>
    <t>TXN000117</t>
  </si>
  <si>
    <t>TXN000118</t>
  </si>
  <si>
    <t>TXN000119</t>
  </si>
  <si>
    <t>TXN000120</t>
  </si>
  <si>
    <t>TXN000121</t>
  </si>
  <si>
    <t>TXN000122</t>
  </si>
  <si>
    <t>TXN000123</t>
  </si>
  <si>
    <t>TXN000124</t>
  </si>
  <si>
    <t>TXN000125</t>
  </si>
  <si>
    <t>TXN000126</t>
  </si>
  <si>
    <t>TXN000127</t>
  </si>
  <si>
    <t>TXN000128</t>
  </si>
  <si>
    <t>TXN000129</t>
  </si>
  <si>
    <t>TXN000130</t>
  </si>
  <si>
    <t>TXN000131</t>
  </si>
  <si>
    <t>TXN000132</t>
  </si>
  <si>
    <t>TXN000133</t>
  </si>
  <si>
    <t>TXN000134</t>
  </si>
  <si>
    <t>TXN000135</t>
  </si>
  <si>
    <t>TXN000136</t>
  </si>
  <si>
    <t>TXN000137</t>
  </si>
  <si>
    <t>TXN000138</t>
  </si>
  <si>
    <t>TXN000139</t>
  </si>
  <si>
    <t>TXN000140</t>
  </si>
  <si>
    <t>TXN000141</t>
  </si>
  <si>
    <t>TXN000142</t>
  </si>
  <si>
    <t>TXN000143</t>
  </si>
  <si>
    <t>TXN000144</t>
  </si>
  <si>
    <t>TXN000145</t>
  </si>
  <si>
    <t>TXN000146</t>
  </si>
  <si>
    <t>TXN000147</t>
  </si>
  <si>
    <t>TXN000148</t>
  </si>
  <si>
    <t>TXN000149</t>
  </si>
  <si>
    <t>TXN000150</t>
  </si>
  <si>
    <t>TXN000151</t>
  </si>
  <si>
    <t>TXN000152</t>
  </si>
  <si>
    <t>TXN000153</t>
  </si>
  <si>
    <t>TXN000154</t>
  </si>
  <si>
    <t>TXN000155</t>
  </si>
  <si>
    <t>TXN000156</t>
  </si>
  <si>
    <t>TXN000157</t>
  </si>
  <si>
    <t>TXN000158</t>
  </si>
  <si>
    <t>TXN000159</t>
  </si>
  <si>
    <t>TXN000160</t>
  </si>
  <si>
    <t>TXN000161</t>
  </si>
  <si>
    <t>TXN000162</t>
  </si>
  <si>
    <t>TXN000163</t>
  </si>
  <si>
    <t>TXN000164</t>
  </si>
  <si>
    <t>TXN000165</t>
  </si>
  <si>
    <t>TXN000166</t>
  </si>
  <si>
    <t>TXN000167</t>
  </si>
  <si>
    <t>TXN000168</t>
  </si>
  <si>
    <t>TXN000169</t>
  </si>
  <si>
    <t>TXN000170</t>
  </si>
  <si>
    <t>TXN000171</t>
  </si>
  <si>
    <t>TXN000172</t>
  </si>
  <si>
    <t>TXN000173</t>
  </si>
  <si>
    <t>TXN000174</t>
  </si>
  <si>
    <t>TXN000175</t>
  </si>
  <si>
    <t>TXN000176</t>
  </si>
  <si>
    <t>TXN000177</t>
  </si>
  <si>
    <t>TXN000178</t>
  </si>
  <si>
    <t>TXN000179</t>
  </si>
  <si>
    <t>TXN000180</t>
  </si>
  <si>
    <t>TXN000181</t>
  </si>
  <si>
    <t>TXN000182</t>
  </si>
  <si>
    <t>TXN000183</t>
  </si>
  <si>
    <t>TXN000184</t>
  </si>
  <si>
    <t>TXN000185</t>
  </si>
  <si>
    <t>TXN000186</t>
  </si>
  <si>
    <t>TXN000187</t>
  </si>
  <si>
    <t>TXN000188</t>
  </si>
  <si>
    <t>TXN000189</t>
  </si>
  <si>
    <t>TXN000190</t>
  </si>
  <si>
    <t>TXN000191</t>
  </si>
  <si>
    <t>TXN000192</t>
  </si>
  <si>
    <t>TXN000193</t>
  </si>
  <si>
    <t>TXN000194</t>
  </si>
  <si>
    <t>TXN000195</t>
  </si>
  <si>
    <t>TXN000196</t>
  </si>
  <si>
    <t>TXN000197</t>
  </si>
  <si>
    <t>TXN000198</t>
  </si>
  <si>
    <t>TXN000199</t>
  </si>
  <si>
    <t>TXN000200</t>
  </si>
  <si>
    <t>TXN000201</t>
  </si>
  <si>
    <t>TXN000202</t>
  </si>
  <si>
    <t>TXN000203</t>
  </si>
  <si>
    <t>TXN000204</t>
  </si>
  <si>
    <t>TXN000205</t>
  </si>
  <si>
    <t>TXN000206</t>
  </si>
  <si>
    <t>TXN000207</t>
  </si>
  <si>
    <t>TXN000208</t>
  </si>
  <si>
    <t>TXN000209</t>
  </si>
  <si>
    <t>TXN000210</t>
  </si>
  <si>
    <t>TXN000211</t>
  </si>
  <si>
    <t>TXN000212</t>
  </si>
  <si>
    <t>TXN000213</t>
  </si>
  <si>
    <t>TXN000214</t>
  </si>
  <si>
    <t>TXN000215</t>
  </si>
  <si>
    <t>TXN000216</t>
  </si>
  <si>
    <t>TXN000217</t>
  </si>
  <si>
    <t>TXN000218</t>
  </si>
  <si>
    <t>TXN000219</t>
  </si>
  <si>
    <t>TXN000220</t>
  </si>
  <si>
    <t>TXN000221</t>
  </si>
  <si>
    <t>TXN000222</t>
  </si>
  <si>
    <t>TXN000223</t>
  </si>
  <si>
    <t>TXN000224</t>
  </si>
  <si>
    <t>TXN000225</t>
  </si>
  <si>
    <t>TXN000226</t>
  </si>
  <si>
    <t>TXN000227</t>
  </si>
  <si>
    <t>TXN000228</t>
  </si>
  <si>
    <t>TXN000229</t>
  </si>
  <si>
    <t>TXN000230</t>
  </si>
  <si>
    <t>TXN000231</t>
  </si>
  <si>
    <t>TXN000232</t>
  </si>
  <si>
    <t>TXN000233</t>
  </si>
  <si>
    <t>TXN000234</t>
  </si>
  <si>
    <t>TXN000235</t>
  </si>
  <si>
    <t>TXN000236</t>
  </si>
  <si>
    <t>TXN000237</t>
  </si>
  <si>
    <t>TXN000238</t>
  </si>
  <si>
    <t>TXN000239</t>
  </si>
  <si>
    <t>TXN000240</t>
  </si>
  <si>
    <t>TXN000241</t>
  </si>
  <si>
    <t>TXN000242</t>
  </si>
  <si>
    <t>TXN000243</t>
  </si>
  <si>
    <t>TXN000244</t>
  </si>
  <si>
    <t>TXN000245</t>
  </si>
  <si>
    <t>TXN000246</t>
  </si>
  <si>
    <t>TXN000247</t>
  </si>
  <si>
    <t>TXN000248</t>
  </si>
  <si>
    <t>TXN000249</t>
  </si>
  <si>
    <t>TXN000250</t>
  </si>
  <si>
    <t>TXN000251</t>
  </si>
  <si>
    <t>TXN000252</t>
  </si>
  <si>
    <t>TXN000253</t>
  </si>
  <si>
    <t>TXN000254</t>
  </si>
  <si>
    <t>TXN000255</t>
  </si>
  <si>
    <t>TXN000256</t>
  </si>
  <si>
    <t>TXN000257</t>
  </si>
  <si>
    <t>TXN000258</t>
  </si>
  <si>
    <t>TXN000259</t>
  </si>
  <si>
    <t>TXN000260</t>
  </si>
  <si>
    <t>TXN000261</t>
  </si>
  <si>
    <t>TXN000262</t>
  </si>
  <si>
    <t>TXN000263</t>
  </si>
  <si>
    <t>TXN000264</t>
  </si>
  <si>
    <t>TXN000265</t>
  </si>
  <si>
    <t>TXN000266</t>
  </si>
  <si>
    <t>TXN000267</t>
  </si>
  <si>
    <t>TXN000268</t>
  </si>
  <si>
    <t>TXN000269</t>
  </si>
  <si>
    <t>TXN000270</t>
  </si>
  <si>
    <t>TXN000271</t>
  </si>
  <si>
    <t>TXN000272</t>
  </si>
  <si>
    <t>TXN000273</t>
  </si>
  <si>
    <t>TXN000274</t>
  </si>
  <si>
    <t>TXN000275</t>
  </si>
  <si>
    <t>TXN000276</t>
  </si>
  <si>
    <t>TXN000277</t>
  </si>
  <si>
    <t>TXN000278</t>
  </si>
  <si>
    <t>TXN000279</t>
  </si>
  <si>
    <t>TXN000280</t>
  </si>
  <si>
    <t>TXN000281</t>
  </si>
  <si>
    <t>TXN000282</t>
  </si>
  <si>
    <t>TXN000283</t>
  </si>
  <si>
    <t>TXN000284</t>
  </si>
  <si>
    <t>TXN000285</t>
  </si>
  <si>
    <t>TXN000286</t>
  </si>
  <si>
    <t>TXN000287</t>
  </si>
  <si>
    <t>TXN000288</t>
  </si>
  <si>
    <t>TXN000289</t>
  </si>
  <si>
    <t>TXN000290</t>
  </si>
  <si>
    <t>TXN000291</t>
  </si>
  <si>
    <t>TXN000292</t>
  </si>
  <si>
    <t>TXN000293</t>
  </si>
  <si>
    <t>TXN000294</t>
  </si>
  <si>
    <t>TXN000295</t>
  </si>
  <si>
    <t>TXN000296</t>
  </si>
  <si>
    <t>TXN000297</t>
  </si>
  <si>
    <t>TXN000298</t>
  </si>
  <si>
    <t>TXN000299</t>
  </si>
  <si>
    <t>TXN000300</t>
  </si>
  <si>
    <t>TXN000301</t>
  </si>
  <si>
    <t>TXN000302</t>
  </si>
  <si>
    <t>TXN000303</t>
  </si>
  <si>
    <t>TXN000304</t>
  </si>
  <si>
    <t>TXN000305</t>
  </si>
  <si>
    <t>TXN000306</t>
  </si>
  <si>
    <t>TXN000307</t>
  </si>
  <si>
    <t>TXN000308</t>
  </si>
  <si>
    <t>TXN000309</t>
  </si>
  <si>
    <t>TXN000310</t>
  </si>
  <si>
    <t>TXN000311</t>
  </si>
  <si>
    <t>TXN000312</t>
  </si>
  <si>
    <t>TXN000313</t>
  </si>
  <si>
    <t>TXN000314</t>
  </si>
  <si>
    <t>TXN000315</t>
  </si>
  <si>
    <t>TXN000316</t>
  </si>
  <si>
    <t>TXN000317</t>
  </si>
  <si>
    <t>TXN000318</t>
  </si>
  <si>
    <t>TXN000319</t>
  </si>
  <si>
    <t>TXN000320</t>
  </si>
  <si>
    <t>TXN000321</t>
  </si>
  <si>
    <t>TXN000322</t>
  </si>
  <si>
    <t>TXN000323</t>
  </si>
  <si>
    <t>TXN000324</t>
  </si>
  <si>
    <t>TXN000325</t>
  </si>
  <si>
    <t>TXN000326</t>
  </si>
  <si>
    <t>TXN000327</t>
  </si>
  <si>
    <t>TXN000328</t>
  </si>
  <si>
    <t>TXN000329</t>
  </si>
  <si>
    <t>TXN000330</t>
  </si>
  <si>
    <t>TXN000331</t>
  </si>
  <si>
    <t>TXN000332</t>
  </si>
  <si>
    <t>TXN000333</t>
  </si>
  <si>
    <t>TXN000334</t>
  </si>
  <si>
    <t>TXN000335</t>
  </si>
  <si>
    <t>TXN000336</t>
  </si>
  <si>
    <t>TXN000337</t>
  </si>
  <si>
    <t>TXN000338</t>
  </si>
  <si>
    <t>TXN000339</t>
  </si>
  <si>
    <t>TXN000340</t>
  </si>
  <si>
    <t>TXN000341</t>
  </si>
  <si>
    <t>TXN000342</t>
  </si>
  <si>
    <t>TXN000343</t>
  </si>
  <si>
    <t>TXN000344</t>
  </si>
  <si>
    <t>TXN000345</t>
  </si>
  <si>
    <t>TXN000346</t>
  </si>
  <si>
    <t>TXN000347</t>
  </si>
  <si>
    <t>TXN000348</t>
  </si>
  <si>
    <t>TXN000349</t>
  </si>
  <si>
    <t>TXN000350</t>
  </si>
  <si>
    <t>TXN000351</t>
  </si>
  <si>
    <t>TXN000352</t>
  </si>
  <si>
    <t>TXN000353</t>
  </si>
  <si>
    <t>TXN000354</t>
  </si>
  <si>
    <t>TXN000355</t>
  </si>
  <si>
    <t>TXN000356</t>
  </si>
  <si>
    <t>TXN000357</t>
  </si>
  <si>
    <t>TXN000358</t>
  </si>
  <si>
    <t>TXN000359</t>
  </si>
  <si>
    <t>TXN000360</t>
  </si>
  <si>
    <t>TXN000361</t>
  </si>
  <si>
    <t>TXN000362</t>
  </si>
  <si>
    <t>TXN000363</t>
  </si>
  <si>
    <t>TXN000364</t>
  </si>
  <si>
    <t>TXN000365</t>
  </si>
  <si>
    <t>TXN000366</t>
  </si>
  <si>
    <t>TXN000367</t>
  </si>
  <si>
    <t>TXN000368</t>
  </si>
  <si>
    <t>TXN000369</t>
  </si>
  <si>
    <t>TXN000370</t>
  </si>
  <si>
    <t>TXN000371</t>
  </si>
  <si>
    <t>TXN000372</t>
  </si>
  <si>
    <t>TXN000373</t>
  </si>
  <si>
    <t>TXN000374</t>
  </si>
  <si>
    <t>TXN000375</t>
  </si>
  <si>
    <t>TXN000376</t>
  </si>
  <si>
    <t>TXN000377</t>
  </si>
  <si>
    <t>TXN000378</t>
  </si>
  <si>
    <t>TXN000379</t>
  </si>
  <si>
    <t>TXN000380</t>
  </si>
  <si>
    <t>TXN000381</t>
  </si>
  <si>
    <t>TXN000382</t>
  </si>
  <si>
    <t>TXN000383</t>
  </si>
  <si>
    <t>TXN000384</t>
  </si>
  <si>
    <t>TXN000385</t>
  </si>
  <si>
    <t>TXN000386</t>
  </si>
  <si>
    <t>TXN000387</t>
  </si>
  <si>
    <t>TXN000388</t>
  </si>
  <si>
    <t>TXN000389</t>
  </si>
  <si>
    <t>TXN000390</t>
  </si>
  <si>
    <t>TXN000391</t>
  </si>
  <si>
    <t>TXN000392</t>
  </si>
  <si>
    <t>TXN000393</t>
  </si>
  <si>
    <t>TXN000394</t>
  </si>
  <si>
    <t>TXN000395</t>
  </si>
  <si>
    <t>TXN000396</t>
  </si>
  <si>
    <t>TXN000397</t>
  </si>
  <si>
    <t>TXN000398</t>
  </si>
  <si>
    <t>TXN000399</t>
  </si>
  <si>
    <t>TXN000400</t>
  </si>
  <si>
    <t>TXN000401</t>
  </si>
  <si>
    <t>TXN000402</t>
  </si>
  <si>
    <t>TXN000403</t>
  </si>
  <si>
    <t>TXN000404</t>
  </si>
  <si>
    <t>TXN000405</t>
  </si>
  <si>
    <t>TXN000406</t>
  </si>
  <si>
    <t>TXN000407</t>
  </si>
  <si>
    <t>TXN000408</t>
  </si>
  <si>
    <t>TXN000409</t>
  </si>
  <si>
    <t>TXN000410</t>
  </si>
  <si>
    <t>TXN000411</t>
  </si>
  <si>
    <t>TXN000412</t>
  </si>
  <si>
    <t>TXN000413</t>
  </si>
  <si>
    <t>TXN000414</t>
  </si>
  <si>
    <t>TXN000415</t>
  </si>
  <si>
    <t>TXN000416</t>
  </si>
  <si>
    <t>TXN000417</t>
  </si>
  <si>
    <t>TXN000418</t>
  </si>
  <si>
    <t>TXN000419</t>
  </si>
  <si>
    <t>TXN000420</t>
  </si>
  <si>
    <t>TXN000421</t>
  </si>
  <si>
    <t>TXN000422</t>
  </si>
  <si>
    <t>TXN000423</t>
  </si>
  <si>
    <t>TXN000424</t>
  </si>
  <si>
    <t>TXN000425</t>
  </si>
  <si>
    <t>TXN000426</t>
  </si>
  <si>
    <t>TXN000427</t>
  </si>
  <si>
    <t>TXN000428</t>
  </si>
  <si>
    <t>TXN000429</t>
  </si>
  <si>
    <t>TXN000430</t>
  </si>
  <si>
    <t>TXN000431</t>
  </si>
  <si>
    <t>TXN000432</t>
  </si>
  <si>
    <t>TXN000433</t>
  </si>
  <si>
    <t>TXN000434</t>
  </si>
  <si>
    <t>TXN000435</t>
  </si>
  <si>
    <t>TXN000436</t>
  </si>
  <si>
    <t>TXN000437</t>
  </si>
  <si>
    <t>TXN000438</t>
  </si>
  <si>
    <t>TXN000439</t>
  </si>
  <si>
    <t>TXN000440</t>
  </si>
  <si>
    <t>TXN000441</t>
  </si>
  <si>
    <t>TXN000442</t>
  </si>
  <si>
    <t>TXN000443</t>
  </si>
  <si>
    <t>TXN000444</t>
  </si>
  <si>
    <t>TXN000445</t>
  </si>
  <si>
    <t>TXN000446</t>
  </si>
  <si>
    <t>TXN000447</t>
  </si>
  <si>
    <t>TXN000448</t>
  </si>
  <si>
    <t>TXN000449</t>
  </si>
  <si>
    <t>TXN000450</t>
  </si>
  <si>
    <t>TXN000451</t>
  </si>
  <si>
    <t>TXN000452</t>
  </si>
  <si>
    <t>TXN000453</t>
  </si>
  <si>
    <t>TXN000454</t>
  </si>
  <si>
    <t>TXN000455</t>
  </si>
  <si>
    <t>TXN000456</t>
  </si>
  <si>
    <t>TXN000457</t>
  </si>
  <si>
    <t>TXN000458</t>
  </si>
  <si>
    <t>TXN000459</t>
  </si>
  <si>
    <t>TXN000460</t>
  </si>
  <si>
    <t>TXN000461</t>
  </si>
  <si>
    <t>TXN000462</t>
  </si>
  <si>
    <t>TXN000463</t>
  </si>
  <si>
    <t>TXN000464</t>
  </si>
  <si>
    <t>TXN000465</t>
  </si>
  <si>
    <t>TXN000466</t>
  </si>
  <si>
    <t>TXN000467</t>
  </si>
  <si>
    <t>TXN000468</t>
  </si>
  <si>
    <t>TXN000469</t>
  </si>
  <si>
    <t>TXN000470</t>
  </si>
  <si>
    <t>TXN000471</t>
  </si>
  <si>
    <t>TXN000472</t>
  </si>
  <si>
    <t>TXN000473</t>
  </si>
  <si>
    <t>TXN000474</t>
  </si>
  <si>
    <t>TXN000475</t>
  </si>
  <si>
    <t>TXN000476</t>
  </si>
  <si>
    <t>TXN000477</t>
  </si>
  <si>
    <t>TXN000478</t>
  </si>
  <si>
    <t>TXN000479</t>
  </si>
  <si>
    <t>TXN000480</t>
  </si>
  <si>
    <t>TXN000481</t>
  </si>
  <si>
    <t>TXN000482</t>
  </si>
  <si>
    <t>TXN000483</t>
  </si>
  <si>
    <t>TXN000484</t>
  </si>
  <si>
    <t>TXN000485</t>
  </si>
  <si>
    <t>TXN000486</t>
  </si>
  <si>
    <t>TXN000487</t>
  </si>
  <si>
    <t>TXN000488</t>
  </si>
  <si>
    <t>TXN000489</t>
  </si>
  <si>
    <t>TXN000490</t>
  </si>
  <si>
    <t>TXN000491</t>
  </si>
  <si>
    <t>TXN000492</t>
  </si>
  <si>
    <t>TXN000493</t>
  </si>
  <si>
    <t>TXN000494</t>
  </si>
  <si>
    <t>TXN000495</t>
  </si>
  <si>
    <t>TXN000496</t>
  </si>
  <si>
    <t>TXN000497</t>
  </si>
  <si>
    <t>TXN000498</t>
  </si>
  <si>
    <t>TXN000499</t>
  </si>
  <si>
    <t>TXN000500</t>
  </si>
  <si>
    <t>TXN000501</t>
  </si>
  <si>
    <t>TXN000502</t>
  </si>
  <si>
    <t>TXN000503</t>
  </si>
  <si>
    <t>TXN000504</t>
  </si>
  <si>
    <t>TXN000505</t>
  </si>
  <si>
    <t>TXN000506</t>
  </si>
  <si>
    <t>TXN000507</t>
  </si>
  <si>
    <t>TXN000508</t>
  </si>
  <si>
    <t>TXN000509</t>
  </si>
  <si>
    <t>TXN000510</t>
  </si>
  <si>
    <t>TXN000511</t>
  </si>
  <si>
    <t>TXN000512</t>
  </si>
  <si>
    <t>TXN000513</t>
  </si>
  <si>
    <t>TXN000514</t>
  </si>
  <si>
    <t>TXN000515</t>
  </si>
  <si>
    <t>TXN000516</t>
  </si>
  <si>
    <t>TXN000517</t>
  </si>
  <si>
    <t>TXN000518</t>
  </si>
  <si>
    <t>TXN000519</t>
  </si>
  <si>
    <t>TXN000520</t>
  </si>
  <si>
    <t>TXN000521</t>
  </si>
  <si>
    <t>TXN000522</t>
  </si>
  <si>
    <t>TXN000523</t>
  </si>
  <si>
    <t>TXN000524</t>
  </si>
  <si>
    <t>TXN000525</t>
  </si>
  <si>
    <t>TXN000526</t>
  </si>
  <si>
    <t>TXN000527</t>
  </si>
  <si>
    <t>TXN000528</t>
  </si>
  <si>
    <t>TXN000529</t>
  </si>
  <si>
    <t>TXN000530</t>
  </si>
  <si>
    <t>TXN000531</t>
  </si>
  <si>
    <t>TXN000532</t>
  </si>
  <si>
    <t>TXN000533</t>
  </si>
  <si>
    <t>TXN000534</t>
  </si>
  <si>
    <t>TXN000535</t>
  </si>
  <si>
    <t>TXN000536</t>
  </si>
  <si>
    <t>TXN000537</t>
  </si>
  <si>
    <t>TXN000538</t>
  </si>
  <si>
    <t>TXN000539</t>
  </si>
  <si>
    <t>TXN000540</t>
  </si>
  <si>
    <t>TXN000541</t>
  </si>
  <si>
    <t>TXN000542</t>
  </si>
  <si>
    <t>TXN000543</t>
  </si>
  <si>
    <t>TXN000544</t>
  </si>
  <si>
    <t>TXN000545</t>
  </si>
  <si>
    <t>TXN000546</t>
  </si>
  <si>
    <t>TXN000547</t>
  </si>
  <si>
    <t>TXN000548</t>
  </si>
  <si>
    <t>TXN000549</t>
  </si>
  <si>
    <t>TXN000550</t>
  </si>
  <si>
    <t>TXN000551</t>
  </si>
  <si>
    <t>TXN000552</t>
  </si>
  <si>
    <t>TXN000553</t>
  </si>
  <si>
    <t>TXN000554</t>
  </si>
  <si>
    <t>TXN000555</t>
  </si>
  <si>
    <t>TXN000556</t>
  </si>
  <si>
    <t>TXN000557</t>
  </si>
  <si>
    <t>TXN000558</t>
  </si>
  <si>
    <t>TXN000559</t>
  </si>
  <si>
    <t>TXN000560</t>
  </si>
  <si>
    <t>TXN000561</t>
  </si>
  <si>
    <t>TXN000562</t>
  </si>
  <si>
    <t>TXN000563</t>
  </si>
  <si>
    <t>TXN000564</t>
  </si>
  <si>
    <t>TXN000565</t>
  </si>
  <si>
    <t>TXN000566</t>
  </si>
  <si>
    <t>TXN000567</t>
  </si>
  <si>
    <t>TXN000568</t>
  </si>
  <si>
    <t>TXN000569</t>
  </si>
  <si>
    <t>TXN000570</t>
  </si>
  <si>
    <t>TXN000571</t>
  </si>
  <si>
    <t>TXN000572</t>
  </si>
  <si>
    <t>TXN000573</t>
  </si>
  <si>
    <t>TXN000574</t>
  </si>
  <si>
    <t>TXN000575</t>
  </si>
  <si>
    <t>TXN000576</t>
  </si>
  <si>
    <t>TXN000577</t>
  </si>
  <si>
    <t>TXN000578</t>
  </si>
  <si>
    <t>TXN000579</t>
  </si>
  <si>
    <t>TXN000580</t>
  </si>
  <si>
    <t>TXN000581</t>
  </si>
  <si>
    <t>TXN000582</t>
  </si>
  <si>
    <t>TXN000583</t>
  </si>
  <si>
    <t>TXN000584</t>
  </si>
  <si>
    <t>TXN000585</t>
  </si>
  <si>
    <t>TXN000586</t>
  </si>
  <si>
    <t>TXN000587</t>
  </si>
  <si>
    <t>TXN000588</t>
  </si>
  <si>
    <t>TXN000589</t>
  </si>
  <si>
    <t>TXN000590</t>
  </si>
  <si>
    <t>TXN000591</t>
  </si>
  <si>
    <t>TXN000592</t>
  </si>
  <si>
    <t>TXN000593</t>
  </si>
  <si>
    <t>TXN000594</t>
  </si>
  <si>
    <t>TXN000595</t>
  </si>
  <si>
    <t>TXN000596</t>
  </si>
  <si>
    <t>TXN000597</t>
  </si>
  <si>
    <t>TXN000598</t>
  </si>
  <si>
    <t>TXN000599</t>
  </si>
  <si>
    <t>TXN000600</t>
  </si>
  <si>
    <t>TXN000601</t>
  </si>
  <si>
    <t>TXN000602</t>
  </si>
  <si>
    <t>TXN000603</t>
  </si>
  <si>
    <t>TXN000604</t>
  </si>
  <si>
    <t>TXN000605</t>
  </si>
  <si>
    <t>TXN000606</t>
  </si>
  <si>
    <t>TXN000607</t>
  </si>
  <si>
    <t>TXN000608</t>
  </si>
  <si>
    <t>TXN000609</t>
  </si>
  <si>
    <t>TXN000610</t>
  </si>
  <si>
    <t>TXN000611</t>
  </si>
  <si>
    <t>TXN000612</t>
  </si>
  <si>
    <t>TXN000613</t>
  </si>
  <si>
    <t>TXN000614</t>
  </si>
  <si>
    <t>TXN000615</t>
  </si>
  <si>
    <t>TXN000616</t>
  </si>
  <si>
    <t>TXN000617</t>
  </si>
  <si>
    <t>TXN000618</t>
  </si>
  <si>
    <t>TXN000619</t>
  </si>
  <si>
    <t>TXN000620</t>
  </si>
  <si>
    <t>TXN000621</t>
  </si>
  <si>
    <t>TXN000622</t>
  </si>
  <si>
    <t>TXN000623</t>
  </si>
  <si>
    <t>TXN000624</t>
  </si>
  <si>
    <t>TXN000625</t>
  </si>
  <si>
    <t>TXN000626</t>
  </si>
  <si>
    <t>TXN000627</t>
  </si>
  <si>
    <t>TXN000628</t>
  </si>
  <si>
    <t>TXN000629</t>
  </si>
  <si>
    <t>TXN000630</t>
  </si>
  <si>
    <t>TXN000631</t>
  </si>
  <si>
    <t>TXN000632</t>
  </si>
  <si>
    <t>TXN000633</t>
  </si>
  <si>
    <t>TXN000634</t>
  </si>
  <si>
    <t>TXN000635</t>
  </si>
  <si>
    <t>TXN000636</t>
  </si>
  <si>
    <t>TXN000637</t>
  </si>
  <si>
    <t>TXN000638</t>
  </si>
  <si>
    <t>TXN000639</t>
  </si>
  <si>
    <t>TXN000640</t>
  </si>
  <si>
    <t>TXN000641</t>
  </si>
  <si>
    <t>TXN000642</t>
  </si>
  <si>
    <t>TXN000643</t>
  </si>
  <si>
    <t>TXN000644</t>
  </si>
  <si>
    <t>TXN000645</t>
  </si>
  <si>
    <t>TXN000646</t>
  </si>
  <si>
    <t>TXN000647</t>
  </si>
  <si>
    <t>TXN000648</t>
  </si>
  <si>
    <t>TXN000649</t>
  </si>
  <si>
    <t>TXN000650</t>
  </si>
  <si>
    <t>TXN000651</t>
  </si>
  <si>
    <t>TXN000652</t>
  </si>
  <si>
    <t>TXN000653</t>
  </si>
  <si>
    <t>TXN000654</t>
  </si>
  <si>
    <t>TXN000655</t>
  </si>
  <si>
    <t>TXN000656</t>
  </si>
  <si>
    <t>TXN000657</t>
  </si>
  <si>
    <t>TXN000658</t>
  </si>
  <si>
    <t>TXN000659</t>
  </si>
  <si>
    <t>TXN000660</t>
  </si>
  <si>
    <t>TXN000661</t>
  </si>
  <si>
    <t>TXN000662</t>
  </si>
  <si>
    <t>TXN000663</t>
  </si>
  <si>
    <t>TXN000664</t>
  </si>
  <si>
    <t>TXN000665</t>
  </si>
  <si>
    <t>TXN000666</t>
  </si>
  <si>
    <t>TXN000667</t>
  </si>
  <si>
    <t>TXN000668</t>
  </si>
  <si>
    <t>TXN000669</t>
  </si>
  <si>
    <t>TXN000670</t>
  </si>
  <si>
    <t>TXN000671</t>
  </si>
  <si>
    <t>TXN000672</t>
  </si>
  <si>
    <t>TXN000673</t>
  </si>
  <si>
    <t>TXN000674</t>
  </si>
  <si>
    <t>TXN000675</t>
  </si>
  <si>
    <t>TXN000676</t>
  </si>
  <si>
    <t>TXN000677</t>
  </si>
  <si>
    <t>TXN000678</t>
  </si>
  <si>
    <t>TXN000679</t>
  </si>
  <si>
    <t>TXN000680</t>
  </si>
  <si>
    <t>TXN000681</t>
  </si>
  <si>
    <t>TXN000682</t>
  </si>
  <si>
    <t>TXN000683</t>
  </si>
  <si>
    <t>TXN000684</t>
  </si>
  <si>
    <t>TXN000685</t>
  </si>
  <si>
    <t>TXN000686</t>
  </si>
  <si>
    <t>TXN000687</t>
  </si>
  <si>
    <t>TXN000688</t>
  </si>
  <si>
    <t>TXN000689</t>
  </si>
  <si>
    <t>TXN000690</t>
  </si>
  <si>
    <t>TXN000691</t>
  </si>
  <si>
    <t>TXN000692</t>
  </si>
  <si>
    <t>TXN000693</t>
  </si>
  <si>
    <t>TXN000694</t>
  </si>
  <si>
    <t>TXN000695</t>
  </si>
  <si>
    <t>TXN000696</t>
  </si>
  <si>
    <t>TXN000697</t>
  </si>
  <si>
    <t>TXN000698</t>
  </si>
  <si>
    <t>TXN000699</t>
  </si>
  <si>
    <t>TXN000700</t>
  </si>
  <si>
    <t>TXN000701</t>
  </si>
  <si>
    <t>TXN000702</t>
  </si>
  <si>
    <t>TXN000703</t>
  </si>
  <si>
    <t>TXN000704</t>
  </si>
  <si>
    <t>TXN000705</t>
  </si>
  <si>
    <t>TXN000706</t>
  </si>
  <si>
    <t>TXN000707</t>
  </si>
  <si>
    <t>TXN000708</t>
  </si>
  <si>
    <t>TXN000709</t>
  </si>
  <si>
    <t>TXN000710</t>
  </si>
  <si>
    <t>TXN000711</t>
  </si>
  <si>
    <t>TXN000712</t>
  </si>
  <si>
    <t>TXN000713</t>
  </si>
  <si>
    <t>TXN000714</t>
  </si>
  <si>
    <t>TXN000715</t>
  </si>
  <si>
    <t>TXN000716</t>
  </si>
  <si>
    <t>TXN000717</t>
  </si>
  <si>
    <t>TXN000718</t>
  </si>
  <si>
    <t>TXN000719</t>
  </si>
  <si>
    <t>TXN000720</t>
  </si>
  <si>
    <t>TXN000721</t>
  </si>
  <si>
    <t>TXN000722</t>
  </si>
  <si>
    <t>TXN000723</t>
  </si>
  <si>
    <t>TXN000724</t>
  </si>
  <si>
    <t>TXN000725</t>
  </si>
  <si>
    <t>TXN000726</t>
  </si>
  <si>
    <t>TXN000727</t>
  </si>
  <si>
    <t>TXN000728</t>
  </si>
  <si>
    <t>TXN000729</t>
  </si>
  <si>
    <t>TXN000730</t>
  </si>
  <si>
    <t>TXN000731</t>
  </si>
  <si>
    <t>TXN000732</t>
  </si>
  <si>
    <t>TXN000733</t>
  </si>
  <si>
    <t>TXN000734</t>
  </si>
  <si>
    <t>TXN000735</t>
  </si>
  <si>
    <t>TXN000736</t>
  </si>
  <si>
    <t>TXN000737</t>
  </si>
  <si>
    <t>TXN000738</t>
  </si>
  <si>
    <t>TXN000739</t>
  </si>
  <si>
    <t>TXN000740</t>
  </si>
  <si>
    <t>TXN000741</t>
  </si>
  <si>
    <t>TXN000742</t>
  </si>
  <si>
    <t>TXN000743</t>
  </si>
  <si>
    <t>TXN000744</t>
  </si>
  <si>
    <t>TXN000745</t>
  </si>
  <si>
    <t>TXN000746</t>
  </si>
  <si>
    <t>TXN000747</t>
  </si>
  <si>
    <t>TXN000748</t>
  </si>
  <si>
    <t>TXN000749</t>
  </si>
  <si>
    <t>TXN000750</t>
  </si>
  <si>
    <t>TXN000751</t>
  </si>
  <si>
    <t>TXN000752</t>
  </si>
  <si>
    <t>TXN000753</t>
  </si>
  <si>
    <t>TXN000754</t>
  </si>
  <si>
    <t>TXN000755</t>
  </si>
  <si>
    <t>TXN000756</t>
  </si>
  <si>
    <t>TXN000757</t>
  </si>
  <si>
    <t>TXN000758</t>
  </si>
  <si>
    <t>TXN000759</t>
  </si>
  <si>
    <t>TXN000760</t>
  </si>
  <si>
    <t>TXN000761</t>
  </si>
  <si>
    <t>TXN000762</t>
  </si>
  <si>
    <t>TXN000763</t>
  </si>
  <si>
    <t>TXN000764</t>
  </si>
  <si>
    <t>TXN000765</t>
  </si>
  <si>
    <t>TXN000766</t>
  </si>
  <si>
    <t>TXN000767</t>
  </si>
  <si>
    <t>TXN000768</t>
  </si>
  <si>
    <t>TXN000769</t>
  </si>
  <si>
    <t>TXN000770</t>
  </si>
  <si>
    <t>TXN000771</t>
  </si>
  <si>
    <t>TXN000772</t>
  </si>
  <si>
    <t>TXN000773</t>
  </si>
  <si>
    <t>TXN000774</t>
  </si>
  <si>
    <t>TXN000775</t>
  </si>
  <si>
    <t>TXN000776</t>
  </si>
  <si>
    <t>TXN000777</t>
  </si>
  <si>
    <t>TXN000778</t>
  </si>
  <si>
    <t>TXN000779</t>
  </si>
  <si>
    <t>TXN000780</t>
  </si>
  <si>
    <t>TXN000781</t>
  </si>
  <si>
    <t>TXN000782</t>
  </si>
  <si>
    <t>TXN000783</t>
  </si>
  <si>
    <t>TXN000784</t>
  </si>
  <si>
    <t>TXN000785</t>
  </si>
  <si>
    <t>TXN000786</t>
  </si>
  <si>
    <t>TXN000787</t>
  </si>
  <si>
    <t>TXN000788</t>
  </si>
  <si>
    <t>TXN000789</t>
  </si>
  <si>
    <t>TXN000790</t>
  </si>
  <si>
    <t>TXN000791</t>
  </si>
  <si>
    <t>TXN000792</t>
  </si>
  <si>
    <t>TXN000793</t>
  </si>
  <si>
    <t>TXN000794</t>
  </si>
  <si>
    <t>TXN000795</t>
  </si>
  <si>
    <t>TXN000796</t>
  </si>
  <si>
    <t>TXN000797</t>
  </si>
  <si>
    <t>TXN000798</t>
  </si>
  <si>
    <t>TXN000799</t>
  </si>
  <si>
    <t>TXN000800</t>
  </si>
  <si>
    <t>TXN000801</t>
  </si>
  <si>
    <t>TXN000802</t>
  </si>
  <si>
    <t>TXN000803</t>
  </si>
  <si>
    <t>TXN000804</t>
  </si>
  <si>
    <t>TXN000805</t>
  </si>
  <si>
    <t>TXN000806</t>
  </si>
  <si>
    <t>TXN000807</t>
  </si>
  <si>
    <t>TXN000808</t>
  </si>
  <si>
    <t>TXN000809</t>
  </si>
  <si>
    <t>TXN000810</t>
  </si>
  <si>
    <t>TXN000811</t>
  </si>
  <si>
    <t>TXN000812</t>
  </si>
  <si>
    <t>TXN000813</t>
  </si>
  <si>
    <t>TXN000814</t>
  </si>
  <si>
    <t>TXN000815</t>
  </si>
  <si>
    <t>TXN000816</t>
  </si>
  <si>
    <t>TXN000817</t>
  </si>
  <si>
    <t>TXN000818</t>
  </si>
  <si>
    <t>TXN000819</t>
  </si>
  <si>
    <t>TXN000820</t>
  </si>
  <si>
    <t>TXN000821</t>
  </si>
  <si>
    <t>TXN000822</t>
  </si>
  <si>
    <t>TXN000823</t>
  </si>
  <si>
    <t>TXN000824</t>
  </si>
  <si>
    <t>TXN000825</t>
  </si>
  <si>
    <t>TXN000826</t>
  </si>
  <si>
    <t>TXN000827</t>
  </si>
  <si>
    <t>TXN000828</t>
  </si>
  <si>
    <t>TXN000829</t>
  </si>
  <si>
    <t>TXN000830</t>
  </si>
  <si>
    <t>TXN000831</t>
  </si>
  <si>
    <t>TXN000832</t>
  </si>
  <si>
    <t>TXN000833</t>
  </si>
  <si>
    <t>TXN000834</t>
  </si>
  <si>
    <t>TXN000835</t>
  </si>
  <si>
    <t>TXN000836</t>
  </si>
  <si>
    <t>TXN000837</t>
  </si>
  <si>
    <t>TXN000838</t>
  </si>
  <si>
    <t>TXN000839</t>
  </si>
  <si>
    <t>TXN000840</t>
  </si>
  <si>
    <t>TXN000841</t>
  </si>
  <si>
    <t>TXN000842</t>
  </si>
  <si>
    <t>TXN000843</t>
  </si>
  <si>
    <t>TXN000844</t>
  </si>
  <si>
    <t>TXN000845</t>
  </si>
  <si>
    <t>TXN000846</t>
  </si>
  <si>
    <t>TXN000847</t>
  </si>
  <si>
    <t>TXN000848</t>
  </si>
  <si>
    <t>TXN000849</t>
  </si>
  <si>
    <t>TXN000850</t>
  </si>
  <si>
    <t>TXN000851</t>
  </si>
  <si>
    <t>TXN000852</t>
  </si>
  <si>
    <t>TXN000853</t>
  </si>
  <si>
    <t>TXN000854</t>
  </si>
  <si>
    <t>TXN000855</t>
  </si>
  <si>
    <t>TXN000856</t>
  </si>
  <si>
    <t>TXN000857</t>
  </si>
  <si>
    <t>TXN000858</t>
  </si>
  <si>
    <t>TXN000859</t>
  </si>
  <si>
    <t>TXN000860</t>
  </si>
  <si>
    <t>TXN000861</t>
  </si>
  <si>
    <t>TXN000862</t>
  </si>
  <si>
    <t>TXN000863</t>
  </si>
  <si>
    <t>TXN000864</t>
  </si>
  <si>
    <t>TXN000865</t>
  </si>
  <si>
    <t>TXN000866</t>
  </si>
  <si>
    <t>TXN000867</t>
  </si>
  <si>
    <t>TXN000868</t>
  </si>
  <si>
    <t>TXN000869</t>
  </si>
  <si>
    <t>TXN000870</t>
  </si>
  <si>
    <t>TXN000871</t>
  </si>
  <si>
    <t>TXN000872</t>
  </si>
  <si>
    <t>TXN000873</t>
  </si>
  <si>
    <t>TXN000874</t>
  </si>
  <si>
    <t>TXN000875</t>
  </si>
  <si>
    <t>TXN000876</t>
  </si>
  <si>
    <t>TXN000877</t>
  </si>
  <si>
    <t>TXN000878</t>
  </si>
  <si>
    <t>TXN000879</t>
  </si>
  <si>
    <t>TXN000880</t>
  </si>
  <si>
    <t>TXN000881</t>
  </si>
  <si>
    <t>TXN000882</t>
  </si>
  <si>
    <t>TXN000883</t>
  </si>
  <si>
    <t>TXN000884</t>
  </si>
  <si>
    <t>TXN000885</t>
  </si>
  <si>
    <t>TXN000886</t>
  </si>
  <si>
    <t>TXN000887</t>
  </si>
  <si>
    <t>TXN000888</t>
  </si>
  <si>
    <t>TXN000889</t>
  </si>
  <si>
    <t>TXN000890</t>
  </si>
  <si>
    <t>TXN000891</t>
  </si>
  <si>
    <t>TXN000892</t>
  </si>
  <si>
    <t>TXN000893</t>
  </si>
  <si>
    <t>TXN000894</t>
  </si>
  <si>
    <t>TXN000895</t>
  </si>
  <si>
    <t>TXN000896</t>
  </si>
  <si>
    <t>TXN000897</t>
  </si>
  <si>
    <t>TXN000898</t>
  </si>
  <si>
    <t>TXN000899</t>
  </si>
  <si>
    <t>TXN000900</t>
  </si>
  <si>
    <t>TXN000901</t>
  </si>
  <si>
    <t>TXN000902</t>
  </si>
  <si>
    <t>TXN000903</t>
  </si>
  <si>
    <t>TXN000904</t>
  </si>
  <si>
    <t>TXN000905</t>
  </si>
  <si>
    <t>TXN000906</t>
  </si>
  <si>
    <t>TXN000907</t>
  </si>
  <si>
    <t>TXN000908</t>
  </si>
  <si>
    <t>TXN000909</t>
  </si>
  <si>
    <t>TXN000910</t>
  </si>
  <si>
    <t>TXN000911</t>
  </si>
  <si>
    <t>TXN000912</t>
  </si>
  <si>
    <t>TXN000913</t>
  </si>
  <si>
    <t>TXN000914</t>
  </si>
  <si>
    <t>TXN000915</t>
  </si>
  <si>
    <t>TXN000916</t>
  </si>
  <si>
    <t>TXN000917</t>
  </si>
  <si>
    <t>TXN000918</t>
  </si>
  <si>
    <t>TXN000919</t>
  </si>
  <si>
    <t>TXN000920</t>
  </si>
  <si>
    <t>TXN000921</t>
  </si>
  <si>
    <t>TXN000922</t>
  </si>
  <si>
    <t>TXN000923</t>
  </si>
  <si>
    <t>TXN000924</t>
  </si>
  <si>
    <t>TXN000925</t>
  </si>
  <si>
    <t>TXN000926</t>
  </si>
  <si>
    <t>TXN000927</t>
  </si>
  <si>
    <t>TXN000928</t>
  </si>
  <si>
    <t>TXN000929</t>
  </si>
  <si>
    <t>TXN000930</t>
  </si>
  <si>
    <t>TXN000931</t>
  </si>
  <si>
    <t>TXN000932</t>
  </si>
  <si>
    <t>TXN000933</t>
  </si>
  <si>
    <t>TXN000934</t>
  </si>
  <si>
    <t>TXN000935</t>
  </si>
  <si>
    <t>TXN000936</t>
  </si>
  <si>
    <t>TXN000937</t>
  </si>
  <si>
    <t>TXN000938</t>
  </si>
  <si>
    <t>TXN000939</t>
  </si>
  <si>
    <t>TXN000940</t>
  </si>
  <si>
    <t>TXN000941</t>
  </si>
  <si>
    <t>TXN000942</t>
  </si>
  <si>
    <t>TXN000943</t>
  </si>
  <si>
    <t>TXN000944</t>
  </si>
  <si>
    <t>TXN000945</t>
  </si>
  <si>
    <t>TXN000946</t>
  </si>
  <si>
    <t>TXN000947</t>
  </si>
  <si>
    <t>TXN000948</t>
  </si>
  <si>
    <t>TXN000949</t>
  </si>
  <si>
    <t>TXN000950</t>
  </si>
  <si>
    <t>TXN000951</t>
  </si>
  <si>
    <t>TXN000952</t>
  </si>
  <si>
    <t>TXN000953</t>
  </si>
  <si>
    <t>TXN000954</t>
  </si>
  <si>
    <t>TXN000955</t>
  </si>
  <si>
    <t>TXN000956</t>
  </si>
  <si>
    <t>TXN000957</t>
  </si>
  <si>
    <t>TXN000958</t>
  </si>
  <si>
    <t>TXN000959</t>
  </si>
  <si>
    <t>TXN000960</t>
  </si>
  <si>
    <t>TXN000961</t>
  </si>
  <si>
    <t>TXN000962</t>
  </si>
  <si>
    <t>TXN000963</t>
  </si>
  <si>
    <t>TXN000964</t>
  </si>
  <si>
    <t>TXN000965</t>
  </si>
  <si>
    <t>TXN000966</t>
  </si>
  <si>
    <t>TXN000967</t>
  </si>
  <si>
    <t>TXN000968</t>
  </si>
  <si>
    <t>TXN000969</t>
  </si>
  <si>
    <t>TXN000970</t>
  </si>
  <si>
    <t>TXN000971</t>
  </si>
  <si>
    <t>TXN000972</t>
  </si>
  <si>
    <t>TXN000973</t>
  </si>
  <si>
    <t>TXN000974</t>
  </si>
  <si>
    <t>TXN000975</t>
  </si>
  <si>
    <t>TXN000976</t>
  </si>
  <si>
    <t>TXN000977</t>
  </si>
  <si>
    <t>TXN000978</t>
  </si>
  <si>
    <t>TXN000979</t>
  </si>
  <si>
    <t>TXN000980</t>
  </si>
  <si>
    <t>TXN000981</t>
  </si>
  <si>
    <t>TXN000982</t>
  </si>
  <si>
    <t>TXN000983</t>
  </si>
  <si>
    <t>TXN000984</t>
  </si>
  <si>
    <t>TXN000985</t>
  </si>
  <si>
    <t>TXN000986</t>
  </si>
  <si>
    <t>TXN000987</t>
  </si>
  <si>
    <t>TXN000988</t>
  </si>
  <si>
    <t>TXN000989</t>
  </si>
  <si>
    <t>TXN000990</t>
  </si>
  <si>
    <t>TXN000991</t>
  </si>
  <si>
    <t>TXN000992</t>
  </si>
  <si>
    <t>TXN000993</t>
  </si>
  <si>
    <t>TXN000994</t>
  </si>
  <si>
    <t>TXN000995</t>
  </si>
  <si>
    <t>TXN000996</t>
  </si>
  <si>
    <t>TXN000997</t>
  </si>
  <si>
    <t>TXN000998</t>
  </si>
  <si>
    <t>TXN000999</t>
  </si>
  <si>
    <t>TXN001000</t>
  </si>
  <si>
    <t>TXN001001</t>
  </si>
  <si>
    <t>TXN001002</t>
  </si>
  <si>
    <t>TXN001003</t>
  </si>
  <si>
    <t>TXN001004</t>
  </si>
  <si>
    <t>TXN001005</t>
  </si>
  <si>
    <t>TXN001006</t>
  </si>
  <si>
    <t>TXN001007</t>
  </si>
  <si>
    <t>TXN001008</t>
  </si>
  <si>
    <t>TXN001009</t>
  </si>
  <si>
    <t>TXN001010</t>
  </si>
  <si>
    <t>TXN001011</t>
  </si>
  <si>
    <t>TXN001012</t>
  </si>
  <si>
    <t>TXN001013</t>
  </si>
  <si>
    <t>TXN001014</t>
  </si>
  <si>
    <t>TXN001015</t>
  </si>
  <si>
    <t>TXN001016</t>
  </si>
  <si>
    <t>TXN001017</t>
  </si>
  <si>
    <t>TXN001018</t>
  </si>
  <si>
    <t>TXN001019</t>
  </si>
  <si>
    <t>TXN001020</t>
  </si>
  <si>
    <t>TXN001021</t>
  </si>
  <si>
    <t>TXN001022</t>
  </si>
  <si>
    <t>TXN001023</t>
  </si>
  <si>
    <t>TXN001024</t>
  </si>
  <si>
    <t>TXN001025</t>
  </si>
  <si>
    <t>TXN001026</t>
  </si>
  <si>
    <t>TXN001027</t>
  </si>
  <si>
    <t>TXN001028</t>
  </si>
  <si>
    <t>TXN001029</t>
  </si>
  <si>
    <t>TXN001030</t>
  </si>
  <si>
    <t>TXN001031</t>
  </si>
  <si>
    <t>TXN001032</t>
  </si>
  <si>
    <t>TXN001033</t>
  </si>
  <si>
    <t>TXN001034</t>
  </si>
  <si>
    <t>TXN001035</t>
  </si>
  <si>
    <t>TXN001036</t>
  </si>
  <si>
    <t>TXN001037</t>
  </si>
  <si>
    <t>TXN001038</t>
  </si>
  <si>
    <t>TXN001039</t>
  </si>
  <si>
    <t>TXN001040</t>
  </si>
  <si>
    <t>TXN001041</t>
  </si>
  <si>
    <t>TXN001042</t>
  </si>
  <si>
    <t>TXN001043</t>
  </si>
  <si>
    <t>TXN001044</t>
  </si>
  <si>
    <t>TXN001045</t>
  </si>
  <si>
    <t>TXN001046</t>
  </si>
  <si>
    <t>TXN001047</t>
  </si>
  <si>
    <t>TXN001048</t>
  </si>
  <si>
    <t>TXN001049</t>
  </si>
  <si>
    <t>TXN001050</t>
  </si>
  <si>
    <t>TXN001051</t>
  </si>
  <si>
    <t>TXN001052</t>
  </si>
  <si>
    <t>TXN001053</t>
  </si>
  <si>
    <t>TXN001054</t>
  </si>
  <si>
    <t>TXN001055</t>
  </si>
  <si>
    <t>TXN001056</t>
  </si>
  <si>
    <t>TXN001057</t>
  </si>
  <si>
    <t>TXN001058</t>
  </si>
  <si>
    <t>TXN001059</t>
  </si>
  <si>
    <t>TXN001060</t>
  </si>
  <si>
    <t>TXN001061</t>
  </si>
  <si>
    <t>TXN001062</t>
  </si>
  <si>
    <t>TXN001063</t>
  </si>
  <si>
    <t>TXN001064</t>
  </si>
  <si>
    <t>TXN001065</t>
  </si>
  <si>
    <t>TXN001066</t>
  </si>
  <si>
    <t>TXN001067</t>
  </si>
  <si>
    <t>TXN001068</t>
  </si>
  <si>
    <t>TXN001069</t>
  </si>
  <si>
    <t>TXN001070</t>
  </si>
  <si>
    <t>TXN001071</t>
  </si>
  <si>
    <t>TXN001072</t>
  </si>
  <si>
    <t>TXN001073</t>
  </si>
  <si>
    <t>TXN001074</t>
  </si>
  <si>
    <t>TXN001075</t>
  </si>
  <si>
    <t>TXN001076</t>
  </si>
  <si>
    <t>TXN001077</t>
  </si>
  <si>
    <t>TXN001078</t>
  </si>
  <si>
    <t>TXN001079</t>
  </si>
  <si>
    <t>TXN001080</t>
  </si>
  <si>
    <t>TXN001081</t>
  </si>
  <si>
    <t>TXN001082</t>
  </si>
  <si>
    <t>TXN001083</t>
  </si>
  <si>
    <t>TXN001084</t>
  </si>
  <si>
    <t>TXN001085</t>
  </si>
  <si>
    <t>TXN001086</t>
  </si>
  <si>
    <t>TXN001087</t>
  </si>
  <si>
    <t>TXN001088</t>
  </si>
  <si>
    <t>TXN001089</t>
  </si>
  <si>
    <t>TXN001090</t>
  </si>
  <si>
    <t>TXN001091</t>
  </si>
  <si>
    <t>TXN001092</t>
  </si>
  <si>
    <t>TXN001093</t>
  </si>
  <si>
    <t>TXN001094</t>
  </si>
  <si>
    <t>TXN001095</t>
  </si>
  <si>
    <t>TXN001096</t>
  </si>
  <si>
    <t>TXN001097</t>
  </si>
  <si>
    <t>TXN001098</t>
  </si>
  <si>
    <t>TXN001099</t>
  </si>
  <si>
    <t>TXN001100</t>
  </si>
  <si>
    <t>TXN001101</t>
  </si>
  <si>
    <t>TXN001102</t>
  </si>
  <si>
    <t>TXN001103</t>
  </si>
  <si>
    <t>TXN001104</t>
  </si>
  <si>
    <t>TXN001105</t>
  </si>
  <si>
    <t>TXN001106</t>
  </si>
  <si>
    <t>TXN001107</t>
  </si>
  <si>
    <t>TXN001108</t>
  </si>
  <si>
    <t>TXN001109</t>
  </si>
  <si>
    <t>TXN001110</t>
  </si>
  <si>
    <t>TXN001111</t>
  </si>
  <si>
    <t>TXN001112</t>
  </si>
  <si>
    <t>TXN001113</t>
  </si>
  <si>
    <t>TXN001114</t>
  </si>
  <si>
    <t>TXN001115</t>
  </si>
  <si>
    <t>TXN001116</t>
  </si>
  <si>
    <t>TXN001117</t>
  </si>
  <si>
    <t>TXN001118</t>
  </si>
  <si>
    <t>TXN001119</t>
  </si>
  <si>
    <t>TXN001120</t>
  </si>
  <si>
    <t>TXN001121</t>
  </si>
  <si>
    <t>TXN001122</t>
  </si>
  <si>
    <t>TXN001123</t>
  </si>
  <si>
    <t>TXN001124</t>
  </si>
  <si>
    <t>TXN001125</t>
  </si>
  <si>
    <t>TXN001126</t>
  </si>
  <si>
    <t>TXN001127</t>
  </si>
  <si>
    <t>TXN001128</t>
  </si>
  <si>
    <t>TXN001129</t>
  </si>
  <si>
    <t>TXN001130</t>
  </si>
  <si>
    <t>TXN001131</t>
  </si>
  <si>
    <t>TXN001132</t>
  </si>
  <si>
    <t>TXN001133</t>
  </si>
  <si>
    <t>TXN001134</t>
  </si>
  <si>
    <t>TXN001135</t>
  </si>
  <si>
    <t>TXN001136</t>
  </si>
  <si>
    <t>TXN001137</t>
  </si>
  <si>
    <t>TXN001138</t>
  </si>
  <si>
    <t>TXN001139</t>
  </si>
  <si>
    <t>TXN001140</t>
  </si>
  <si>
    <t>TXN001141</t>
  </si>
  <si>
    <t>TXN001142</t>
  </si>
  <si>
    <t>TXN001143</t>
  </si>
  <si>
    <t>TXN001144</t>
  </si>
  <si>
    <t>TXN001145</t>
  </si>
  <si>
    <t>TXN001146</t>
  </si>
  <si>
    <t>TXN001147</t>
  </si>
  <si>
    <t>TXN001148</t>
  </si>
  <si>
    <t>TXN001149</t>
  </si>
  <si>
    <t>TXN001150</t>
  </si>
  <si>
    <t>TXN001151</t>
  </si>
  <si>
    <t>TXN001152</t>
  </si>
  <si>
    <t>TXN001153</t>
  </si>
  <si>
    <t>TXN001154</t>
  </si>
  <si>
    <t>TXN001155</t>
  </si>
  <si>
    <t>TXN001156</t>
  </si>
  <si>
    <t>TXN001157</t>
  </si>
  <si>
    <t>TXN001158</t>
  </si>
  <si>
    <t>TXN001159</t>
  </si>
  <si>
    <t>TXN001160</t>
  </si>
  <si>
    <t>TXN001161</t>
  </si>
  <si>
    <t>TXN001162</t>
  </si>
  <si>
    <t>TXN001163</t>
  </si>
  <si>
    <t>TXN001164</t>
  </si>
  <si>
    <t>TXN001165</t>
  </si>
  <si>
    <t>TXN001166</t>
  </si>
  <si>
    <t>TXN001167</t>
  </si>
  <si>
    <t>TXN001168</t>
  </si>
  <si>
    <t>TXN001169</t>
  </si>
  <si>
    <t>TXN001170</t>
  </si>
  <si>
    <t>TXN001171</t>
  </si>
  <si>
    <t>TXN001172</t>
  </si>
  <si>
    <t>TXN001173</t>
  </si>
  <si>
    <t>TXN001174</t>
  </si>
  <si>
    <t>TXN001175</t>
  </si>
  <si>
    <t>TXN001176</t>
  </si>
  <si>
    <t>TXN001177</t>
  </si>
  <si>
    <t>TXN001178</t>
  </si>
  <si>
    <t>TXN001179</t>
  </si>
  <si>
    <t>TXN001180</t>
  </si>
  <si>
    <t>TXN001181</t>
  </si>
  <si>
    <t>TXN001182</t>
  </si>
  <si>
    <t>TXN001183</t>
  </si>
  <si>
    <t>TXN001184</t>
  </si>
  <si>
    <t>TXN001185</t>
  </si>
  <si>
    <t>TXN001186</t>
  </si>
  <si>
    <t>TXN001187</t>
  </si>
  <si>
    <t>TXN001188</t>
  </si>
  <si>
    <t>TXN001189</t>
  </si>
  <si>
    <t>TXN001190</t>
  </si>
  <si>
    <t>TXN001191</t>
  </si>
  <si>
    <t>TXN001192</t>
  </si>
  <si>
    <t>TXN001193</t>
  </si>
  <si>
    <t>TXN001194</t>
  </si>
  <si>
    <t>TXN001195</t>
  </si>
  <si>
    <t>TXN001196</t>
  </si>
  <si>
    <t>TXN001197</t>
  </si>
  <si>
    <t>TXN001198</t>
  </si>
  <si>
    <t>TXN001199</t>
  </si>
  <si>
    <t>TXN001200</t>
  </si>
  <si>
    <t>TXN001201</t>
  </si>
  <si>
    <t>TXN001202</t>
  </si>
  <si>
    <t>TXN001203</t>
  </si>
  <si>
    <t>TXN001204</t>
  </si>
  <si>
    <t>TXN001205</t>
  </si>
  <si>
    <t>TXN001206</t>
  </si>
  <si>
    <t>TXN001207</t>
  </si>
  <si>
    <t>TXN001208</t>
  </si>
  <si>
    <t>TXN001209</t>
  </si>
  <si>
    <t>TXN001210</t>
  </si>
  <si>
    <t>TXN001211</t>
  </si>
  <si>
    <t>TXN001212</t>
  </si>
  <si>
    <t>TXN001213</t>
  </si>
  <si>
    <t>TXN001214</t>
  </si>
  <si>
    <t>TXN001215</t>
  </si>
  <si>
    <t>TXN001216</t>
  </si>
  <si>
    <t>TXN001217</t>
  </si>
  <si>
    <t>TXN001218</t>
  </si>
  <si>
    <t>TXN001219</t>
  </si>
  <si>
    <t>TXN001220</t>
  </si>
  <si>
    <t>TXN001221</t>
  </si>
  <si>
    <t>TXN001222</t>
  </si>
  <si>
    <t>TXN001223</t>
  </si>
  <si>
    <t>TXN001224</t>
  </si>
  <si>
    <t>TXN001225</t>
  </si>
  <si>
    <t>TXN001226</t>
  </si>
  <si>
    <t>TXN001227</t>
  </si>
  <si>
    <t>TXN001228</t>
  </si>
  <si>
    <t>TXN001229</t>
  </si>
  <si>
    <t>TXN001230</t>
  </si>
  <si>
    <t>TXN001231</t>
  </si>
  <si>
    <t>TXN001232</t>
  </si>
  <si>
    <t>TXN001233</t>
  </si>
  <si>
    <t>TXN001234</t>
  </si>
  <si>
    <t>TXN001235</t>
  </si>
  <si>
    <t>TXN001236</t>
  </si>
  <si>
    <t>TXN001237</t>
  </si>
  <si>
    <t>TXN001238</t>
  </si>
  <si>
    <t>TXN001239</t>
  </si>
  <si>
    <t>TXN001240</t>
  </si>
  <si>
    <t>TXN001241</t>
  </si>
  <si>
    <t>TXN001242</t>
  </si>
  <si>
    <t>TXN001243</t>
  </si>
  <si>
    <t>TXN001244</t>
  </si>
  <si>
    <t>TXN001245</t>
  </si>
  <si>
    <t>TXN001246</t>
  </si>
  <si>
    <t>TXN001247</t>
  </si>
  <si>
    <t>TXN001248</t>
  </si>
  <si>
    <t>TXN001249</t>
  </si>
  <si>
    <t>TXN001250</t>
  </si>
  <si>
    <t>TXN001251</t>
  </si>
  <si>
    <t>TXN001252</t>
  </si>
  <si>
    <t>TXN001253</t>
  </si>
  <si>
    <t>TXN001254</t>
  </si>
  <si>
    <t>TXN001255</t>
  </si>
  <si>
    <t>TXN001256</t>
  </si>
  <si>
    <t>TXN001257</t>
  </si>
  <si>
    <t>TXN001258</t>
  </si>
  <si>
    <t>TXN001259</t>
  </si>
  <si>
    <t>TXN001260</t>
  </si>
  <si>
    <t>TXN001261</t>
  </si>
  <si>
    <t>TXN001262</t>
  </si>
  <si>
    <t>TXN001263</t>
  </si>
  <si>
    <t>TXN001264</t>
  </si>
  <si>
    <t>TXN001265</t>
  </si>
  <si>
    <t>TXN001266</t>
  </si>
  <si>
    <t>TXN001267</t>
  </si>
  <si>
    <t>TXN001268</t>
  </si>
  <si>
    <t>TXN001269</t>
  </si>
  <si>
    <t>TXN001270</t>
  </si>
  <si>
    <t>TXN001271</t>
  </si>
  <si>
    <t>TXN001272</t>
  </si>
  <si>
    <t>TXN001273</t>
  </si>
  <si>
    <t>TXN001274</t>
  </si>
  <si>
    <t>TXN001275</t>
  </si>
  <si>
    <t>TXN001276</t>
  </si>
  <si>
    <t>TXN001277</t>
  </si>
  <si>
    <t>TXN001278</t>
  </si>
  <si>
    <t>TXN001279</t>
  </si>
  <si>
    <t>TXN001280</t>
  </si>
  <si>
    <t>TXN001281</t>
  </si>
  <si>
    <t>TXN001282</t>
  </si>
  <si>
    <t>TXN001283</t>
  </si>
  <si>
    <t>TXN001284</t>
  </si>
  <si>
    <t>TXN001285</t>
  </si>
  <si>
    <t>TXN001286</t>
  </si>
  <si>
    <t>TXN001287</t>
  </si>
  <si>
    <t>TXN001288</t>
  </si>
  <si>
    <t>TXN001289</t>
  </si>
  <si>
    <t>TXN001290</t>
  </si>
  <si>
    <t>TXN001291</t>
  </si>
  <si>
    <t>TXN001292</t>
  </si>
  <si>
    <t>TXN001293</t>
  </si>
  <si>
    <t>TXN001294</t>
  </si>
  <si>
    <t>TXN001295</t>
  </si>
  <si>
    <t>TXN001296</t>
  </si>
  <si>
    <t>TXN001297</t>
  </si>
  <si>
    <t>TXN001298</t>
  </si>
  <si>
    <t>TXN001299</t>
  </si>
  <si>
    <t>TXN001300</t>
  </si>
  <si>
    <t>TXN001301</t>
  </si>
  <si>
    <t>TXN001302</t>
  </si>
  <si>
    <t>TXN001303</t>
  </si>
  <si>
    <t>TXN001304</t>
  </si>
  <si>
    <t>TXN001305</t>
  </si>
  <si>
    <t>TXN001306</t>
  </si>
  <si>
    <t>TXN001307</t>
  </si>
  <si>
    <t>TXN001308</t>
  </si>
  <si>
    <t>TXN001309</t>
  </si>
  <si>
    <t>TXN001310</t>
  </si>
  <si>
    <t>TXN001311</t>
  </si>
  <si>
    <t>TXN001312</t>
  </si>
  <si>
    <t>TXN001313</t>
  </si>
  <si>
    <t>TXN001314</t>
  </si>
  <si>
    <t>TXN001315</t>
  </si>
  <si>
    <t>TXN001316</t>
  </si>
  <si>
    <t>TXN001317</t>
  </si>
  <si>
    <t>TXN001318</t>
  </si>
  <si>
    <t>TXN001319</t>
  </si>
  <si>
    <t>TXN001320</t>
  </si>
  <si>
    <t>TXN001321</t>
  </si>
  <si>
    <t>TXN001322</t>
  </si>
  <si>
    <t>TXN001323</t>
  </si>
  <si>
    <t>TXN001324</t>
  </si>
  <si>
    <t>TXN001325</t>
  </si>
  <si>
    <t>TXN001326</t>
  </si>
  <si>
    <t>TXN001327</t>
  </si>
  <si>
    <t>TXN001328</t>
  </si>
  <si>
    <t>TXN001329</t>
  </si>
  <si>
    <t>TXN001330</t>
  </si>
  <si>
    <t>TXN001331</t>
  </si>
  <si>
    <t>TXN001332</t>
  </si>
  <si>
    <t>TXN001333</t>
  </si>
  <si>
    <t>TXN001334</t>
  </si>
  <si>
    <t>TXN001335</t>
  </si>
  <si>
    <t>TXN001336</t>
  </si>
  <si>
    <t>TXN001337</t>
  </si>
  <si>
    <t>TXN001338</t>
  </si>
  <si>
    <t>TXN001339</t>
  </si>
  <si>
    <t>TXN001340</t>
  </si>
  <si>
    <t>TXN001341</t>
  </si>
  <si>
    <t>TXN001342</t>
  </si>
  <si>
    <t>TXN001343</t>
  </si>
  <si>
    <t>TXN001344</t>
  </si>
  <si>
    <t>TXN001345</t>
  </si>
  <si>
    <t>TXN001346</t>
  </si>
  <si>
    <t>TXN001347</t>
  </si>
  <si>
    <t>TXN001348</t>
  </si>
  <si>
    <t>TXN001349</t>
  </si>
  <si>
    <t>TXN001350</t>
  </si>
  <si>
    <t>TXN001351</t>
  </si>
  <si>
    <t>TXN001352</t>
  </si>
  <si>
    <t>TXN001353</t>
  </si>
  <si>
    <t>TXN001354</t>
  </si>
  <si>
    <t>TXN001355</t>
  </si>
  <si>
    <t>TXN001356</t>
  </si>
  <si>
    <t>TXN001357</t>
  </si>
  <si>
    <t>TXN001358</t>
  </si>
  <si>
    <t>TXN001359</t>
  </si>
  <si>
    <t>TXN001360</t>
  </si>
  <si>
    <t>TXN001361</t>
  </si>
  <si>
    <t>TXN001362</t>
  </si>
  <si>
    <t>TXN001363</t>
  </si>
  <si>
    <t>TXN001364</t>
  </si>
  <si>
    <t>TXN001365</t>
  </si>
  <si>
    <t>TXN001366</t>
  </si>
  <si>
    <t>TXN001367</t>
  </si>
  <si>
    <t>TXN001368</t>
  </si>
  <si>
    <t>TXN001369</t>
  </si>
  <si>
    <t>TXN001370</t>
  </si>
  <si>
    <t>TXN001371</t>
  </si>
  <si>
    <t>TXN001372</t>
  </si>
  <si>
    <t>TXN001373</t>
  </si>
  <si>
    <t>TXN001374</t>
  </si>
  <si>
    <t>TXN001375</t>
  </si>
  <si>
    <t>TXN001376</t>
  </si>
  <si>
    <t>TXN001377</t>
  </si>
  <si>
    <t>TXN001378</t>
  </si>
  <si>
    <t>TXN001379</t>
  </si>
  <si>
    <t>TXN001380</t>
  </si>
  <si>
    <t>TXN001381</t>
  </si>
  <si>
    <t>TXN001382</t>
  </si>
  <si>
    <t>TXN001383</t>
  </si>
  <si>
    <t>TXN001384</t>
  </si>
  <si>
    <t>TXN001385</t>
  </si>
  <si>
    <t>TXN001386</t>
  </si>
  <si>
    <t>TXN001387</t>
  </si>
  <si>
    <t>TXN001388</t>
  </si>
  <si>
    <t>TXN001389</t>
  </si>
  <si>
    <t>TXN001390</t>
  </si>
  <si>
    <t>TXN001391</t>
  </si>
  <si>
    <t>TXN001392</t>
  </si>
  <si>
    <t>TXN001393</t>
  </si>
  <si>
    <t>TXN001394</t>
  </si>
  <si>
    <t>TXN001395</t>
  </si>
  <si>
    <t>TXN001396</t>
  </si>
  <si>
    <t>TXN001397</t>
  </si>
  <si>
    <t>TXN001398</t>
  </si>
  <si>
    <t>TXN001399</t>
  </si>
  <si>
    <t>TXN001400</t>
  </si>
  <si>
    <t>TXN001401</t>
  </si>
  <si>
    <t>TXN001402</t>
  </si>
  <si>
    <t>TXN001403</t>
  </si>
  <si>
    <t>TXN001404</t>
  </si>
  <si>
    <t>TXN001405</t>
  </si>
  <si>
    <t>TXN001406</t>
  </si>
  <si>
    <t>TXN001407</t>
  </si>
  <si>
    <t>TXN001408</t>
  </si>
  <si>
    <t>TXN001409</t>
  </si>
  <si>
    <t>TXN001410</t>
  </si>
  <si>
    <t>TXN001411</t>
  </si>
  <si>
    <t>TXN001412</t>
  </si>
  <si>
    <t>TXN001413</t>
  </si>
  <si>
    <t>TXN001414</t>
  </si>
  <si>
    <t>TXN001415</t>
  </si>
  <si>
    <t>TXN001416</t>
  </si>
  <si>
    <t>TXN001417</t>
  </si>
  <si>
    <t>TXN001418</t>
  </si>
  <si>
    <t>TXN001419</t>
  </si>
  <si>
    <t>TXN001420</t>
  </si>
  <si>
    <t>TXN001421</t>
  </si>
  <si>
    <t>TXN001422</t>
  </si>
  <si>
    <t>TXN001423</t>
  </si>
  <si>
    <t>TXN001424</t>
  </si>
  <si>
    <t>TXN001425</t>
  </si>
  <si>
    <t>TXN001426</t>
  </si>
  <si>
    <t>TXN001427</t>
  </si>
  <si>
    <t>TXN001428</t>
  </si>
  <si>
    <t>TXN001429</t>
  </si>
  <si>
    <t>TXN001430</t>
  </si>
  <si>
    <t>TXN001431</t>
  </si>
  <si>
    <t>TXN001432</t>
  </si>
  <si>
    <t>TXN001433</t>
  </si>
  <si>
    <t>TXN001434</t>
  </si>
  <si>
    <t>TXN001435</t>
  </si>
  <si>
    <t>TXN001436</t>
  </si>
  <si>
    <t>TXN001437</t>
  </si>
  <si>
    <t>TXN001438</t>
  </si>
  <si>
    <t>TXN001439</t>
  </si>
  <si>
    <t>TXN001440</t>
  </si>
  <si>
    <t>TXN001441</t>
  </si>
  <si>
    <t>TXN001442</t>
  </si>
  <si>
    <t>TXN001443</t>
  </si>
  <si>
    <t>TXN001444</t>
  </si>
  <si>
    <t>TXN001445</t>
  </si>
  <si>
    <t>TXN001446</t>
  </si>
  <si>
    <t>TXN001447</t>
  </si>
  <si>
    <t>TXN001448</t>
  </si>
  <si>
    <t>TXN001449</t>
  </si>
  <si>
    <t>TXN001450</t>
  </si>
  <si>
    <t>TXN001451</t>
  </si>
  <si>
    <t>TXN001452</t>
  </si>
  <si>
    <t>TXN001453</t>
  </si>
  <si>
    <t>TXN001454</t>
  </si>
  <si>
    <t>TXN001455</t>
  </si>
  <si>
    <t>TXN001456</t>
  </si>
  <si>
    <t>TXN001457</t>
  </si>
  <si>
    <t>TXN001458</t>
  </si>
  <si>
    <t>TXN001459</t>
  </si>
  <si>
    <t>TXN001460</t>
  </si>
  <si>
    <t>TXN001461</t>
  </si>
  <si>
    <t>TXN001462</t>
  </si>
  <si>
    <t>TXN001463</t>
  </si>
  <si>
    <t>TXN001464</t>
  </si>
  <si>
    <t>TXN001465</t>
  </si>
  <si>
    <t>TXN001466</t>
  </si>
  <si>
    <t>TXN001467</t>
  </si>
  <si>
    <t>TXN001468</t>
  </si>
  <si>
    <t>TXN001469</t>
  </si>
  <si>
    <t>TXN001470</t>
  </si>
  <si>
    <t>TXN001471</t>
  </si>
  <si>
    <t>TXN001472</t>
  </si>
  <si>
    <t>TXN001473</t>
  </si>
  <si>
    <t>TXN001474</t>
  </si>
  <si>
    <t>TXN001475</t>
  </si>
  <si>
    <t>TXN001476</t>
  </si>
  <si>
    <t>TXN001477</t>
  </si>
  <si>
    <t>TXN001478</t>
  </si>
  <si>
    <t>TXN001479</t>
  </si>
  <si>
    <t>TXN001480</t>
  </si>
  <si>
    <t>TXN001481</t>
  </si>
  <si>
    <t>TXN001482</t>
  </si>
  <si>
    <t>TXN001483</t>
  </si>
  <si>
    <t>TXN001484</t>
  </si>
  <si>
    <t>TXN001485</t>
  </si>
  <si>
    <t>TXN001486</t>
  </si>
  <si>
    <t>TXN001487</t>
  </si>
  <si>
    <t>TXN001488</t>
  </si>
  <si>
    <t>TXN001489</t>
  </si>
  <si>
    <t>TXN001490</t>
  </si>
  <si>
    <t>TXN001491</t>
  </si>
  <si>
    <t>TXN001492</t>
  </si>
  <si>
    <t>TXN001493</t>
  </si>
  <si>
    <t>TXN001494</t>
  </si>
  <si>
    <t>TXN001495</t>
  </si>
  <si>
    <t>TXN001496</t>
  </si>
  <si>
    <t>TXN001497</t>
  </si>
  <si>
    <t>TXN001498</t>
  </si>
  <si>
    <t>TXN001499</t>
  </si>
  <si>
    <t>TXN001500</t>
  </si>
  <si>
    <t>TXN001501</t>
  </si>
  <si>
    <t>TXN001502</t>
  </si>
  <si>
    <t>TXN001503</t>
  </si>
  <si>
    <t>TXN001504</t>
  </si>
  <si>
    <t>TXN001505</t>
  </si>
  <si>
    <t>TXN001506</t>
  </si>
  <si>
    <t>TXN001507</t>
  </si>
  <si>
    <t>TXN001508</t>
  </si>
  <si>
    <t>TXN001509</t>
  </si>
  <si>
    <t>TXN001510</t>
  </si>
  <si>
    <t>TXN001511</t>
  </si>
  <si>
    <t>TXN001512</t>
  </si>
  <si>
    <t>TXN001513</t>
  </si>
  <si>
    <t>TXN001514</t>
  </si>
  <si>
    <t>TXN001515</t>
  </si>
  <si>
    <t>TXN001516</t>
  </si>
  <si>
    <t>TXN001517</t>
  </si>
  <si>
    <t>TXN001518</t>
  </si>
  <si>
    <t>TXN001519</t>
  </si>
  <si>
    <t>TXN001520</t>
  </si>
  <si>
    <t>TXN001521</t>
  </si>
  <si>
    <t>TXN001522</t>
  </si>
  <si>
    <t>TXN001523</t>
  </si>
  <si>
    <t>TXN001524</t>
  </si>
  <si>
    <t>TXN001525</t>
  </si>
  <si>
    <t>TXN001526</t>
  </si>
  <si>
    <t>TXN001527</t>
  </si>
  <si>
    <t>TXN001528</t>
  </si>
  <si>
    <t>TXN001529</t>
  </si>
  <si>
    <t>TXN001530</t>
  </si>
  <si>
    <t>TXN001531</t>
  </si>
  <si>
    <t>TXN001532</t>
  </si>
  <si>
    <t>TXN001533</t>
  </si>
  <si>
    <t>TXN001534</t>
  </si>
  <si>
    <t>TXN001535</t>
  </si>
  <si>
    <t>TXN001536</t>
  </si>
  <si>
    <t>TXN001537</t>
  </si>
  <si>
    <t>TXN001538</t>
  </si>
  <si>
    <t>TXN001539</t>
  </si>
  <si>
    <t>TXN001540</t>
  </si>
  <si>
    <t>TXN001541</t>
  </si>
  <si>
    <t>TXN001542</t>
  </si>
  <si>
    <t>TXN001543</t>
  </si>
  <si>
    <t>TXN001544</t>
  </si>
  <si>
    <t>TXN001545</t>
  </si>
  <si>
    <t>TXN001546</t>
  </si>
  <si>
    <t>TXN001547</t>
  </si>
  <si>
    <t>TXN001548</t>
  </si>
  <si>
    <t>TXN001549</t>
  </si>
  <si>
    <t>TXN001550</t>
  </si>
  <si>
    <t>TXN001551</t>
  </si>
  <si>
    <t>TXN001552</t>
  </si>
  <si>
    <t>TXN001553</t>
  </si>
  <si>
    <t>TXN001554</t>
  </si>
  <si>
    <t>TXN001555</t>
  </si>
  <si>
    <t>TXN001556</t>
  </si>
  <si>
    <t>TXN001557</t>
  </si>
  <si>
    <t>TXN001558</t>
  </si>
  <si>
    <t>TXN001559</t>
  </si>
  <si>
    <t>TXN001560</t>
  </si>
  <si>
    <t>TXN001561</t>
  </si>
  <si>
    <t>TXN001562</t>
  </si>
  <si>
    <t>TXN001563</t>
  </si>
  <si>
    <t>TXN001564</t>
  </si>
  <si>
    <t>TXN001565</t>
  </si>
  <si>
    <t>TXN001566</t>
  </si>
  <si>
    <t>TXN001567</t>
  </si>
  <si>
    <t>TXN001568</t>
  </si>
  <si>
    <t>TXN001569</t>
  </si>
  <si>
    <t>TXN001570</t>
  </si>
  <si>
    <t>TXN001571</t>
  </si>
  <si>
    <t>TXN001572</t>
  </si>
  <si>
    <t>TXN001573</t>
  </si>
  <si>
    <t>TXN001574</t>
  </si>
  <si>
    <t>TXN001575</t>
  </si>
  <si>
    <t>TXN001576</t>
  </si>
  <si>
    <t>TXN001577</t>
  </si>
  <si>
    <t>TXN001578</t>
  </si>
  <si>
    <t>TXN001579</t>
  </si>
  <si>
    <t>TXN001580</t>
  </si>
  <si>
    <t>TXN001581</t>
  </si>
  <si>
    <t>TXN001582</t>
  </si>
  <si>
    <t>TXN001583</t>
  </si>
  <si>
    <t>TXN001584</t>
  </si>
  <si>
    <t>TXN001585</t>
  </si>
  <si>
    <t>TXN001586</t>
  </si>
  <si>
    <t>TXN001587</t>
  </si>
  <si>
    <t>TXN001588</t>
  </si>
  <si>
    <t>TXN001589</t>
  </si>
  <si>
    <t>TXN001590</t>
  </si>
  <si>
    <t>TXN001591</t>
  </si>
  <si>
    <t>TXN001592</t>
  </si>
  <si>
    <t>TXN001593</t>
  </si>
  <si>
    <t>TXN001594</t>
  </si>
  <si>
    <t>TXN001595</t>
  </si>
  <si>
    <t>TXN001596</t>
  </si>
  <si>
    <t>TXN001597</t>
  </si>
  <si>
    <t>TXN001598</t>
  </si>
  <si>
    <t>TXN001599</t>
  </si>
  <si>
    <t>TXN001600</t>
  </si>
  <si>
    <t>TXN001601</t>
  </si>
  <si>
    <t>TXN001602</t>
  </si>
  <si>
    <t>TXN001603</t>
  </si>
  <si>
    <t>TXN001604</t>
  </si>
  <si>
    <t>TXN001605</t>
  </si>
  <si>
    <t>TXN001606</t>
  </si>
  <si>
    <t>TXN001607</t>
  </si>
  <si>
    <t>TXN001608</t>
  </si>
  <si>
    <t>TXN001609</t>
  </si>
  <si>
    <t>TXN001610</t>
  </si>
  <si>
    <t>TXN001611</t>
  </si>
  <si>
    <t>TXN001612</t>
  </si>
  <si>
    <t>TXN001613</t>
  </si>
  <si>
    <t>TXN001614</t>
  </si>
  <si>
    <t>TXN001615</t>
  </si>
  <si>
    <t>TXN001616</t>
  </si>
  <si>
    <t>TXN001617</t>
  </si>
  <si>
    <t>TXN001618</t>
  </si>
  <si>
    <t>TXN001619</t>
  </si>
  <si>
    <t>TXN001620</t>
  </si>
  <si>
    <t>TXN001621</t>
  </si>
  <si>
    <t>TXN001622</t>
  </si>
  <si>
    <t>TXN001623</t>
  </si>
  <si>
    <t>TXN001624</t>
  </si>
  <si>
    <t>TXN001625</t>
  </si>
  <si>
    <t>TXN001626</t>
  </si>
  <si>
    <t>TXN001627</t>
  </si>
  <si>
    <t>TXN001628</t>
  </si>
  <si>
    <t>TXN001629</t>
  </si>
  <si>
    <t>TXN001630</t>
  </si>
  <si>
    <t>TXN001631</t>
  </si>
  <si>
    <t>TXN001632</t>
  </si>
  <si>
    <t>TXN001633</t>
  </si>
  <si>
    <t>TXN001634</t>
  </si>
  <si>
    <t>TXN001635</t>
  </si>
  <si>
    <t>TXN001636</t>
  </si>
  <si>
    <t>TXN001637</t>
  </si>
  <si>
    <t>TXN001638</t>
  </si>
  <si>
    <t>TXN001639</t>
  </si>
  <si>
    <t>TXN001640</t>
  </si>
  <si>
    <t>TXN001641</t>
  </si>
  <si>
    <t>TXN001642</t>
  </si>
  <si>
    <t>TXN001643</t>
  </si>
  <si>
    <t>TXN001644</t>
  </si>
  <si>
    <t>TXN001645</t>
  </si>
  <si>
    <t>TXN001646</t>
  </si>
  <si>
    <t>TXN001647</t>
  </si>
  <si>
    <t>TXN001648</t>
  </si>
  <si>
    <t>TXN001649</t>
  </si>
  <si>
    <t>TXN001650</t>
  </si>
  <si>
    <t>TXN001651</t>
  </si>
  <si>
    <t>TXN001652</t>
  </si>
  <si>
    <t>TXN001653</t>
  </si>
  <si>
    <t>TXN001654</t>
  </si>
  <si>
    <t>TXN001655</t>
  </si>
  <si>
    <t>TXN001656</t>
  </si>
  <si>
    <t>TXN001657</t>
  </si>
  <si>
    <t>TXN001658</t>
  </si>
  <si>
    <t>TXN001659</t>
  </si>
  <si>
    <t>TXN001660</t>
  </si>
  <si>
    <t>TXN001661</t>
  </si>
  <si>
    <t>TXN001662</t>
  </si>
  <si>
    <t>TXN001663</t>
  </si>
  <si>
    <t>TXN001664</t>
  </si>
  <si>
    <t>TXN001665</t>
  </si>
  <si>
    <t>TXN001666</t>
  </si>
  <si>
    <t>TXN001667</t>
  </si>
  <si>
    <t>TXN001668</t>
  </si>
  <si>
    <t>TXN001669</t>
  </si>
  <si>
    <t>TXN001670</t>
  </si>
  <si>
    <t>TXN001671</t>
  </si>
  <si>
    <t>TXN001672</t>
  </si>
  <si>
    <t>TXN001673</t>
  </si>
  <si>
    <t>TXN001674</t>
  </si>
  <si>
    <t>TXN001675</t>
  </si>
  <si>
    <t>TXN001676</t>
  </si>
  <si>
    <t>TXN001677</t>
  </si>
  <si>
    <t>TXN001678</t>
  </si>
  <si>
    <t>TXN001679</t>
  </si>
  <si>
    <t>TXN001680</t>
  </si>
  <si>
    <t>TXN001681</t>
  </si>
  <si>
    <t>TXN001682</t>
  </si>
  <si>
    <t>TXN001683</t>
  </si>
  <si>
    <t>TXN001684</t>
  </si>
  <si>
    <t>TXN001685</t>
  </si>
  <si>
    <t>TXN001686</t>
  </si>
  <si>
    <t>TXN001687</t>
  </si>
  <si>
    <t>TXN001688</t>
  </si>
  <si>
    <t>TXN001689</t>
  </si>
  <si>
    <t>TXN001690</t>
  </si>
  <si>
    <t>TXN001691</t>
  </si>
  <si>
    <t>TXN001692</t>
  </si>
  <si>
    <t>TXN001693</t>
  </si>
  <si>
    <t>TXN001694</t>
  </si>
  <si>
    <t>TXN001695</t>
  </si>
  <si>
    <t>TXN001696</t>
  </si>
  <si>
    <t>TXN001697</t>
  </si>
  <si>
    <t>TXN001698</t>
  </si>
  <si>
    <t>TXN001699</t>
  </si>
  <si>
    <t>TXN001700</t>
  </si>
  <si>
    <t>TXN001701</t>
  </si>
  <si>
    <t>TXN001702</t>
  </si>
  <si>
    <t>TXN001703</t>
  </si>
  <si>
    <t>TXN001704</t>
  </si>
  <si>
    <t>TXN001705</t>
  </si>
  <si>
    <t>TXN001706</t>
  </si>
  <si>
    <t>TXN001707</t>
  </si>
  <si>
    <t>TXN001708</t>
  </si>
  <si>
    <t>TXN001709</t>
  </si>
  <si>
    <t>TXN001710</t>
  </si>
  <si>
    <t>TXN001711</t>
  </si>
  <si>
    <t>TXN001712</t>
  </si>
  <si>
    <t>TXN001713</t>
  </si>
  <si>
    <t>TXN001714</t>
  </si>
  <si>
    <t>TXN001715</t>
  </si>
  <si>
    <t>TXN001716</t>
  </si>
  <si>
    <t>TXN001717</t>
  </si>
  <si>
    <t>TXN001718</t>
  </si>
  <si>
    <t>TXN001719</t>
  </si>
  <si>
    <t>TXN001720</t>
  </si>
  <si>
    <t>TXN001721</t>
  </si>
  <si>
    <t>TXN001722</t>
  </si>
  <si>
    <t>TXN001723</t>
  </si>
  <si>
    <t>TXN001724</t>
  </si>
  <si>
    <t>TXN001725</t>
  </si>
  <si>
    <t>TXN001726</t>
  </si>
  <si>
    <t>TXN001727</t>
  </si>
  <si>
    <t>TXN001728</t>
  </si>
  <si>
    <t>TXN001729</t>
  </si>
  <si>
    <t>TXN001730</t>
  </si>
  <si>
    <t>TXN001731</t>
  </si>
  <si>
    <t>TXN001732</t>
  </si>
  <si>
    <t>TXN001733</t>
  </si>
  <si>
    <t>TXN001734</t>
  </si>
  <si>
    <t>TXN001735</t>
  </si>
  <si>
    <t>TXN001736</t>
  </si>
  <si>
    <t>TXN001737</t>
  </si>
  <si>
    <t>TXN001738</t>
  </si>
  <si>
    <t>TXN001739</t>
  </si>
  <si>
    <t>TXN001740</t>
  </si>
  <si>
    <t>TXN001741</t>
  </si>
  <si>
    <t>TXN001742</t>
  </si>
  <si>
    <t>TXN001743</t>
  </si>
  <si>
    <t>TXN001744</t>
  </si>
  <si>
    <t>TXN001745</t>
  </si>
  <si>
    <t>TXN001746</t>
  </si>
  <si>
    <t>TXN001747</t>
  </si>
  <si>
    <t>TXN001748</t>
  </si>
  <si>
    <t>TXN001749</t>
  </si>
  <si>
    <t>TXN001750</t>
  </si>
  <si>
    <t>TXN001751</t>
  </si>
  <si>
    <t>TXN001752</t>
  </si>
  <si>
    <t>TXN001753</t>
  </si>
  <si>
    <t>TXN001754</t>
  </si>
  <si>
    <t>TXN001755</t>
  </si>
  <si>
    <t>TXN001756</t>
  </si>
  <si>
    <t>TXN001757</t>
  </si>
  <si>
    <t>TXN001758</t>
  </si>
  <si>
    <t>TXN001759</t>
  </si>
  <si>
    <t>TXN001760</t>
  </si>
  <si>
    <t>TXN001761</t>
  </si>
  <si>
    <t>TXN001762</t>
  </si>
  <si>
    <t>TXN001763</t>
  </si>
  <si>
    <t>TXN001764</t>
  </si>
  <si>
    <t>TXN001765</t>
  </si>
  <si>
    <t>TXN001766</t>
  </si>
  <si>
    <t>TXN001767</t>
  </si>
  <si>
    <t>TXN001768</t>
  </si>
  <si>
    <t>TXN001769</t>
  </si>
  <si>
    <t>TXN001770</t>
  </si>
  <si>
    <t>TXN001771</t>
  </si>
  <si>
    <t>TXN001772</t>
  </si>
  <si>
    <t>TXN001773</t>
  </si>
  <si>
    <t>TXN001774</t>
  </si>
  <si>
    <t>TXN001775</t>
  </si>
  <si>
    <t>TXN001776</t>
  </si>
  <si>
    <t>TXN001777</t>
  </si>
  <si>
    <t>TXN001778</t>
  </si>
  <si>
    <t>TXN001779</t>
  </si>
  <si>
    <t>TXN001780</t>
  </si>
  <si>
    <t>TXN001781</t>
  </si>
  <si>
    <t>TXN001782</t>
  </si>
  <si>
    <t>TXN001783</t>
  </si>
  <si>
    <t>TXN001784</t>
  </si>
  <si>
    <t>TXN001785</t>
  </si>
  <si>
    <t>TXN001786</t>
  </si>
  <si>
    <t>TXN001787</t>
  </si>
  <si>
    <t>TXN001788</t>
  </si>
  <si>
    <t>TXN001789</t>
  </si>
  <si>
    <t>TXN001790</t>
  </si>
  <si>
    <t>TXN001791</t>
  </si>
  <si>
    <t>TXN001792</t>
  </si>
  <si>
    <t>TXN001793</t>
  </si>
  <si>
    <t>TXN001794</t>
  </si>
  <si>
    <t>TXN001795</t>
  </si>
  <si>
    <t>TXN001796</t>
  </si>
  <si>
    <t>TXN001797</t>
  </si>
  <si>
    <t>TXN001798</t>
  </si>
  <si>
    <t>TXN001799</t>
  </si>
  <si>
    <t>TXN001800</t>
  </si>
  <si>
    <t>TXN001801</t>
  </si>
  <si>
    <t>TXN001802</t>
  </si>
  <si>
    <t>TXN001803</t>
  </si>
  <si>
    <t>TXN001804</t>
  </si>
  <si>
    <t>TXN001805</t>
  </si>
  <si>
    <t>TXN001806</t>
  </si>
  <si>
    <t>TXN001807</t>
  </si>
  <si>
    <t>TXN001808</t>
  </si>
  <si>
    <t>TXN001809</t>
  </si>
  <si>
    <t>TXN001810</t>
  </si>
  <si>
    <t>TXN001811</t>
  </si>
  <si>
    <t>TXN001812</t>
  </si>
  <si>
    <t>TXN001813</t>
  </si>
  <si>
    <t>TXN001814</t>
  </si>
  <si>
    <t>TXN001815</t>
  </si>
  <si>
    <t>TXN001816</t>
  </si>
  <si>
    <t>TXN001817</t>
  </si>
  <si>
    <t>TXN001818</t>
  </si>
  <si>
    <t>TXN001819</t>
  </si>
  <si>
    <t>TXN001820</t>
  </si>
  <si>
    <t>TXN001821</t>
  </si>
  <si>
    <t>TXN001822</t>
  </si>
  <si>
    <t>TXN001823</t>
  </si>
  <si>
    <t>TXN001824</t>
  </si>
  <si>
    <t>TXN001825</t>
  </si>
  <si>
    <t>TXN001826</t>
  </si>
  <si>
    <t>TXN001827</t>
  </si>
  <si>
    <t>TXN001828</t>
  </si>
  <si>
    <t>TXN001829</t>
  </si>
  <si>
    <t>TXN001830</t>
  </si>
  <si>
    <t>TXN001831</t>
  </si>
  <si>
    <t>TXN001832</t>
  </si>
  <si>
    <t>TXN001833</t>
  </si>
  <si>
    <t>TXN001834</t>
  </si>
  <si>
    <t>TXN001835</t>
  </si>
  <si>
    <t>TXN001836</t>
  </si>
  <si>
    <t>TXN001837</t>
  </si>
  <si>
    <t>TXN001838</t>
  </si>
  <si>
    <t>TXN001839</t>
  </si>
  <si>
    <t>TXN001840</t>
  </si>
  <si>
    <t>TXN001841</t>
  </si>
  <si>
    <t>TXN001842</t>
  </si>
  <si>
    <t>TXN001843</t>
  </si>
  <si>
    <t>TXN001844</t>
  </si>
  <si>
    <t>TXN001845</t>
  </si>
  <si>
    <t>TXN001846</t>
  </si>
  <si>
    <t>TXN001847</t>
  </si>
  <si>
    <t>TXN001848</t>
  </si>
  <si>
    <t>TXN001849</t>
  </si>
  <si>
    <t>TXN001850</t>
  </si>
  <si>
    <t>TXN001851</t>
  </si>
  <si>
    <t>TXN001852</t>
  </si>
  <si>
    <t>TXN001853</t>
  </si>
  <si>
    <t>TXN001854</t>
  </si>
  <si>
    <t>TXN001855</t>
  </si>
  <si>
    <t>TXN001856</t>
  </si>
  <si>
    <t>TXN001857</t>
  </si>
  <si>
    <t>TXN001858</t>
  </si>
  <si>
    <t>TXN001859</t>
  </si>
  <si>
    <t>TXN001860</t>
  </si>
  <si>
    <t>TXN001861</t>
  </si>
  <si>
    <t>TXN001862</t>
  </si>
  <si>
    <t>TXN001863</t>
  </si>
  <si>
    <t>TXN001864</t>
  </si>
  <si>
    <t>TXN001865</t>
  </si>
  <si>
    <t>TXN001866</t>
  </si>
  <si>
    <t>TXN001867</t>
  </si>
  <si>
    <t>TXN001868</t>
  </si>
  <si>
    <t>TXN001869</t>
  </si>
  <si>
    <t>TXN001870</t>
  </si>
  <si>
    <t>TXN001871</t>
  </si>
  <si>
    <t>TXN001872</t>
  </si>
  <si>
    <t>TXN001873</t>
  </si>
  <si>
    <t>TXN001874</t>
  </si>
  <si>
    <t>TXN001875</t>
  </si>
  <si>
    <t>TXN001876</t>
  </si>
  <si>
    <t>TXN001877</t>
  </si>
  <si>
    <t>TXN001878</t>
  </si>
  <si>
    <t>TXN001879</t>
  </si>
  <si>
    <t>TXN001880</t>
  </si>
  <si>
    <t>TXN001881</t>
  </si>
  <si>
    <t>TXN001882</t>
  </si>
  <si>
    <t>TXN001883</t>
  </si>
  <si>
    <t>TXN001884</t>
  </si>
  <si>
    <t>TXN001885</t>
  </si>
  <si>
    <t>TXN001886</t>
  </si>
  <si>
    <t>TXN001887</t>
  </si>
  <si>
    <t>TXN001888</t>
  </si>
  <si>
    <t>TXN001889</t>
  </si>
  <si>
    <t>TXN001890</t>
  </si>
  <si>
    <t>TXN001891</t>
  </si>
  <si>
    <t>TXN001892</t>
  </si>
  <si>
    <t>TXN001893</t>
  </si>
  <si>
    <t>TXN001894</t>
  </si>
  <si>
    <t>TXN001895</t>
  </si>
  <si>
    <t>TXN001896</t>
  </si>
  <si>
    <t>TXN001897</t>
  </si>
  <si>
    <t>TXN001898</t>
  </si>
  <si>
    <t>TXN001899</t>
  </si>
  <si>
    <t>TXN001900</t>
  </si>
  <si>
    <t>TXN001901</t>
  </si>
  <si>
    <t>TXN001902</t>
  </si>
  <si>
    <t>TXN001903</t>
  </si>
  <si>
    <t>TXN001904</t>
  </si>
  <si>
    <t>TXN001905</t>
  </si>
  <si>
    <t>TXN001906</t>
  </si>
  <si>
    <t>TXN001907</t>
  </si>
  <si>
    <t>TXN001908</t>
  </si>
  <si>
    <t>TXN001909</t>
  </si>
  <si>
    <t>TXN001910</t>
  </si>
  <si>
    <t>TXN001911</t>
  </si>
  <si>
    <t>TXN001912</t>
  </si>
  <si>
    <t>TXN001913</t>
  </si>
  <si>
    <t>TXN001914</t>
  </si>
  <si>
    <t>TXN001915</t>
  </si>
  <si>
    <t>TXN001916</t>
  </si>
  <si>
    <t>TXN001917</t>
  </si>
  <si>
    <t>TXN001918</t>
  </si>
  <si>
    <t>TXN001919</t>
  </si>
  <si>
    <t>TXN001920</t>
  </si>
  <si>
    <t>TXN001921</t>
  </si>
  <si>
    <t>TXN001922</t>
  </si>
  <si>
    <t>TXN001923</t>
  </si>
  <si>
    <t>TXN001924</t>
  </si>
  <si>
    <t>TXN001925</t>
  </si>
  <si>
    <t>TXN001926</t>
  </si>
  <si>
    <t>TXN001927</t>
  </si>
  <si>
    <t>TXN001928</t>
  </si>
  <si>
    <t>TXN001929</t>
  </si>
  <si>
    <t>TXN001930</t>
  </si>
  <si>
    <t>TXN001931</t>
  </si>
  <si>
    <t>TXN001932</t>
  </si>
  <si>
    <t>TXN001933</t>
  </si>
  <si>
    <t>TXN001934</t>
  </si>
  <si>
    <t>TXN001935</t>
  </si>
  <si>
    <t>TXN001936</t>
  </si>
  <si>
    <t>TXN001937</t>
  </si>
  <si>
    <t>TXN001938</t>
  </si>
  <si>
    <t>TXN001939</t>
  </si>
  <si>
    <t>TXN001940</t>
  </si>
  <si>
    <t>TXN001941</t>
  </si>
  <si>
    <t>TXN001942</t>
  </si>
  <si>
    <t>TXN001943</t>
  </si>
  <si>
    <t>TXN001944</t>
  </si>
  <si>
    <t>TXN001945</t>
  </si>
  <si>
    <t>TXN001946</t>
  </si>
  <si>
    <t>TXN001947</t>
  </si>
  <si>
    <t>TXN001948</t>
  </si>
  <si>
    <t>TXN001949</t>
  </si>
  <si>
    <t>TXN001950</t>
  </si>
  <si>
    <t>TXN001951</t>
  </si>
  <si>
    <t>TXN001952</t>
  </si>
  <si>
    <t>TXN001953</t>
  </si>
  <si>
    <t>TXN001954</t>
  </si>
  <si>
    <t>TXN001955</t>
  </si>
  <si>
    <t>TXN001956</t>
  </si>
  <si>
    <t>TXN001957</t>
  </si>
  <si>
    <t>TXN001958</t>
  </si>
  <si>
    <t>TXN001959</t>
  </si>
  <si>
    <t>TXN001960</t>
  </si>
  <si>
    <t>TXN001961</t>
  </si>
  <si>
    <t>TXN001962</t>
  </si>
  <si>
    <t>TXN001963</t>
  </si>
  <si>
    <t>TXN001964</t>
  </si>
  <si>
    <t>TXN001965</t>
  </si>
  <si>
    <t>TXN001966</t>
  </si>
  <si>
    <t>TXN001967</t>
  </si>
  <si>
    <t>TXN001968</t>
  </si>
  <si>
    <t>TXN001969</t>
  </si>
  <si>
    <t>TXN001970</t>
  </si>
  <si>
    <t>TXN001971</t>
  </si>
  <si>
    <t>TXN001972</t>
  </si>
  <si>
    <t>TXN001973</t>
  </si>
  <si>
    <t>TXN001974</t>
  </si>
  <si>
    <t>TXN001975</t>
  </si>
  <si>
    <t>TXN001976</t>
  </si>
  <si>
    <t>TXN001977</t>
  </si>
  <si>
    <t>TXN001978</t>
  </si>
  <si>
    <t>TXN001979</t>
  </si>
  <si>
    <t>TXN001980</t>
  </si>
  <si>
    <t>TXN001981</t>
  </si>
  <si>
    <t>TXN001982</t>
  </si>
  <si>
    <t>TXN001983</t>
  </si>
  <si>
    <t>TXN001984</t>
  </si>
  <si>
    <t>TXN001985</t>
  </si>
  <si>
    <t>TXN001986</t>
  </si>
  <si>
    <t>TXN001987</t>
  </si>
  <si>
    <t>TXN001988</t>
  </si>
  <si>
    <t>TXN001989</t>
  </si>
  <si>
    <t>TXN001990</t>
  </si>
  <si>
    <t>TXN001991</t>
  </si>
  <si>
    <t>TXN001992</t>
  </si>
  <si>
    <t>TXN001993</t>
  </si>
  <si>
    <t>TXN001994</t>
  </si>
  <si>
    <t>TXN001995</t>
  </si>
  <si>
    <t>TXN001996</t>
  </si>
  <si>
    <t>TXN001997</t>
  </si>
  <si>
    <t>TXN001998</t>
  </si>
  <si>
    <t>TXN001999</t>
  </si>
  <si>
    <t>TXN002000</t>
  </si>
  <si>
    <t>CUST57498</t>
  </si>
  <si>
    <t>CUST11204</t>
  </si>
  <si>
    <t>CUST67365</t>
  </si>
  <si>
    <t>CUST85161</t>
  </si>
  <si>
    <t>CUST65272</t>
  </si>
  <si>
    <t>CUST37063</t>
  </si>
  <si>
    <t>CUST70472</t>
  </si>
  <si>
    <t>CUST48573</t>
  </si>
  <si>
    <t>CUST93081</t>
  </si>
  <si>
    <t>CUST28272</t>
  </si>
  <si>
    <t>CUST23131</t>
  </si>
  <si>
    <t>CUST25674</t>
  </si>
  <si>
    <t>CUST71098</t>
  </si>
  <si>
    <t>CUST56504</t>
  </si>
  <si>
    <t>CUST96090</t>
  </si>
  <si>
    <t>CUST96623</t>
  </si>
  <si>
    <t>CUST40089</t>
  </si>
  <si>
    <t>CUST68836</t>
  </si>
  <si>
    <t>CUST25441</t>
  </si>
  <si>
    <t>CUST88168</t>
  </si>
  <si>
    <t>CUST67811</t>
  </si>
  <si>
    <t>CUST85549</t>
  </si>
  <si>
    <t>CUST13633</t>
  </si>
  <si>
    <t>CUST89336</t>
  </si>
  <si>
    <t>CUST78137</t>
  </si>
  <si>
    <t>CUST29196</t>
  </si>
  <si>
    <t>CUST21852</t>
  </si>
  <si>
    <t>CUST85351</t>
  </si>
  <si>
    <t>CUST36924</t>
  </si>
  <si>
    <t>CUST41906</t>
  </si>
  <si>
    <t>CUST64312</t>
  </si>
  <si>
    <t>CUST92838</t>
  </si>
  <si>
    <t>CUST58262</t>
  </si>
  <si>
    <t>CUST67244</t>
  </si>
  <si>
    <t>CUST97189</t>
  </si>
  <si>
    <t>CUST35977</t>
  </si>
  <si>
    <t>CUST19426</t>
  </si>
  <si>
    <t>CUST68815</t>
  </si>
  <si>
    <t>CUST54932</t>
  </si>
  <si>
    <t>CUST63512</t>
  </si>
  <si>
    <t>CUST28684</t>
  </si>
  <si>
    <t>CUST81117</t>
  </si>
  <si>
    <t>CUST90026</t>
  </si>
  <si>
    <t>CUST26933</t>
  </si>
  <si>
    <t>CUST88438</t>
  </si>
  <si>
    <t>CUST72930</t>
  </si>
  <si>
    <t>CUST50691</t>
  </si>
  <si>
    <t>CUST30424</t>
  </si>
  <si>
    <t>CUST69437</t>
  </si>
  <si>
    <t>CUST62876</t>
  </si>
  <si>
    <t>CUST54717</t>
  </si>
  <si>
    <t>CUST28899</t>
  </si>
  <si>
    <t>CUST90975</t>
  </si>
  <si>
    <t>CUST42694</t>
  </si>
  <si>
    <t>CUST99780</t>
  </si>
  <si>
    <t>CUST91425</t>
  </si>
  <si>
    <t>CUST87947</t>
  </si>
  <si>
    <t>CUST46719</t>
  </si>
  <si>
    <t>CUST30807</t>
  </si>
  <si>
    <t>CUST97127</t>
  </si>
  <si>
    <t>CUST60350</t>
  </si>
  <si>
    <t>CUST49642</t>
  </si>
  <si>
    <t>CUST57849</t>
  </si>
  <si>
    <t>CUST51821</t>
  </si>
  <si>
    <t>CUST15611</t>
  </si>
  <si>
    <t>CUST32118</t>
  </si>
  <si>
    <t>CUST46278</t>
  </si>
  <si>
    <t>CUST52851</t>
  </si>
  <si>
    <t>CUST73880</t>
  </si>
  <si>
    <t>CUST43098</t>
  </si>
  <si>
    <t>CUST71331</t>
  </si>
  <si>
    <t>CUST25378</t>
  </si>
  <si>
    <t>CUST32836</t>
  </si>
  <si>
    <t>CUST70588</t>
  </si>
  <si>
    <t>CUST50433</t>
  </si>
  <si>
    <t>CUST57076</t>
  </si>
  <si>
    <t>CUST95379</t>
  </si>
  <si>
    <t>CUST44252</t>
  </si>
  <si>
    <t>CUST76347</t>
  </si>
  <si>
    <t>CUST41707</t>
  </si>
  <si>
    <t>CUST76110</t>
  </si>
  <si>
    <t>CUST86112</t>
  </si>
  <si>
    <t>CUST18907</t>
  </si>
  <si>
    <t>CUST59183</t>
  </si>
  <si>
    <t>CUST35382</t>
  </si>
  <si>
    <t>CUST48532</t>
  </si>
  <si>
    <t>CUST94954</t>
  </si>
  <si>
    <t>CUST43614</t>
  </si>
  <si>
    <t>CUST64776</t>
  </si>
  <si>
    <t>CUST93347</t>
  </si>
  <si>
    <t>CUST39699</t>
  </si>
  <si>
    <t>CUST23132</t>
  </si>
  <si>
    <t>CUST16066</t>
  </si>
  <si>
    <t>CUST78678</t>
  </si>
  <si>
    <t>CUST62233</t>
  </si>
  <si>
    <t>CUST35709</t>
  </si>
  <si>
    <t>CUST97579</t>
  </si>
  <si>
    <t>CUST73757</t>
  </si>
  <si>
    <t>CUST29319</t>
  </si>
  <si>
    <t>CUST90806</t>
  </si>
  <si>
    <t>CUST77151</t>
  </si>
  <si>
    <t>CUST31612</t>
  </si>
  <si>
    <t>CUST71905</t>
  </si>
  <si>
    <t>CUST63125</t>
  </si>
  <si>
    <t>CUST87560</t>
  </si>
  <si>
    <t>CUST28572</t>
  </si>
  <si>
    <t>CUST72888</t>
  </si>
  <si>
    <t>CUST55439</t>
  </si>
  <si>
    <t>CUST66905</t>
  </si>
  <si>
    <t>CUST98222</t>
  </si>
  <si>
    <t>CUST53578</t>
  </si>
  <si>
    <t>CUST27522</t>
  </si>
  <si>
    <t>CUST44107</t>
  </si>
  <si>
    <t>CUST98311</t>
  </si>
  <si>
    <t>CUST35236</t>
  </si>
  <si>
    <t>CUST82294</t>
  </si>
  <si>
    <t>CUST13103</t>
  </si>
  <si>
    <t>CUST80540</t>
  </si>
  <si>
    <t>CUST72340</t>
  </si>
  <si>
    <t>CUST33044</t>
  </si>
  <si>
    <t>CUST89291</t>
  </si>
  <si>
    <t>CUST20516</t>
  </si>
  <si>
    <t>CUST14345</t>
  </si>
  <si>
    <t>CUST88252</t>
  </si>
  <si>
    <t>CUST44820</t>
  </si>
  <si>
    <t>CUST19717</t>
  </si>
  <si>
    <t>CUST90895</t>
  </si>
  <si>
    <t>CUST17270</t>
  </si>
  <si>
    <t>CUST32134</t>
  </si>
  <si>
    <t>CUST53819</t>
  </si>
  <si>
    <t>CUST94232</t>
  </si>
  <si>
    <t>CUST79754</t>
  </si>
  <si>
    <t>CUST43054</t>
  </si>
  <si>
    <t>CUST56791</t>
  </si>
  <si>
    <t>CUST40173</t>
  </si>
  <si>
    <t>CUST89652</t>
  </si>
  <si>
    <t>CUST18170</t>
  </si>
  <si>
    <t>CUST32610</t>
  </si>
  <si>
    <t>CUST54041</t>
  </si>
  <si>
    <t>CUST62946</t>
  </si>
  <si>
    <t>CUST48272</t>
  </si>
  <si>
    <t>CUST52175</t>
  </si>
  <si>
    <t>CUST59505</t>
  </si>
  <si>
    <t>CUST14393</t>
  </si>
  <si>
    <t>CUST10014</t>
  </si>
  <si>
    <t>CUST66116</t>
  </si>
  <si>
    <t>CUST97913</t>
  </si>
  <si>
    <t>CUST81308</t>
  </si>
  <si>
    <t>CUST10447</t>
  </si>
  <si>
    <t>CUST53036</t>
  </si>
  <si>
    <t>CUST50352</t>
  </si>
  <si>
    <t>CUST45013</t>
  </si>
  <si>
    <t>CUST32692</t>
  </si>
  <si>
    <t>CUST61564</t>
  </si>
  <si>
    <t>CUST66156</t>
  </si>
  <si>
    <t>CUST34673</t>
  </si>
  <si>
    <t>CUST13167</t>
  </si>
  <si>
    <t>CUST21377</t>
  </si>
  <si>
    <t>CUST45715</t>
  </si>
  <si>
    <t>CUST98309</t>
  </si>
  <si>
    <t>CUST46048</t>
  </si>
  <si>
    <t>CUST32895</t>
  </si>
  <si>
    <t>CUST17189</t>
  </si>
  <si>
    <t>CUST84307</t>
  </si>
  <si>
    <t>CUST38520</t>
  </si>
  <si>
    <t>CUST39141</t>
  </si>
  <si>
    <t>CUST13206</t>
  </si>
  <si>
    <t>CUST74573</t>
  </si>
  <si>
    <t>CUST22883</t>
  </si>
  <si>
    <t>CUST67145</t>
  </si>
  <si>
    <t>CUST54160</t>
  </si>
  <si>
    <t>CUST87915</t>
  </si>
  <si>
    <t>CUST46112</t>
  </si>
  <si>
    <t>CUST95604</t>
  </si>
  <si>
    <t>CUST26081</t>
  </si>
  <si>
    <t>CUST61667</t>
  </si>
  <si>
    <t>CUST79233</t>
  </si>
  <si>
    <t>CUST85595</t>
  </si>
  <si>
    <t>CUST72739</t>
  </si>
  <si>
    <t>CUST73265</t>
  </si>
  <si>
    <t>CUST72356</t>
  </si>
  <si>
    <t>CUST55271</t>
  </si>
  <si>
    <t>CUST22003</t>
  </si>
  <si>
    <t>CUST75565</t>
  </si>
  <si>
    <t>CUST64083</t>
  </si>
  <si>
    <t>CUST71998</t>
  </si>
  <si>
    <t>CUST39357</t>
  </si>
  <si>
    <t>CUST32685</t>
  </si>
  <si>
    <t>CUST96190</t>
  </si>
  <si>
    <t>CUST72776</t>
  </si>
  <si>
    <t>CUST34958</t>
  </si>
  <si>
    <t>CUST62393</t>
  </si>
  <si>
    <t>CUST61384</t>
  </si>
  <si>
    <t>CUST25445</t>
  </si>
  <si>
    <t>CUST96075</t>
  </si>
  <si>
    <t>CUST61254</t>
  </si>
  <si>
    <t>CUST85247</t>
  </si>
  <si>
    <t>CUST95681</t>
  </si>
  <si>
    <t>CUST37146</t>
  </si>
  <si>
    <t>CUST63919</t>
  </si>
  <si>
    <t>CUST28306</t>
  </si>
  <si>
    <t>CUST71700</t>
  </si>
  <si>
    <t>CUST79709</t>
  </si>
  <si>
    <t>CUST65220</t>
  </si>
  <si>
    <t>CUST36861</t>
  </si>
  <si>
    <t>CUST81961</t>
  </si>
  <si>
    <t>CUST53323</t>
  </si>
  <si>
    <t>CUST92337</t>
  </si>
  <si>
    <t>CUST58915</t>
  </si>
  <si>
    <t>CUST14136</t>
  </si>
  <si>
    <t>CUST67190</t>
  </si>
  <si>
    <t>CUST38428</t>
  </si>
  <si>
    <t>CUST53007</t>
  </si>
  <si>
    <t>CUST58912</t>
  </si>
  <si>
    <t>CUST81741</t>
  </si>
  <si>
    <t>CUST53836</t>
  </si>
  <si>
    <t>CUST91546</t>
  </si>
  <si>
    <t>CUST33617</t>
  </si>
  <si>
    <t>CUST31475</t>
  </si>
  <si>
    <t>CUST24889</t>
  </si>
  <si>
    <t>CUST28480</t>
  </si>
  <si>
    <t>CUST40489</t>
  </si>
  <si>
    <t>CUST94400</t>
  </si>
  <si>
    <t>CUST93268</t>
  </si>
  <si>
    <t>CUST51025</t>
  </si>
  <si>
    <t>CUST43555</t>
  </si>
  <si>
    <t>CUST66731</t>
  </si>
  <si>
    <t>CUST12230</t>
  </si>
  <si>
    <t>CUST47331</t>
  </si>
  <si>
    <t>CUST90776</t>
  </si>
  <si>
    <t>CUST42525</t>
  </si>
  <si>
    <t>CUST38478</t>
  </si>
  <si>
    <t>CUST59616</t>
  </si>
  <si>
    <t>CUST35013</t>
  </si>
  <si>
    <t>CUST42654</t>
  </si>
  <si>
    <t>CUST58009</t>
  </si>
  <si>
    <t>CUST83179</t>
  </si>
  <si>
    <t>CUST34475</t>
  </si>
  <si>
    <t>CUST45090</t>
  </si>
  <si>
    <t>CUST75392</t>
  </si>
  <si>
    <t>CUST88001</t>
  </si>
  <si>
    <t>CUST22709</t>
  </si>
  <si>
    <t>CUST92391</t>
  </si>
  <si>
    <t>CUST31974</t>
  </si>
  <si>
    <t>CUST25392</t>
  </si>
  <si>
    <t>CUST50674</t>
  </si>
  <si>
    <t>CUST51440</t>
  </si>
  <si>
    <t>CUST42775</t>
  </si>
  <si>
    <t>CUST43821</t>
  </si>
  <si>
    <t>CUST47503</t>
  </si>
  <si>
    <t>CUST44095</t>
  </si>
  <si>
    <t>CUST94554</t>
  </si>
  <si>
    <t>CUST33282</t>
  </si>
  <si>
    <t>CUST80387</t>
  </si>
  <si>
    <t>CUST44584</t>
  </si>
  <si>
    <t>CUST23923</t>
  </si>
  <si>
    <t>CUST71991</t>
  </si>
  <si>
    <t>CUST83982</t>
  </si>
  <si>
    <t>CUST97976</t>
  </si>
  <si>
    <t>CUST21403</t>
  </si>
  <si>
    <t>CUST93570</t>
  </si>
  <si>
    <t>CUST21237</t>
  </si>
  <si>
    <t>CUST81518</t>
  </si>
  <si>
    <t>CUST98523</t>
  </si>
  <si>
    <t>CUST30446</t>
  </si>
  <si>
    <t>CUST50921</t>
  </si>
  <si>
    <t>CUST31075</t>
  </si>
  <si>
    <t>CUST74097</t>
  </si>
  <si>
    <t>CUST64836</t>
  </si>
  <si>
    <t>CUST72013</t>
  </si>
  <si>
    <t>CUST39054</t>
  </si>
  <si>
    <t>CUST69603</t>
  </si>
  <si>
    <t>CUST61377</t>
  </si>
  <si>
    <t>CUST53162</t>
  </si>
  <si>
    <t>CUST81424</t>
  </si>
  <si>
    <t>CUST31002</t>
  </si>
  <si>
    <t>CUST60668</t>
  </si>
  <si>
    <t>CUST33598</t>
  </si>
  <si>
    <t>CUST53498</t>
  </si>
  <si>
    <t>CUST62618</t>
  </si>
  <si>
    <t>CUST12770</t>
  </si>
  <si>
    <t>CUST31043</t>
  </si>
  <si>
    <t>CUST92874</t>
  </si>
  <si>
    <t>CUST20078</t>
  </si>
  <si>
    <t>CUST44775</t>
  </si>
  <si>
    <t>CUST31536</t>
  </si>
  <si>
    <t>CUST18412</t>
  </si>
  <si>
    <t>CUST35912</t>
  </si>
  <si>
    <t>CUST20886</t>
  </si>
  <si>
    <t>CUST15184</t>
  </si>
  <si>
    <t>CUST53762</t>
  </si>
  <si>
    <t>CUST37402</t>
  </si>
  <si>
    <t>CUST98708</t>
  </si>
  <si>
    <t>CUST45940</t>
  </si>
  <si>
    <t>CUST76535</t>
  </si>
  <si>
    <t>CUST94100</t>
  </si>
  <si>
    <t>CUST34063</t>
  </si>
  <si>
    <t>CUST90978</t>
  </si>
  <si>
    <t>CUST63127</t>
  </si>
  <si>
    <t>CUST19484</t>
  </si>
  <si>
    <t>CUST52479</t>
  </si>
  <si>
    <t>CUST63132</t>
  </si>
  <si>
    <t>CUST51324</t>
  </si>
  <si>
    <t>CUST31119</t>
  </si>
  <si>
    <t>CUST15909</t>
  </si>
  <si>
    <t>CUST57019</t>
  </si>
  <si>
    <t>CUST45814</t>
  </si>
  <si>
    <t>CUST77743</t>
  </si>
  <si>
    <t>CUST93008</t>
  </si>
  <si>
    <t>CUST32349</t>
  </si>
  <si>
    <t>CUST19792</t>
  </si>
  <si>
    <t>CUST20921</t>
  </si>
  <si>
    <t>CUST65926</t>
  </si>
  <si>
    <t>CUST27546</t>
  </si>
  <si>
    <t>CUST20079</t>
  </si>
  <si>
    <t>CUST25513</t>
  </si>
  <si>
    <t>CUST87417</t>
  </si>
  <si>
    <t>CUST55962</t>
  </si>
  <si>
    <t>CUST38881</t>
  </si>
  <si>
    <t>CUST75740</t>
  </si>
  <si>
    <t>CUST49085</t>
  </si>
  <si>
    <t>CUST60961</t>
  </si>
  <si>
    <t>CUST96793</t>
  </si>
  <si>
    <t>CUST58702</t>
  </si>
  <si>
    <t>CUST66549</t>
  </si>
  <si>
    <t>CUST37813</t>
  </si>
  <si>
    <t>CUST34864</t>
  </si>
  <si>
    <t>CUST60328</t>
  </si>
  <si>
    <t>CUST51901</t>
  </si>
  <si>
    <t>CUST72462</t>
  </si>
  <si>
    <t>CUST79577</t>
  </si>
  <si>
    <t>CUST78454</t>
  </si>
  <si>
    <t>CUST55102</t>
  </si>
  <si>
    <t>CUST86857</t>
  </si>
  <si>
    <t>CUST65799</t>
  </si>
  <si>
    <t>CUST72297</t>
  </si>
  <si>
    <t>CUST60791</t>
  </si>
  <si>
    <t>CUST98440</t>
  </si>
  <si>
    <t>CUST89562</t>
  </si>
  <si>
    <t>CUST82849</t>
  </si>
  <si>
    <t>CUST64092</t>
  </si>
  <si>
    <t>CUST26865</t>
  </si>
  <si>
    <t>CUST79645</t>
  </si>
  <si>
    <t>CUST21670</t>
  </si>
  <si>
    <t>CUST48503</t>
  </si>
  <si>
    <t>CUST79056</t>
  </si>
  <si>
    <t>CUST31462</t>
  </si>
  <si>
    <t>CUST60029</t>
  </si>
  <si>
    <t>CUST25425</t>
  </si>
  <si>
    <t>CUST11964</t>
  </si>
  <si>
    <t>CUST68970</t>
  </si>
  <si>
    <t>CUST49803</t>
  </si>
  <si>
    <t>CUST56505</t>
  </si>
  <si>
    <t>CUST15791</t>
  </si>
  <si>
    <t>CUST36092</t>
  </si>
  <si>
    <t>CUST46080</t>
  </si>
  <si>
    <t>CUST99524</t>
  </si>
  <si>
    <t>CUST35799</t>
  </si>
  <si>
    <t>CUST22794</t>
  </si>
  <si>
    <t>CUST71223</t>
  </si>
  <si>
    <t>CUST85335</t>
  </si>
  <si>
    <t>CUST63773</t>
  </si>
  <si>
    <t>CUST49260</t>
  </si>
  <si>
    <t>CUST21623</t>
  </si>
  <si>
    <t>CUST23512</t>
  </si>
  <si>
    <t>CUST23397</t>
  </si>
  <si>
    <t>CUST85786</t>
  </si>
  <si>
    <t>CUST42622</t>
  </si>
  <si>
    <t>CUST59100</t>
  </si>
  <si>
    <t>CUST33955</t>
  </si>
  <si>
    <t>CUST24657</t>
  </si>
  <si>
    <t>CUST14209</t>
  </si>
  <si>
    <t>CUST94791</t>
  </si>
  <si>
    <t>CUST90036</t>
  </si>
  <si>
    <t>CUST71727</t>
  </si>
  <si>
    <t>CUST29225</t>
  </si>
  <si>
    <t>CUST70104</t>
  </si>
  <si>
    <t>CUST69531</t>
  </si>
  <si>
    <t>CUST89986</t>
  </si>
  <si>
    <t>CUST75600</t>
  </si>
  <si>
    <t>CUST30864</t>
  </si>
  <si>
    <t>CUST17456</t>
  </si>
  <si>
    <t>CUST67546</t>
  </si>
  <si>
    <t>CUST48831</t>
  </si>
  <si>
    <t>CUST93662</t>
  </si>
  <si>
    <t>CUST13932</t>
  </si>
  <si>
    <t>CUST45628</t>
  </si>
  <si>
    <t>CUST63639</t>
  </si>
  <si>
    <t>CUST22265</t>
  </si>
  <si>
    <t>CUST47086</t>
  </si>
  <si>
    <t>CUST73054</t>
  </si>
  <si>
    <t>CUST29764</t>
  </si>
  <si>
    <t>CUST53643</t>
  </si>
  <si>
    <t>CUST50341</t>
  </si>
  <si>
    <t>CUST58647</t>
  </si>
  <si>
    <t>CUST87160</t>
  </si>
  <si>
    <t>CUST69395</t>
  </si>
  <si>
    <t>CUST25548</t>
  </si>
  <si>
    <t>CUST97586</t>
  </si>
  <si>
    <t>CUST55686</t>
  </si>
  <si>
    <t>CUST33072</t>
  </si>
  <si>
    <t>CUST73916</t>
  </si>
  <si>
    <t>CUST37217</t>
  </si>
  <si>
    <t>CUST31657</t>
  </si>
  <si>
    <t>CUST66066</t>
  </si>
  <si>
    <t>CUST56643</t>
  </si>
  <si>
    <t>CUST27258</t>
  </si>
  <si>
    <t>CUST72387</t>
  </si>
  <si>
    <t>CUST12576</t>
  </si>
  <si>
    <t>CUST11321</t>
  </si>
  <si>
    <t>CUST36941</t>
  </si>
  <si>
    <t>CUST96128</t>
  </si>
  <si>
    <t>CUST16555</t>
  </si>
  <si>
    <t>CUST74727</t>
  </si>
  <si>
    <t>CUST38226</t>
  </si>
  <si>
    <t>CUST26189</t>
  </si>
  <si>
    <t>CUST86532</t>
  </si>
  <si>
    <t>CUST86996</t>
  </si>
  <si>
    <t>CUST39553</t>
  </si>
  <si>
    <t>CUST88776</t>
  </si>
  <si>
    <t>CUST14018</t>
  </si>
  <si>
    <t>CUST91414</t>
  </si>
  <si>
    <t>CUST41224</t>
  </si>
  <si>
    <t>CUST12618</t>
  </si>
  <si>
    <t>CUST78900</t>
  </si>
  <si>
    <t>CUST28320</t>
  </si>
  <si>
    <t>CUST97801</t>
  </si>
  <si>
    <t>CUST89663</t>
  </si>
  <si>
    <t>CUST73511</t>
  </si>
  <si>
    <t>CUST79726</t>
  </si>
  <si>
    <t>CUST26779</t>
  </si>
  <si>
    <t>CUST18453</t>
  </si>
  <si>
    <t>CUST57979</t>
  </si>
  <si>
    <t>CUST41001</t>
  </si>
  <si>
    <t>CUST66707</t>
  </si>
  <si>
    <t>CUST24335</t>
  </si>
  <si>
    <t>CUST66362</t>
  </si>
  <si>
    <t>CUST90189</t>
  </si>
  <si>
    <t>CUST84247</t>
  </si>
  <si>
    <t>CUST92949</t>
  </si>
  <si>
    <t>CUST70928</t>
  </si>
  <si>
    <t>CUST77320</t>
  </si>
  <si>
    <t>CUST14256</t>
  </si>
  <si>
    <t>CUST13962</t>
  </si>
  <si>
    <t>CUST39965</t>
  </si>
  <si>
    <t>CUST48763</t>
  </si>
  <si>
    <t>CUST39043</t>
  </si>
  <si>
    <t>CUST96314</t>
  </si>
  <si>
    <t>CUST99692</t>
  </si>
  <si>
    <t>CUST39488</t>
  </si>
  <si>
    <t>CUST30596</t>
  </si>
  <si>
    <t>CUST62906</t>
  </si>
  <si>
    <t>CUST31344</t>
  </si>
  <si>
    <t>CUST38172</t>
  </si>
  <si>
    <t>CUST78641</t>
  </si>
  <si>
    <t>CUST39510</t>
  </si>
  <si>
    <t>CUST44302</t>
  </si>
  <si>
    <t>CUST36351</t>
  </si>
  <si>
    <t>CUST65599</t>
  </si>
  <si>
    <t>CUST60932</t>
  </si>
  <si>
    <t>CUST33655</t>
  </si>
  <si>
    <t>CUST50051</t>
  </si>
  <si>
    <t>CUST82590</t>
  </si>
  <si>
    <t>CUST37087</t>
  </si>
  <si>
    <t>CUST16948</t>
  </si>
  <si>
    <t>CUST93510</t>
  </si>
  <si>
    <t>CUST11357</t>
  </si>
  <si>
    <t>CUST40406</t>
  </si>
  <si>
    <t>CUST98872</t>
  </si>
  <si>
    <t>CUST40737</t>
  </si>
  <si>
    <t>CUST70179</t>
  </si>
  <si>
    <t>CUST49001</t>
  </si>
  <si>
    <t>CUST67015</t>
  </si>
  <si>
    <t>CUST64010</t>
  </si>
  <si>
    <t>CUST80626</t>
  </si>
  <si>
    <t>CUST20698</t>
  </si>
  <si>
    <t>CUST63981</t>
  </si>
  <si>
    <t>CUST25262</t>
  </si>
  <si>
    <t>CUST45158</t>
  </si>
  <si>
    <t>CUST50914</t>
  </si>
  <si>
    <t>CUST15041</t>
  </si>
  <si>
    <t>CUST65279</t>
  </si>
  <si>
    <t>CUST53475</t>
  </si>
  <si>
    <t>CUST36416</t>
  </si>
  <si>
    <t>CUST31749</t>
  </si>
  <si>
    <t>CUST63796</t>
  </si>
  <si>
    <t>CUST11541</t>
  </si>
  <si>
    <t>CUST39743</t>
  </si>
  <si>
    <t>CUST31376</t>
  </si>
  <si>
    <t>CUST85991</t>
  </si>
  <si>
    <t>CUST68937</t>
  </si>
  <si>
    <t>CUST71881</t>
  </si>
  <si>
    <t>CUST50379</t>
  </si>
  <si>
    <t>CUST71480</t>
  </si>
  <si>
    <t>CUST71443</t>
  </si>
  <si>
    <t>CUST43338</t>
  </si>
  <si>
    <t>CUST26751</t>
  </si>
  <si>
    <t>CUST32054</t>
  </si>
  <si>
    <t>CUST71924</t>
  </si>
  <si>
    <t>CUST84503</t>
  </si>
  <si>
    <t>CUST46858</t>
  </si>
  <si>
    <t>CUST26693</t>
  </si>
  <si>
    <t>CUST78349</t>
  </si>
  <si>
    <t>CUST51129</t>
  </si>
  <si>
    <t>CUST23123</t>
  </si>
  <si>
    <t>CUST59134</t>
  </si>
  <si>
    <t>CUST34626</t>
  </si>
  <si>
    <t>CUST90022</t>
  </si>
  <si>
    <t>CUST89734</t>
  </si>
  <si>
    <t>CUST60557</t>
  </si>
  <si>
    <t>CUST77106</t>
  </si>
  <si>
    <t>CUST54038</t>
  </si>
  <si>
    <t>CUST31121</t>
  </si>
  <si>
    <t>CUST86750</t>
  </si>
  <si>
    <t>CUST74451</t>
  </si>
  <si>
    <t>CUST20100</t>
  </si>
  <si>
    <t>CUST18598</t>
  </si>
  <si>
    <t>CUST35675</t>
  </si>
  <si>
    <t>CUST85160</t>
  </si>
  <si>
    <t>CUST11173</t>
  </si>
  <si>
    <t>CUST87533</t>
  </si>
  <si>
    <t>CUST22914</t>
  </si>
  <si>
    <t>CUST35879</t>
  </si>
  <si>
    <t>CUST53465</t>
  </si>
  <si>
    <t>CUST56273</t>
  </si>
  <si>
    <t>CUST95895</t>
  </si>
  <si>
    <t>CUST32439</t>
  </si>
  <si>
    <t>CUST81810</t>
  </si>
  <si>
    <t>CUST88862</t>
  </si>
  <si>
    <t>CUST42618</t>
  </si>
  <si>
    <t>CUST55045</t>
  </si>
  <si>
    <t>CUST99480</t>
  </si>
  <si>
    <t>CUST85064</t>
  </si>
  <si>
    <t>CUST95641</t>
  </si>
  <si>
    <t>CUST46563</t>
  </si>
  <si>
    <t>CUST14288</t>
  </si>
  <si>
    <t>CUST67171</t>
  </si>
  <si>
    <t>CUST43682</t>
  </si>
  <si>
    <t>CUST69535</t>
  </si>
  <si>
    <t>CUST66394</t>
  </si>
  <si>
    <t>CUST91290</t>
  </si>
  <si>
    <t>CUST61652</t>
  </si>
  <si>
    <t>CUST56182</t>
  </si>
  <si>
    <t>CUST83414</t>
  </si>
  <si>
    <t>CUST78360</t>
  </si>
  <si>
    <t>CUST44567</t>
  </si>
  <si>
    <t>CUST78825</t>
  </si>
  <si>
    <t>CUST96077</t>
  </si>
  <si>
    <t>CUST91237</t>
  </si>
  <si>
    <t>CUST31548</t>
  </si>
  <si>
    <t>CUST56320</t>
  </si>
  <si>
    <t>CUST45836</t>
  </si>
  <si>
    <t>CUST63603</t>
  </si>
  <si>
    <t>CUST87013</t>
  </si>
  <si>
    <t>CUST36089</t>
  </si>
  <si>
    <t>CUST68821</t>
  </si>
  <si>
    <t>CUST66709</t>
  </si>
  <si>
    <t>CUST86126</t>
  </si>
  <si>
    <t>CUST74640</t>
  </si>
  <si>
    <t>CUST86682</t>
  </si>
  <si>
    <t>CUST48102</t>
  </si>
  <si>
    <t>CUST68593</t>
  </si>
  <si>
    <t>CUST72766</t>
  </si>
  <si>
    <t>CUST15849</t>
  </si>
  <si>
    <t>CUST60225</t>
  </si>
  <si>
    <t>CUST43788</t>
  </si>
  <si>
    <t>CUST82277</t>
  </si>
  <si>
    <t>CUST36487</t>
  </si>
  <si>
    <t>CUST91440</t>
  </si>
  <si>
    <t>CUST96398</t>
  </si>
  <si>
    <t>CUST91730</t>
  </si>
  <si>
    <t>CUST20251</t>
  </si>
  <si>
    <t>CUST99015</t>
  </si>
  <si>
    <t>CUST73695</t>
  </si>
  <si>
    <t>CUST78657</t>
  </si>
  <si>
    <t>CUST68102</t>
  </si>
  <si>
    <t>CUST47727</t>
  </si>
  <si>
    <t>CUST54757</t>
  </si>
  <si>
    <t>CUST56865</t>
  </si>
  <si>
    <t>CUST10119</t>
  </si>
  <si>
    <t>CUST33293</t>
  </si>
  <si>
    <t>CUST91168</t>
  </si>
  <si>
    <t>CUST27263</t>
  </si>
  <si>
    <t>CUST47157</t>
  </si>
  <si>
    <t>CUST28452</t>
  </si>
  <si>
    <t>CUST73935</t>
  </si>
  <si>
    <t>CUST88666</t>
  </si>
  <si>
    <t>CUST49984</t>
  </si>
  <si>
    <t>CUST31194</t>
  </si>
  <si>
    <t>CUST37590</t>
  </si>
  <si>
    <t>CUST90595</t>
  </si>
  <si>
    <t>CUST33000</t>
  </si>
  <si>
    <t>CUST36198</t>
  </si>
  <si>
    <t>CUST84199</t>
  </si>
  <si>
    <t>CUST77892</t>
  </si>
  <si>
    <t>CUST13589</t>
  </si>
  <si>
    <t>CUST88374</t>
  </si>
  <si>
    <t>CUST65675</t>
  </si>
  <si>
    <t>CUST62959</t>
  </si>
  <si>
    <t>CUST37788</t>
  </si>
  <si>
    <t>CUST19327</t>
  </si>
  <si>
    <t>CUST56000</t>
  </si>
  <si>
    <t>CUST44603</t>
  </si>
  <si>
    <t>CUST39713</t>
  </si>
  <si>
    <t>CUST53642</t>
  </si>
  <si>
    <t>CUST93929</t>
  </si>
  <si>
    <t>CUST93281</t>
  </si>
  <si>
    <t>CUST17211</t>
  </si>
  <si>
    <t>CUST87713</t>
  </si>
  <si>
    <t>CUST42745</t>
  </si>
  <si>
    <t>CUST39226</t>
  </si>
  <si>
    <t>CUST69290</t>
  </si>
  <si>
    <t>CUST45370</t>
  </si>
  <si>
    <t>CUST24660</t>
  </si>
  <si>
    <t>CUST67041</t>
  </si>
  <si>
    <t>CUST53185</t>
  </si>
  <si>
    <t>CUST23057</t>
  </si>
  <si>
    <t>CUST24727</t>
  </si>
  <si>
    <t>CUST32837</t>
  </si>
  <si>
    <t>CUST12202</t>
  </si>
  <si>
    <t>CUST25778</t>
  </si>
  <si>
    <t>CUST61776</t>
  </si>
  <si>
    <t>CUST92995</t>
  </si>
  <si>
    <t>CUST16866</t>
  </si>
  <si>
    <t>CUST50538</t>
  </si>
  <si>
    <t>CUST81898</t>
  </si>
  <si>
    <t>CUST93432</t>
  </si>
  <si>
    <t>CUST25040</t>
  </si>
  <si>
    <t>CUST41190</t>
  </si>
  <si>
    <t>CUST75689</t>
  </si>
  <si>
    <t>CUST51650</t>
  </si>
  <si>
    <t>CUST89627</t>
  </si>
  <si>
    <t>CUST32707</t>
  </si>
  <si>
    <t>CUST91913</t>
  </si>
  <si>
    <t>CUST10832</t>
  </si>
  <si>
    <t>CUST77434</t>
  </si>
  <si>
    <t>CUST52144</t>
  </si>
  <si>
    <t>CUST11894</t>
  </si>
  <si>
    <t>CUST15141</t>
  </si>
  <si>
    <t>CUST22698</t>
  </si>
  <si>
    <t>CUST90758</t>
  </si>
  <si>
    <t>CUST32742</t>
  </si>
  <si>
    <t>CUST56352</t>
  </si>
  <si>
    <t>CUST72359</t>
  </si>
  <si>
    <t>CUST32644</t>
  </si>
  <si>
    <t>CUST39834</t>
  </si>
  <si>
    <t>CUST71687</t>
  </si>
  <si>
    <t>CUST81492</t>
  </si>
  <si>
    <t>CUST88179</t>
  </si>
  <si>
    <t>CUST80482</t>
  </si>
  <si>
    <t>CUST38264</t>
  </si>
  <si>
    <t>CUST64599</t>
  </si>
  <si>
    <t>CUST26928</t>
  </si>
  <si>
    <t>CUST56269</t>
  </si>
  <si>
    <t>CUST88198</t>
  </si>
  <si>
    <t>CUST75465</t>
  </si>
  <si>
    <t>CUST29638</t>
  </si>
  <si>
    <t>CUST44383</t>
  </si>
  <si>
    <t>CUST56543</t>
  </si>
  <si>
    <t>CUST42554</t>
  </si>
  <si>
    <t>CUST47173</t>
  </si>
  <si>
    <t>CUST13694</t>
  </si>
  <si>
    <t>CUST39719</t>
  </si>
  <si>
    <t>CUST78331</t>
  </si>
  <si>
    <t>CUST19237</t>
  </si>
  <si>
    <t>CUST66040</t>
  </si>
  <si>
    <t>CUST79734</t>
  </si>
  <si>
    <t>CUST20697</t>
  </si>
  <si>
    <t>CUST75901</t>
  </si>
  <si>
    <t>CUST48870</t>
  </si>
  <si>
    <t>CUST78878</t>
  </si>
  <si>
    <t>CUST34392</t>
  </si>
  <si>
    <t>CUST85367</t>
  </si>
  <si>
    <t>CUST72992</t>
  </si>
  <si>
    <t>CUST30284</t>
  </si>
  <si>
    <t>CUST45007</t>
  </si>
  <si>
    <t>CUST53894</t>
  </si>
  <si>
    <t>CUST21592</t>
  </si>
  <si>
    <t>CUST23788</t>
  </si>
  <si>
    <t>CUST97086</t>
  </si>
  <si>
    <t>CUST79927</t>
  </si>
  <si>
    <t>CUST66780</t>
  </si>
  <si>
    <t>CUST12813</t>
  </si>
  <si>
    <t>CUST25021</t>
  </si>
  <si>
    <t>CUST56218</t>
  </si>
  <si>
    <t>CUST70751</t>
  </si>
  <si>
    <t>CUST43445</t>
  </si>
  <si>
    <t>CUST28274</t>
  </si>
  <si>
    <t>CUST18461</t>
  </si>
  <si>
    <t>CUST78485</t>
  </si>
  <si>
    <t>CUST54078</t>
  </si>
  <si>
    <t>CUST48650</t>
  </si>
  <si>
    <t>CUST48173</t>
  </si>
  <si>
    <t>CUST58907</t>
  </si>
  <si>
    <t>CUST85003</t>
  </si>
  <si>
    <t>CUST36643</t>
  </si>
  <si>
    <t>CUST72936</t>
  </si>
  <si>
    <t>CUST45250</t>
  </si>
  <si>
    <t>CUST30203</t>
  </si>
  <si>
    <t>CUST49590</t>
  </si>
  <si>
    <t>CUST53924</t>
  </si>
  <si>
    <t>CUST90546</t>
  </si>
  <si>
    <t>CUST66539</t>
  </si>
  <si>
    <t>CUST15169</t>
  </si>
  <si>
    <t>CUST17003</t>
  </si>
  <si>
    <t>CUST55631</t>
  </si>
  <si>
    <t>CUST15911</t>
  </si>
  <si>
    <t>CUST44001</t>
  </si>
  <si>
    <t>CUST47208</t>
  </si>
  <si>
    <t>CUST28425</t>
  </si>
  <si>
    <t>CUST51130</t>
  </si>
  <si>
    <t>CUST14366</t>
  </si>
  <si>
    <t>CUST81400</t>
  </si>
  <si>
    <t>CUST86582</t>
  </si>
  <si>
    <t>CUST86482</t>
  </si>
  <si>
    <t>CUST98199</t>
  </si>
  <si>
    <t>CUST85123</t>
  </si>
  <si>
    <t>CUST17596</t>
  </si>
  <si>
    <t>CUST36871</t>
  </si>
  <si>
    <t>CUST82696</t>
  </si>
  <si>
    <t>CUST11864</t>
  </si>
  <si>
    <t>CUST73237</t>
  </si>
  <si>
    <t>CUST12803</t>
  </si>
  <si>
    <t>CUST43347</t>
  </si>
  <si>
    <t>CUST33473</t>
  </si>
  <si>
    <t>CUST80382</t>
  </si>
  <si>
    <t>CUST85826</t>
  </si>
  <si>
    <t>CUST95747</t>
  </si>
  <si>
    <t>CUST43959</t>
  </si>
  <si>
    <t>CUST87380</t>
  </si>
  <si>
    <t>CUST33812</t>
  </si>
  <si>
    <t>CUST17283</t>
  </si>
  <si>
    <t>CUST11084</t>
  </si>
  <si>
    <t>CUST22407</t>
  </si>
  <si>
    <t>CUST31426</t>
  </si>
  <si>
    <t>CUST65296</t>
  </si>
  <si>
    <t>CUST75856</t>
  </si>
  <si>
    <t>CUST50085</t>
  </si>
  <si>
    <t>CUST30733</t>
  </si>
  <si>
    <t>CUST57730</t>
  </si>
  <si>
    <t>CUST87716</t>
  </si>
  <si>
    <t>CUST57130</t>
  </si>
  <si>
    <t>CUST68822</t>
  </si>
  <si>
    <t>CUST36147</t>
  </si>
  <si>
    <t>CUST98823</t>
  </si>
  <si>
    <t>CUST99667</t>
  </si>
  <si>
    <t>CUST81560</t>
  </si>
  <si>
    <t>CUST69669</t>
  </si>
  <si>
    <t>CUST65314</t>
  </si>
  <si>
    <t>CUST71637</t>
  </si>
  <si>
    <t>CUST80061</t>
  </si>
  <si>
    <t>CUST32611</t>
  </si>
  <si>
    <t>CUST58885</t>
  </si>
  <si>
    <t>CUST12088</t>
  </si>
  <si>
    <t>CUST45020</t>
  </si>
  <si>
    <t>CUST90335</t>
  </si>
  <si>
    <t>CUST22364</t>
  </si>
  <si>
    <t>CUST34316</t>
  </si>
  <si>
    <t>CUST62962</t>
  </si>
  <si>
    <t>CUST93079</t>
  </si>
  <si>
    <t>CUST73092</t>
  </si>
  <si>
    <t>CUST67118</t>
  </si>
  <si>
    <t>CUST92446</t>
  </si>
  <si>
    <t>CUST61755</t>
  </si>
  <si>
    <t>CUST25365</t>
  </si>
  <si>
    <t>CUST59115</t>
  </si>
  <si>
    <t>CUST40461</t>
  </si>
  <si>
    <t>CUST51201</t>
  </si>
  <si>
    <t>CUST96422</t>
  </si>
  <si>
    <t>CUST40985</t>
  </si>
  <si>
    <t>CUST58717</t>
  </si>
  <si>
    <t>CUST68287</t>
  </si>
  <si>
    <t>CUST49336</t>
  </si>
  <si>
    <t>CUST34271</t>
  </si>
  <si>
    <t>CUST87785</t>
  </si>
  <si>
    <t>CUST49045</t>
  </si>
  <si>
    <t>CUST94132</t>
  </si>
  <si>
    <t>CUST82054</t>
  </si>
  <si>
    <t>CUST99911</t>
  </si>
  <si>
    <t>CUST59689</t>
  </si>
  <si>
    <t>CUST92455</t>
  </si>
  <si>
    <t>CUST52365</t>
  </si>
  <si>
    <t>CUST73309</t>
  </si>
  <si>
    <t>CUST70385</t>
  </si>
  <si>
    <t>CUST73979</t>
  </si>
  <si>
    <t>CUST11377</t>
  </si>
  <si>
    <t>CUST76759</t>
  </si>
  <si>
    <t>CUST37734</t>
  </si>
  <si>
    <t>CUST43028</t>
  </si>
  <si>
    <t>CUST58596</t>
  </si>
  <si>
    <t>CUST54198</t>
  </si>
  <si>
    <t>CUST54722</t>
  </si>
  <si>
    <t>CUST63824</t>
  </si>
  <si>
    <t>CUST19071</t>
  </si>
  <si>
    <t>CUST51429</t>
  </si>
  <si>
    <t>CUST88493</t>
  </si>
  <si>
    <t>CUST38666</t>
  </si>
  <si>
    <t>CUST17023</t>
  </si>
  <si>
    <t>CUST12119</t>
  </si>
  <si>
    <t>CUST36586</t>
  </si>
  <si>
    <t>CUST50090</t>
  </si>
  <si>
    <t>CUST77621</t>
  </si>
  <si>
    <t>CUST32231</t>
  </si>
  <si>
    <t>CUST85120</t>
  </si>
  <si>
    <t>CUST11443</t>
  </si>
  <si>
    <t>CUST60419</t>
  </si>
  <si>
    <t>CUST33936</t>
  </si>
  <si>
    <t>CUST87141</t>
  </si>
  <si>
    <t>CUST65135</t>
  </si>
  <si>
    <t>CUST21364</t>
  </si>
  <si>
    <t>CUST48971</t>
  </si>
  <si>
    <t>CUST61210</t>
  </si>
  <si>
    <t>CUST79297</t>
  </si>
  <si>
    <t>CUST21095</t>
  </si>
  <si>
    <t>CUST82519</t>
  </si>
  <si>
    <t>CUST80858</t>
  </si>
  <si>
    <t>CUST95028</t>
  </si>
  <si>
    <t>CUST70017</t>
  </si>
  <si>
    <t>CUST50530</t>
  </si>
  <si>
    <t>CUST34903</t>
  </si>
  <si>
    <t>CUST16313</t>
  </si>
  <si>
    <t>CUST47163</t>
  </si>
  <si>
    <t>CUST60849</t>
  </si>
  <si>
    <t>CUST79923</t>
  </si>
  <si>
    <t>CUST97335</t>
  </si>
  <si>
    <t>CUST10482</t>
  </si>
  <si>
    <t>CUST71394</t>
  </si>
  <si>
    <t>CUST92786</t>
  </si>
  <si>
    <t>CUST25382</t>
  </si>
  <si>
    <t>CUST51981</t>
  </si>
  <si>
    <t>CUST28142</t>
  </si>
  <si>
    <t>CUST37998</t>
  </si>
  <si>
    <t>CUST19181</t>
  </si>
  <si>
    <t>CUST30717</t>
  </si>
  <si>
    <t>CUST81855</t>
  </si>
  <si>
    <t>CUST87709</t>
  </si>
  <si>
    <t>CUST76084</t>
  </si>
  <si>
    <t>CUST61651</t>
  </si>
  <si>
    <t>CUST42355</t>
  </si>
  <si>
    <t>CUST61978</t>
  </si>
  <si>
    <t>CUST64488</t>
  </si>
  <si>
    <t>CUST10142</t>
  </si>
  <si>
    <t>CUST57692</t>
  </si>
  <si>
    <t>CUST48506</t>
  </si>
  <si>
    <t>CUST12489</t>
  </si>
  <si>
    <t>CUST65044</t>
  </si>
  <si>
    <t>CUST89049</t>
  </si>
  <si>
    <t>CUST81641</t>
  </si>
  <si>
    <t>CUST95438</t>
  </si>
  <si>
    <t>CUST70802</t>
  </si>
  <si>
    <t>CUST50617</t>
  </si>
  <si>
    <t>CUST71133</t>
  </si>
  <si>
    <t>CUST59318</t>
  </si>
  <si>
    <t>CUST37629</t>
  </si>
  <si>
    <t>CUST44841</t>
  </si>
  <si>
    <t>CUST89241</t>
  </si>
  <si>
    <t>CUST22233</t>
  </si>
  <si>
    <t>CUST71177</t>
  </si>
  <si>
    <t>CUST51111</t>
  </si>
  <si>
    <t>CUST79186</t>
  </si>
  <si>
    <t>CUST69077</t>
  </si>
  <si>
    <t>CUST41689</t>
  </si>
  <si>
    <t>CUST63478</t>
  </si>
  <si>
    <t>CUST99255</t>
  </si>
  <si>
    <t>CUST30588</t>
  </si>
  <si>
    <t>CUST45125</t>
  </si>
  <si>
    <t>CUST18794</t>
  </si>
  <si>
    <t>CUST72285</t>
  </si>
  <si>
    <t>CUST24275</t>
  </si>
  <si>
    <t>CUST69849</t>
  </si>
  <si>
    <t>CUST85203</t>
  </si>
  <si>
    <t>CUST33978</t>
  </si>
  <si>
    <t>CUST63540</t>
  </si>
  <si>
    <t>CUST72637</t>
  </si>
  <si>
    <t>CUST33012</t>
  </si>
  <si>
    <t>CUST69386</t>
  </si>
  <si>
    <t>CUST11053</t>
  </si>
  <si>
    <t>CUST67898</t>
  </si>
  <si>
    <t>CUST27039</t>
  </si>
  <si>
    <t>CUST19110</t>
  </si>
  <si>
    <t>CUST35012</t>
  </si>
  <si>
    <t>CUST43725</t>
  </si>
  <si>
    <t>CUST41582</t>
  </si>
  <si>
    <t>CUST17740</t>
  </si>
  <si>
    <t>CUST25381</t>
  </si>
  <si>
    <t>CUST35144</t>
  </si>
  <si>
    <t>CUST95590</t>
  </si>
  <si>
    <t>CUST87780</t>
  </si>
  <si>
    <t>CUST60403</t>
  </si>
  <si>
    <t>CUST79418</t>
  </si>
  <si>
    <t>CUST94267</t>
  </si>
  <si>
    <t>CUST65969</t>
  </si>
  <si>
    <t>CUST70004</t>
  </si>
  <si>
    <t>CUST44299</t>
  </si>
  <si>
    <t>CUST85917</t>
  </si>
  <si>
    <t>CUST14011</t>
  </si>
  <si>
    <t>CUST59391</t>
  </si>
  <si>
    <t>CUST89340</t>
  </si>
  <si>
    <t>CUST92302</t>
  </si>
  <si>
    <t>CUST73318</t>
  </si>
  <si>
    <t>CUST32083</t>
  </si>
  <si>
    <t>CUST39520</t>
  </si>
  <si>
    <t>CUST49646</t>
  </si>
  <si>
    <t>CUST89038</t>
  </si>
  <si>
    <t>CUST39533</t>
  </si>
  <si>
    <t>CUST20045</t>
  </si>
  <si>
    <t>CUST70815</t>
  </si>
  <si>
    <t>CUST39592</t>
  </si>
  <si>
    <t>CUST25811</t>
  </si>
  <si>
    <t>CUST74456</t>
  </si>
  <si>
    <t>CUST29245</t>
  </si>
  <si>
    <t>CUST80414</t>
  </si>
  <si>
    <t>CUST43456</t>
  </si>
  <si>
    <t>CUST77189</t>
  </si>
  <si>
    <t>CUST96176</t>
  </si>
  <si>
    <t>CUST91130</t>
  </si>
  <si>
    <t>CUST71356</t>
  </si>
  <si>
    <t>CUST66013</t>
  </si>
  <si>
    <t>CUST61728</t>
  </si>
  <si>
    <t>CUST64331</t>
  </si>
  <si>
    <t>CUST61985</t>
  </si>
  <si>
    <t>CUST20103</t>
  </si>
  <si>
    <t>CUST77463</t>
  </si>
  <si>
    <t>CUST26827</t>
  </si>
  <si>
    <t>CUST26340</t>
  </si>
  <si>
    <t>CUST29044</t>
  </si>
  <si>
    <t>CUST44870</t>
  </si>
  <si>
    <t>CUST38965</t>
  </si>
  <si>
    <t>CUST11619</t>
  </si>
  <si>
    <t>CUST65243</t>
  </si>
  <si>
    <t>CUST23405</t>
  </si>
  <si>
    <t>CUST75512</t>
  </si>
  <si>
    <t>CUST52259</t>
  </si>
  <si>
    <t>CUST98282</t>
  </si>
  <si>
    <t>CUST10341</t>
  </si>
  <si>
    <t>CUST58430</t>
  </si>
  <si>
    <t>CUST80168</t>
  </si>
  <si>
    <t>CUST19610</t>
  </si>
  <si>
    <t>CUST58597</t>
  </si>
  <si>
    <t>CUST46687</t>
  </si>
  <si>
    <t>CUST88674</t>
  </si>
  <si>
    <t>CUST33249</t>
  </si>
  <si>
    <t>CUST91245</t>
  </si>
  <si>
    <t>CUST78343</t>
  </si>
  <si>
    <t>CUST40728</t>
  </si>
  <si>
    <t>CUST21864</t>
  </si>
  <si>
    <t>CUST64967</t>
  </si>
  <si>
    <t>CUST84114</t>
  </si>
  <si>
    <t>CUST43592</t>
  </si>
  <si>
    <t>CUST87576</t>
  </si>
  <si>
    <t>CUST22472</t>
  </si>
  <si>
    <t>CUST90911</t>
  </si>
  <si>
    <t>CUST28189</t>
  </si>
  <si>
    <t>CUST23542</t>
  </si>
  <si>
    <t>CUST56998</t>
  </si>
  <si>
    <t>CUST37303</t>
  </si>
  <si>
    <t>CUST20044</t>
  </si>
  <si>
    <t>CUST65278</t>
  </si>
  <si>
    <t>CUST16704</t>
  </si>
  <si>
    <t>CUST13461</t>
  </si>
  <si>
    <t>CUST91991</t>
  </si>
  <si>
    <t>CUST97582</t>
  </si>
  <si>
    <t>CUST82375</t>
  </si>
  <si>
    <t>CUST20264</t>
  </si>
  <si>
    <t>CUST97314</t>
  </si>
  <si>
    <t>CUST67292</t>
  </si>
  <si>
    <t>CUST41719</t>
  </si>
  <si>
    <t>CUST52894</t>
  </si>
  <si>
    <t>CUST57123</t>
  </si>
  <si>
    <t>CUST21393</t>
  </si>
  <si>
    <t>CUST17970</t>
  </si>
  <si>
    <t>CUST77015</t>
  </si>
  <si>
    <t>CUST38818</t>
  </si>
  <si>
    <t>CUST66575</t>
  </si>
  <si>
    <t>CUST35766</t>
  </si>
  <si>
    <t>CUST66240</t>
  </si>
  <si>
    <t>CUST32864</t>
  </si>
  <si>
    <t>CUST23139</t>
  </si>
  <si>
    <t>CUST38782</t>
  </si>
  <si>
    <t>CUST53925</t>
  </si>
  <si>
    <t>CUST98091</t>
  </si>
  <si>
    <t>CUST85378</t>
  </si>
  <si>
    <t>CUST80568</t>
  </si>
  <si>
    <t>CUST25367</t>
  </si>
  <si>
    <t>CUST41361</t>
  </si>
  <si>
    <t>CUST80610</t>
  </si>
  <si>
    <t>CUST77633</t>
  </si>
  <si>
    <t>CUST94523</t>
  </si>
  <si>
    <t>CUST10010</t>
  </si>
  <si>
    <t>CUST15820</t>
  </si>
  <si>
    <t>CUST87283</t>
  </si>
  <si>
    <t>CUST22615</t>
  </si>
  <si>
    <t>CUST16346</t>
  </si>
  <si>
    <t>CUST32799</t>
  </si>
  <si>
    <t>CUST16351</t>
  </si>
  <si>
    <t>CUST57780</t>
  </si>
  <si>
    <t>CUST31496</t>
  </si>
  <si>
    <t>CUST14065</t>
  </si>
  <si>
    <t>CUST63736</t>
  </si>
  <si>
    <t>CUST47749</t>
  </si>
  <si>
    <t>CUST51711</t>
  </si>
  <si>
    <t>CUST70212</t>
  </si>
  <si>
    <t>CUST85124</t>
  </si>
  <si>
    <t>CUST61818</t>
  </si>
  <si>
    <t>CUST73588</t>
  </si>
  <si>
    <t>CUST71679</t>
  </si>
  <si>
    <t>CUST84901</t>
  </si>
  <si>
    <t>CUST83794</t>
  </si>
  <si>
    <t>CUST23018</t>
  </si>
  <si>
    <t>CUST41278</t>
  </si>
  <si>
    <t>CUST73270</t>
  </si>
  <si>
    <t>CUST42357</t>
  </si>
  <si>
    <t>CUST23280</t>
  </si>
  <si>
    <t>CUST88362</t>
  </si>
  <si>
    <t>CUST39207</t>
  </si>
  <si>
    <t>CUST89243</t>
  </si>
  <si>
    <t>CUST81342</t>
  </si>
  <si>
    <t>CUST77601</t>
  </si>
  <si>
    <t>CUST94432</t>
  </si>
  <si>
    <t>CUST77376</t>
  </si>
  <si>
    <t>CUST94020</t>
  </si>
  <si>
    <t>CUST69734</t>
  </si>
  <si>
    <t>CUST84204</t>
  </si>
  <si>
    <t>CUST10031</t>
  </si>
  <si>
    <t>CUST30806</t>
  </si>
  <si>
    <t>CUST18213</t>
  </si>
  <si>
    <t>CUST97426</t>
  </si>
  <si>
    <t>CUST11655</t>
  </si>
  <si>
    <t>CUST20968</t>
  </si>
  <si>
    <t>CUST56511</t>
  </si>
  <si>
    <t>CUST42660</t>
  </si>
  <si>
    <t>CUST50125</t>
  </si>
  <si>
    <t>CUST26675</t>
  </si>
  <si>
    <t>CUST62880</t>
  </si>
  <si>
    <t>CUST45642</t>
  </si>
  <si>
    <t>CUST43475</t>
  </si>
  <si>
    <t>CUST93759</t>
  </si>
  <si>
    <t>CUST24395</t>
  </si>
  <si>
    <t>CUST16441</t>
  </si>
  <si>
    <t>CUST74360</t>
  </si>
  <si>
    <t>CUST87010</t>
  </si>
  <si>
    <t>CUST90643</t>
  </si>
  <si>
    <t>CUST76876</t>
  </si>
  <si>
    <t>CUST33899</t>
  </si>
  <si>
    <t>CUST83607</t>
  </si>
  <si>
    <t>CUST61289</t>
  </si>
  <si>
    <t>CUST54844</t>
  </si>
  <si>
    <t>CUST54863</t>
  </si>
  <si>
    <t>CUST13669</t>
  </si>
  <si>
    <t>CUST17705</t>
  </si>
  <si>
    <t>CUST76667</t>
  </si>
  <si>
    <t>CUST93043</t>
  </si>
  <si>
    <t>CUST24680</t>
  </si>
  <si>
    <t>CUST97493</t>
  </si>
  <si>
    <t>CUST17389</t>
  </si>
  <si>
    <t>CUST13288</t>
  </si>
  <si>
    <t>CUST51297</t>
  </si>
  <si>
    <t>CUST93387</t>
  </si>
  <si>
    <t>CUST26337</t>
  </si>
  <si>
    <t>CUST71598</t>
  </si>
  <si>
    <t>CUST39270</t>
  </si>
  <si>
    <t>CUST11597</t>
  </si>
  <si>
    <t>CUST32682</t>
  </si>
  <si>
    <t>CUST77084</t>
  </si>
  <si>
    <t>CUST62289</t>
  </si>
  <si>
    <t>CUST37493</t>
  </si>
  <si>
    <t>CUST46967</t>
  </si>
  <si>
    <t>CUST29165</t>
  </si>
  <si>
    <t>CUST65623</t>
  </si>
  <si>
    <t>CUST35287</t>
  </si>
  <si>
    <t>CUST38433</t>
  </si>
  <si>
    <t>CUST81780</t>
  </si>
  <si>
    <t>CUST33795</t>
  </si>
  <si>
    <t>CUST29975</t>
  </si>
  <si>
    <t>CUST18677</t>
  </si>
  <si>
    <t>CUST36636</t>
  </si>
  <si>
    <t>CUST47211</t>
  </si>
  <si>
    <t>CUST15290</t>
  </si>
  <si>
    <t>CUST15482</t>
  </si>
  <si>
    <t>CUST87677</t>
  </si>
  <si>
    <t>CUST43903</t>
  </si>
  <si>
    <t>CUST35989</t>
  </si>
  <si>
    <t>CUST86407</t>
  </si>
  <si>
    <t>CUST43434</t>
  </si>
  <si>
    <t>CUST39076</t>
  </si>
  <si>
    <t>CUST12144</t>
  </si>
  <si>
    <t>CUST12357</t>
  </si>
  <si>
    <t>CUST94707</t>
  </si>
  <si>
    <t>CUST45896</t>
  </si>
  <si>
    <t>CUST84726</t>
  </si>
  <si>
    <t>CUST23137</t>
  </si>
  <si>
    <t>CUST43517</t>
  </si>
  <si>
    <t>CUST58747</t>
  </si>
  <si>
    <t>CUST41848</t>
  </si>
  <si>
    <t>CUST33019</t>
  </si>
  <si>
    <t>CUST89204</t>
  </si>
  <si>
    <t>CUST27792</t>
  </si>
  <si>
    <t>CUST78843</t>
  </si>
  <si>
    <t>CUST96265</t>
  </si>
  <si>
    <t>CUST35119</t>
  </si>
  <si>
    <t>CUST35129</t>
  </si>
  <si>
    <t>CUST97637</t>
  </si>
  <si>
    <t>CUST31962</t>
  </si>
  <si>
    <t>CUST71629</t>
  </si>
  <si>
    <t>CUST36285</t>
  </si>
  <si>
    <t>CUST84032</t>
  </si>
  <si>
    <t>CUST69672</t>
  </si>
  <si>
    <t>CUST34470</t>
  </si>
  <si>
    <t>CUST21669</t>
  </si>
  <si>
    <t>CUST32331</t>
  </si>
  <si>
    <t>CUST12445</t>
  </si>
  <si>
    <t>CUST60565</t>
  </si>
  <si>
    <t>CUST51684</t>
  </si>
  <si>
    <t>CUST84866</t>
  </si>
  <si>
    <t>CUST31995</t>
  </si>
  <si>
    <t>CUST18585</t>
  </si>
  <si>
    <t>CUST48227</t>
  </si>
  <si>
    <t>CUST18778</t>
  </si>
  <si>
    <t>CUST32729</t>
  </si>
  <si>
    <t>CUST72260</t>
  </si>
  <si>
    <t>CUST49152</t>
  </si>
  <si>
    <t>CUST19219</t>
  </si>
  <si>
    <t>CUST88539</t>
  </si>
  <si>
    <t>CUST59266</t>
  </si>
  <si>
    <t>CUST32285</t>
  </si>
  <si>
    <t>CUST26416</t>
  </si>
  <si>
    <t>CUST94975</t>
  </si>
  <si>
    <t>CUST32667</t>
  </si>
  <si>
    <t>CUST81249</t>
  </si>
  <si>
    <t>CUST60845</t>
  </si>
  <si>
    <t>CUST85035</t>
  </si>
  <si>
    <t>CUST62555</t>
  </si>
  <si>
    <t>CUST90739</t>
  </si>
  <si>
    <t>CUST24186</t>
  </si>
  <si>
    <t>CUST68456</t>
  </si>
  <si>
    <t>CUST29770</t>
  </si>
  <si>
    <t>CUST21057</t>
  </si>
  <si>
    <t>CUST46194</t>
  </si>
  <si>
    <t>CUST78371</t>
  </si>
  <si>
    <t>CUST42549</t>
  </si>
  <si>
    <t>CUST15198</t>
  </si>
  <si>
    <t>CUST87291</t>
  </si>
  <si>
    <t>CUST34791</t>
  </si>
  <si>
    <t>CUST39075</t>
  </si>
  <si>
    <t>CUST18573</t>
  </si>
  <si>
    <t>CUST88599</t>
  </si>
  <si>
    <t>CUST92183</t>
  </si>
  <si>
    <t>CUST42454</t>
  </si>
  <si>
    <t>CUST32831</t>
  </si>
  <si>
    <t>CUST54016</t>
  </si>
  <si>
    <t>CUST33387</t>
  </si>
  <si>
    <t>CUST26159</t>
  </si>
  <si>
    <t>CUST23713</t>
  </si>
  <si>
    <t>CUST11292</t>
  </si>
  <si>
    <t>CUST38171</t>
  </si>
  <si>
    <t>CUST56820</t>
  </si>
  <si>
    <t>CUST48226</t>
  </si>
  <si>
    <t>CUST41283</t>
  </si>
  <si>
    <t>CUST65388</t>
  </si>
  <si>
    <t>CUST80670</t>
  </si>
  <si>
    <t>CUST51793</t>
  </si>
  <si>
    <t>CUST37566</t>
  </si>
  <si>
    <t>CUST93563</t>
  </si>
  <si>
    <t>CUST48096</t>
  </si>
  <si>
    <t>CUST80927</t>
  </si>
  <si>
    <t>CUST82170</t>
  </si>
  <si>
    <t>CUST60456</t>
  </si>
  <si>
    <t>CUST19771</t>
  </si>
  <si>
    <t>CUST97024</t>
  </si>
  <si>
    <t>CUST46370</t>
  </si>
  <si>
    <t>CUST73029</t>
  </si>
  <si>
    <t>CUST70415</t>
  </si>
  <si>
    <t>CUST14561</t>
  </si>
  <si>
    <t>CUST70419</t>
  </si>
  <si>
    <t>CUST32048</t>
  </si>
  <si>
    <t>CUST40146</t>
  </si>
  <si>
    <t>CUST17605</t>
  </si>
  <si>
    <t>CUST82946</t>
  </si>
  <si>
    <t>CUST79037</t>
  </si>
  <si>
    <t>CUST67990</t>
  </si>
  <si>
    <t>CUST27838</t>
  </si>
  <si>
    <t>CUST93123</t>
  </si>
  <si>
    <t>CUST26543</t>
  </si>
  <si>
    <t>CUST20384</t>
  </si>
  <si>
    <t>CUST87488</t>
  </si>
  <si>
    <t>CUST85789</t>
  </si>
  <si>
    <t>CUST21750</t>
  </si>
  <si>
    <t>CUST74413</t>
  </si>
  <si>
    <t>CUST52005</t>
  </si>
  <si>
    <t>CUST25799</t>
  </si>
  <si>
    <t>CUST93224</t>
  </si>
  <si>
    <t>CUST14123</t>
  </si>
  <si>
    <t>CUST83416</t>
  </si>
  <si>
    <t>CUST22051</t>
  </si>
  <si>
    <t>CUST90454</t>
  </si>
  <si>
    <t>CUST16170</t>
  </si>
  <si>
    <t>CUST82105</t>
  </si>
  <si>
    <t>CUST95199</t>
  </si>
  <si>
    <t>CUST98342</t>
  </si>
  <si>
    <t>CUST71524</t>
  </si>
  <si>
    <t>CUST20420</t>
  </si>
  <si>
    <t>CUST79503</t>
  </si>
  <si>
    <t>CUST77733</t>
  </si>
  <si>
    <t>CUST79866</t>
  </si>
  <si>
    <t>CUST17921</t>
  </si>
  <si>
    <t>CUST30208</t>
  </si>
  <si>
    <t>CUST84635</t>
  </si>
  <si>
    <t>CUST44437</t>
  </si>
  <si>
    <t>CUST38746</t>
  </si>
  <si>
    <t>CUST26512</t>
  </si>
  <si>
    <t>CUST82303</t>
  </si>
  <si>
    <t>CUST83683</t>
  </si>
  <si>
    <t>CUST74423</t>
  </si>
  <si>
    <t>CUST36698</t>
  </si>
  <si>
    <t>CUST63269</t>
  </si>
  <si>
    <t>CUST85209</t>
  </si>
  <si>
    <t>CUST97362</t>
  </si>
  <si>
    <t>CUST23893</t>
  </si>
  <si>
    <t>CUST18752</t>
  </si>
  <si>
    <t>CUST45019</t>
  </si>
  <si>
    <t>CUST95834</t>
  </si>
  <si>
    <t>CUST27463</t>
  </si>
  <si>
    <t>CUST95419</t>
  </si>
  <si>
    <t>CUST40061</t>
  </si>
  <si>
    <t>CUST30341</t>
  </si>
  <si>
    <t>CUST90407</t>
  </si>
  <si>
    <t>CUST90564</t>
  </si>
  <si>
    <t>CUST25653</t>
  </si>
  <si>
    <t>CUST46401</t>
  </si>
  <si>
    <t>CUST80534</t>
  </si>
  <si>
    <t>CUST72328</t>
  </si>
  <si>
    <t>CUST83727</t>
  </si>
  <si>
    <t>CUST10076</t>
  </si>
  <si>
    <t>CUST60704</t>
  </si>
  <si>
    <t>CUST32821</t>
  </si>
  <si>
    <t>CUST25015</t>
  </si>
  <si>
    <t>CUST73489</t>
  </si>
  <si>
    <t>CUST46303</t>
  </si>
  <si>
    <t>CUST56258</t>
  </si>
  <si>
    <t>CUST65518</t>
  </si>
  <si>
    <t>CUST66576</t>
  </si>
  <si>
    <t>CUST38768</t>
  </si>
  <si>
    <t>CUST62621</t>
  </si>
  <si>
    <t>CUST60656</t>
  </si>
  <si>
    <t>CUST80275</t>
  </si>
  <si>
    <t>CUST34828</t>
  </si>
  <si>
    <t>CUST24563</t>
  </si>
  <si>
    <t>CUST47642</t>
  </si>
  <si>
    <t>CUST41674</t>
  </si>
  <si>
    <t>CUST19343</t>
  </si>
  <si>
    <t>CUST82253</t>
  </si>
  <si>
    <t>CUST26401</t>
  </si>
  <si>
    <t>CUST77798</t>
  </si>
  <si>
    <t>CUST71275</t>
  </si>
  <si>
    <t>CUST77752</t>
  </si>
  <si>
    <t>CUST79487</t>
  </si>
  <si>
    <t>CUST61131</t>
  </si>
  <si>
    <t>CUST91964</t>
  </si>
  <si>
    <t>CUST71016</t>
  </si>
  <si>
    <t>CUST43197</t>
  </si>
  <si>
    <t>CUST75591</t>
  </si>
  <si>
    <t>CUST98749</t>
  </si>
  <si>
    <t>CUST13209</t>
  </si>
  <si>
    <t>CUST86137</t>
  </si>
  <si>
    <t>CUST59697</t>
  </si>
  <si>
    <t>CUST97395</t>
  </si>
  <si>
    <t>CUST25307</t>
  </si>
  <si>
    <t>CUST58151</t>
  </si>
  <si>
    <t>CUST99085</t>
  </si>
  <si>
    <t>CUST56826</t>
  </si>
  <si>
    <t>CUST51796</t>
  </si>
  <si>
    <t>CUST72962</t>
  </si>
  <si>
    <t>CUST63047</t>
  </si>
  <si>
    <t>CUST31035</t>
  </si>
  <si>
    <t>CUST12802</t>
  </si>
  <si>
    <t>CUST30862</t>
  </si>
  <si>
    <t>CUST95955</t>
  </si>
  <si>
    <t>CUST99840</t>
  </si>
  <si>
    <t>CUST18338</t>
  </si>
  <si>
    <t>CUST51530</t>
  </si>
  <si>
    <t>CUST73252</t>
  </si>
  <si>
    <t>CUST16761</t>
  </si>
  <si>
    <t>CUST82983</t>
  </si>
  <si>
    <t>CUST72053</t>
  </si>
  <si>
    <t>CUST70369</t>
  </si>
  <si>
    <t>CUST85246</t>
  </si>
  <si>
    <t>CUST81933</t>
  </si>
  <si>
    <t>CUST98336</t>
  </si>
  <si>
    <t>CUST53832</t>
  </si>
  <si>
    <t>CUST17452</t>
  </si>
  <si>
    <t>CUST42606</t>
  </si>
  <si>
    <t>CUST35863</t>
  </si>
  <si>
    <t>CUST85882</t>
  </si>
  <si>
    <t>CUST27103</t>
  </si>
  <si>
    <t>CUST56660</t>
  </si>
  <si>
    <t>CUST28474</t>
  </si>
  <si>
    <t>CUST76149</t>
  </si>
  <si>
    <t>CUST33740</t>
  </si>
  <si>
    <t>CUST14675</t>
  </si>
  <si>
    <t>CUST58076</t>
  </si>
  <si>
    <t>CUST92639</t>
  </si>
  <si>
    <t>CUST83265</t>
  </si>
  <si>
    <t>CUST97016</t>
  </si>
  <si>
    <t>CUST57224</t>
  </si>
  <si>
    <t>CUST35620</t>
  </si>
  <si>
    <t>CUST52318</t>
  </si>
  <si>
    <t>CUST28708</t>
  </si>
  <si>
    <t>CUST34872</t>
  </si>
  <si>
    <t>CUST99905</t>
  </si>
  <si>
    <t>CUST48901</t>
  </si>
  <si>
    <t>CUST83572</t>
  </si>
  <si>
    <t>CUST22934</t>
  </si>
  <si>
    <t>CUST84586</t>
  </si>
  <si>
    <t>CUST17306</t>
  </si>
  <si>
    <t>CUST80851</t>
  </si>
  <si>
    <t>CUST66125</t>
  </si>
  <si>
    <t>CUST94086</t>
  </si>
  <si>
    <t>CUST89755</t>
  </si>
  <si>
    <t>CUST71008</t>
  </si>
  <si>
    <t>CUST40675</t>
  </si>
  <si>
    <t>CUST37895</t>
  </si>
  <si>
    <t>CUST76528</t>
  </si>
  <si>
    <t>CUST11571</t>
  </si>
  <si>
    <t>CUST69774</t>
  </si>
  <si>
    <t>CUST83797</t>
  </si>
  <si>
    <t>CUST21179</t>
  </si>
  <si>
    <t>CUST80822</t>
  </si>
  <si>
    <t>CUST96467</t>
  </si>
  <si>
    <t>CUST29483</t>
  </si>
  <si>
    <t>CUST51166</t>
  </si>
  <si>
    <t>CUST43336</t>
  </si>
  <si>
    <t>CUST80788</t>
  </si>
  <si>
    <t>CUST90691</t>
  </si>
  <si>
    <t>CUST85646</t>
  </si>
  <si>
    <t>CUST68146</t>
  </si>
  <si>
    <t>CUST62170</t>
  </si>
  <si>
    <t>CUST43492</t>
  </si>
  <si>
    <t>CUST71835</t>
  </si>
  <si>
    <t>CUST30340</t>
  </si>
  <si>
    <t>CUST87525</t>
  </si>
  <si>
    <t>CUST99403</t>
  </si>
  <si>
    <t>CUST79971</t>
  </si>
  <si>
    <t>CUST19770</t>
  </si>
  <si>
    <t>CUST96286</t>
  </si>
  <si>
    <t>CUST98800</t>
  </si>
  <si>
    <t>CUST24137</t>
  </si>
  <si>
    <t>CUST21193</t>
  </si>
  <si>
    <t>CUST13994</t>
  </si>
  <si>
    <t>CUST14377</t>
  </si>
  <si>
    <t>CUST87590</t>
  </si>
  <si>
    <t>CUST65161</t>
  </si>
  <si>
    <t>CUST92848</t>
  </si>
  <si>
    <t>CUST59079</t>
  </si>
  <si>
    <t>CUST12444</t>
  </si>
  <si>
    <t>CUST52464</t>
  </si>
  <si>
    <t>CUST57434</t>
  </si>
  <si>
    <t>CUST32463</t>
  </si>
  <si>
    <t>CUST56659</t>
  </si>
  <si>
    <t>CUST58669</t>
  </si>
  <si>
    <t>CUST93853</t>
  </si>
  <si>
    <t>CUST77799</t>
  </si>
  <si>
    <t>CUST10291</t>
  </si>
  <si>
    <t>CUST10935</t>
  </si>
  <si>
    <t>CUST76408</t>
  </si>
  <si>
    <t>CUST80772</t>
  </si>
  <si>
    <t>CUST34898</t>
  </si>
  <si>
    <t>CUST83563</t>
  </si>
  <si>
    <t>CUST83459</t>
  </si>
  <si>
    <t>CUST64110</t>
  </si>
  <si>
    <t>CUST21956</t>
  </si>
  <si>
    <t>CUST28843</t>
  </si>
  <si>
    <t>CUST49376</t>
  </si>
  <si>
    <t>CUST88308</t>
  </si>
  <si>
    <t>CUST85557</t>
  </si>
  <si>
    <t>CUST87479</t>
  </si>
  <si>
    <t>CUST84093</t>
  </si>
  <si>
    <t>CUST63548</t>
  </si>
  <si>
    <t>CUST41731</t>
  </si>
  <si>
    <t>CUST58205</t>
  </si>
  <si>
    <t>CUST96251</t>
  </si>
  <si>
    <t>CUST57348</t>
  </si>
  <si>
    <t>CUST90379</t>
  </si>
  <si>
    <t>CUST23597</t>
  </si>
  <si>
    <t>CUST80796</t>
  </si>
  <si>
    <t>CUST27800</t>
  </si>
  <si>
    <t>CUST74121</t>
  </si>
  <si>
    <t>CUST47298</t>
  </si>
  <si>
    <t>CUST28823</t>
  </si>
  <si>
    <t>CUST59700</t>
  </si>
  <si>
    <t>CUST29589</t>
  </si>
  <si>
    <t>CUST99787</t>
  </si>
  <si>
    <t>CUST81284</t>
  </si>
  <si>
    <t>CUST87890</t>
  </si>
  <si>
    <t>CUST85230</t>
  </si>
  <si>
    <t>CUST25904</t>
  </si>
  <si>
    <t>CUST27983</t>
  </si>
  <si>
    <t>CUST40846</t>
  </si>
  <si>
    <t>CUST83853</t>
  </si>
  <si>
    <t>CUST71142</t>
  </si>
  <si>
    <t>CUST12133</t>
  </si>
  <si>
    <t>CUST60702</t>
  </si>
  <si>
    <t>CUST63085</t>
  </si>
  <si>
    <t>CUST46554</t>
  </si>
  <si>
    <t>CUST75307</t>
  </si>
  <si>
    <t>CUST72231</t>
  </si>
  <si>
    <t>CUST23042</t>
  </si>
  <si>
    <t>CUST26880</t>
  </si>
  <si>
    <t>CUST56964</t>
  </si>
  <si>
    <t>CUST17413</t>
  </si>
  <si>
    <t>CUST48020</t>
  </si>
  <si>
    <t>CUST68558</t>
  </si>
  <si>
    <t>CUST42944</t>
  </si>
  <si>
    <t>CUST50706</t>
  </si>
  <si>
    <t>CUST80558</t>
  </si>
  <si>
    <t>CUST26317</t>
  </si>
  <si>
    <t>CUST63756</t>
  </si>
  <si>
    <t>CUST28286</t>
  </si>
  <si>
    <t>CUST44136</t>
  </si>
  <si>
    <t>CUST60320</t>
  </si>
  <si>
    <t>CUST37922</t>
  </si>
  <si>
    <t>CUST22605</t>
  </si>
  <si>
    <t>CUST83710</t>
  </si>
  <si>
    <t>CUST66194</t>
  </si>
  <si>
    <t>CUST39298</t>
  </si>
  <si>
    <t>CUST25051</t>
  </si>
  <si>
    <t>CUST56979</t>
  </si>
  <si>
    <t>CUST22979</t>
  </si>
  <si>
    <t>CUST73040</t>
  </si>
  <si>
    <t>CUST88707</t>
  </si>
  <si>
    <t>CUST92295</t>
  </si>
  <si>
    <t>CUST79271</t>
  </si>
  <si>
    <t>CUST71865</t>
  </si>
  <si>
    <t>CUST16072</t>
  </si>
  <si>
    <t>CUST35354</t>
  </si>
  <si>
    <t>CUST52598</t>
  </si>
  <si>
    <t>CUST47322</t>
  </si>
  <si>
    <t>CUST99213</t>
  </si>
  <si>
    <t>CUST57503</t>
  </si>
  <si>
    <t>CUST30570</t>
  </si>
  <si>
    <t>CUST97617</t>
  </si>
  <si>
    <t>CUST85471</t>
  </si>
  <si>
    <t>CUST58592</t>
  </si>
  <si>
    <t>CUST48333</t>
  </si>
  <si>
    <t>CUST31342</t>
  </si>
  <si>
    <t>CUST84868</t>
  </si>
  <si>
    <t>CUST91519</t>
  </si>
  <si>
    <t>CUST88989</t>
  </si>
  <si>
    <t>CUST86908</t>
  </si>
  <si>
    <t>CUST89673</t>
  </si>
  <si>
    <t>CUST57605</t>
  </si>
  <si>
    <t>CUST14212</t>
  </si>
  <si>
    <t>CUST12145</t>
  </si>
  <si>
    <t>CUST60023</t>
  </si>
  <si>
    <t>CUST46318</t>
  </si>
  <si>
    <t>CUST83458</t>
  </si>
  <si>
    <t>CUST18475</t>
  </si>
  <si>
    <t>CUST43186</t>
  </si>
  <si>
    <t>CUST87256</t>
  </si>
  <si>
    <t>CUST24705</t>
  </si>
  <si>
    <t>CUST62853</t>
  </si>
  <si>
    <t>CUST48800</t>
  </si>
  <si>
    <t>CUST90912</t>
  </si>
  <si>
    <t>CUST31856</t>
  </si>
  <si>
    <t>CUST85922</t>
  </si>
  <si>
    <t>CUST25567</t>
  </si>
  <si>
    <t>CUST29024</t>
  </si>
  <si>
    <t>CUST59528</t>
  </si>
  <si>
    <t>CUST60399</t>
  </si>
  <si>
    <t>CUST96504</t>
  </si>
  <si>
    <t>CUST65090</t>
  </si>
  <si>
    <t>CUST45215</t>
  </si>
  <si>
    <t>CUST88794</t>
  </si>
  <si>
    <t>CUST68926</t>
  </si>
  <si>
    <t>CUST57881</t>
  </si>
  <si>
    <t>CUST90733</t>
  </si>
  <si>
    <t>CUST64953</t>
  </si>
  <si>
    <t>CUST11745</t>
  </si>
  <si>
    <t>CUST85245</t>
  </si>
  <si>
    <t>CUST21392</t>
  </si>
  <si>
    <t>CUST62148</t>
  </si>
  <si>
    <t>CUST18302</t>
  </si>
  <si>
    <t>CUST17634</t>
  </si>
  <si>
    <t>CUST60979</t>
  </si>
  <si>
    <t>CUST33660</t>
  </si>
  <si>
    <t>CUST65854</t>
  </si>
  <si>
    <t>CUST83209</t>
  </si>
  <si>
    <t>CUST21442</t>
  </si>
  <si>
    <t>CUST84168</t>
  </si>
  <si>
    <t>CUST54611</t>
  </si>
  <si>
    <t>CUST15016</t>
  </si>
  <si>
    <t>CUST18698</t>
  </si>
  <si>
    <t>CUST88163</t>
  </si>
  <si>
    <t>CUST64020</t>
  </si>
  <si>
    <t>CUST43222</t>
  </si>
  <si>
    <t>CUST61400</t>
  </si>
  <si>
    <t>CUST14771</t>
  </si>
  <si>
    <t>CUST20769</t>
  </si>
  <si>
    <t>CUST86891</t>
  </si>
  <si>
    <t>CUST42909</t>
  </si>
  <si>
    <t>CUST14693</t>
  </si>
  <si>
    <t>CUST89572</t>
  </si>
  <si>
    <t>CUST76281</t>
  </si>
  <si>
    <t>CUST93197</t>
  </si>
  <si>
    <t>CUST53818</t>
  </si>
  <si>
    <t>CUST97413</t>
  </si>
  <si>
    <t>CUST48324</t>
  </si>
  <si>
    <t>CUST48105</t>
  </si>
  <si>
    <t>CUST90938</t>
  </si>
  <si>
    <t>CUST66602</t>
  </si>
  <si>
    <t>CUST82319</t>
  </si>
  <si>
    <t>CUST74695</t>
  </si>
  <si>
    <t>CUST13309</t>
  </si>
  <si>
    <t>CUST51787</t>
  </si>
  <si>
    <t>CUST47548</t>
  </si>
  <si>
    <t>CUST60523</t>
  </si>
  <si>
    <t>CUST92646</t>
  </si>
  <si>
    <t>CUST56096</t>
  </si>
  <si>
    <t>CUST11951</t>
  </si>
  <si>
    <t>CUST30772</t>
  </si>
  <si>
    <t>CUST75760</t>
  </si>
  <si>
    <t>CUST11183</t>
  </si>
  <si>
    <t>CUST25009</t>
  </si>
  <si>
    <t>CUST38029</t>
  </si>
  <si>
    <t>CUST78025</t>
  </si>
  <si>
    <t>CUST48148</t>
  </si>
  <si>
    <t>CUST48417</t>
  </si>
  <si>
    <t>CUST68814</t>
  </si>
  <si>
    <t>CUST74421</t>
  </si>
  <si>
    <t>CUST10124</t>
  </si>
  <si>
    <t>CUST76094</t>
  </si>
  <si>
    <t>CUST36581</t>
  </si>
  <si>
    <t>CUST86269</t>
  </si>
  <si>
    <t>CUST60062</t>
  </si>
  <si>
    <t>CUST14590</t>
  </si>
  <si>
    <t>CUST88313</t>
  </si>
  <si>
    <t>CUST51854</t>
  </si>
  <si>
    <t>CUST16846</t>
  </si>
  <si>
    <t>CUST79984</t>
  </si>
  <si>
    <t>CUST90006</t>
  </si>
  <si>
    <t>CUST29075</t>
  </si>
  <si>
    <t>CUST97963</t>
  </si>
  <si>
    <t>CUST45086</t>
  </si>
  <si>
    <t>CUST97673</t>
  </si>
  <si>
    <t>CUST13295</t>
  </si>
  <si>
    <t>CUST48917</t>
  </si>
  <si>
    <t>CUST29873</t>
  </si>
  <si>
    <t>CUST66752</t>
  </si>
  <si>
    <t>CUST35731</t>
  </si>
  <si>
    <t>CUST41698</t>
  </si>
  <si>
    <t>CUST62087</t>
  </si>
  <si>
    <t>CUST32887</t>
  </si>
  <si>
    <t>CUST54092</t>
  </si>
  <si>
    <t>CUST40596</t>
  </si>
  <si>
    <t>CUST99851</t>
  </si>
  <si>
    <t>CUST65133</t>
  </si>
  <si>
    <t>CUST51574</t>
  </si>
  <si>
    <t>CUST94966</t>
  </si>
  <si>
    <t>CUST49372</t>
  </si>
  <si>
    <t>CUST19672</t>
  </si>
  <si>
    <t>CUST62855</t>
  </si>
  <si>
    <t>CUST72742</t>
  </si>
  <si>
    <t>CUST48470</t>
  </si>
  <si>
    <t>CUST77468</t>
  </si>
  <si>
    <t>CUST71115</t>
  </si>
  <si>
    <t>CUST45459</t>
  </si>
  <si>
    <t>CUST68134</t>
  </si>
  <si>
    <t>CUST47886</t>
  </si>
  <si>
    <t>CUST75846</t>
  </si>
  <si>
    <t>CUST13089</t>
  </si>
  <si>
    <t>CUST60718</t>
  </si>
  <si>
    <t>CUST99330</t>
  </si>
  <si>
    <t>CUST59771</t>
  </si>
  <si>
    <t>CUST58699</t>
  </si>
  <si>
    <t>CUST60512</t>
  </si>
  <si>
    <t>CUST59330</t>
  </si>
  <si>
    <t>CUST16243</t>
  </si>
  <si>
    <t>CUST99727</t>
  </si>
  <si>
    <t>CUST46935</t>
  </si>
  <si>
    <t>CUST78413</t>
  </si>
  <si>
    <t>CUST49179</t>
  </si>
  <si>
    <t>CUST33142</t>
  </si>
  <si>
    <t>CUST41124</t>
  </si>
  <si>
    <t>CUST81310</t>
  </si>
  <si>
    <t>CUST65471</t>
  </si>
  <si>
    <t>CUST45611</t>
  </si>
  <si>
    <t>CUST68064</t>
  </si>
  <si>
    <t>CUST47294</t>
  </si>
  <si>
    <t>CUST52903</t>
  </si>
  <si>
    <t>CUST63884</t>
  </si>
  <si>
    <t>CUST34599</t>
  </si>
  <si>
    <t>CUST22021</t>
  </si>
  <si>
    <t>CUST19556</t>
  </si>
  <si>
    <t>CUST26009</t>
  </si>
  <si>
    <t>CUST98290</t>
  </si>
  <si>
    <t>CUST67289</t>
  </si>
  <si>
    <t>CUST84354</t>
  </si>
  <si>
    <t>CUST42744</t>
  </si>
  <si>
    <t>CUST66012</t>
  </si>
  <si>
    <t>CUST44840</t>
  </si>
  <si>
    <t>CUST81657</t>
  </si>
  <si>
    <t>CUST35986</t>
  </si>
  <si>
    <t>CUST73946</t>
  </si>
  <si>
    <t>CUST52355</t>
  </si>
  <si>
    <t>CUST57441</t>
  </si>
  <si>
    <t>CUST36754</t>
  </si>
  <si>
    <t>CUST68159</t>
  </si>
  <si>
    <t>CUST30676</t>
  </si>
  <si>
    <t>CUST19197</t>
  </si>
  <si>
    <t>CUST66728</t>
  </si>
  <si>
    <t>CUST32095</t>
  </si>
  <si>
    <t>CUST98335</t>
  </si>
  <si>
    <t>CUST93755</t>
  </si>
  <si>
    <t>CUST86703</t>
  </si>
  <si>
    <t>CUST38475</t>
  </si>
  <si>
    <t>CUST54338</t>
  </si>
  <si>
    <t>CUST24114</t>
  </si>
  <si>
    <t>CUST56488</t>
  </si>
  <si>
    <t>CUST80359</t>
  </si>
  <si>
    <t>CUST11893</t>
  </si>
  <si>
    <t>CUST85200</t>
  </si>
  <si>
    <t>CUST69853</t>
  </si>
  <si>
    <t>CUST32819</t>
  </si>
  <si>
    <t>CUST92375</t>
  </si>
  <si>
    <t>CUST52277</t>
  </si>
  <si>
    <t>CUST96256</t>
  </si>
  <si>
    <t>CUST70386</t>
  </si>
  <si>
    <t>CUST16628</t>
  </si>
  <si>
    <t>CUST69147</t>
  </si>
  <si>
    <t>CUST40071</t>
  </si>
  <si>
    <t>CUST54517</t>
  </si>
  <si>
    <t>CUST51258</t>
  </si>
  <si>
    <t>CUST17497</t>
  </si>
  <si>
    <t>CUST33981</t>
  </si>
  <si>
    <t>CUST79383</t>
  </si>
  <si>
    <t>CUST61069</t>
  </si>
  <si>
    <t>CUST49291</t>
  </si>
  <si>
    <t>CUST13395</t>
  </si>
  <si>
    <t>CUST64580</t>
  </si>
  <si>
    <t>CUST63086</t>
  </si>
  <si>
    <t>CUST98732</t>
  </si>
  <si>
    <t>CUST47568</t>
  </si>
  <si>
    <t>CUST19242</t>
  </si>
  <si>
    <t>CUST75773</t>
  </si>
  <si>
    <t>CUST65907</t>
  </si>
  <si>
    <t>CUST66024</t>
  </si>
  <si>
    <t>CUST37372</t>
  </si>
  <si>
    <t>CUST86889</t>
  </si>
  <si>
    <t>CUST94195</t>
  </si>
  <si>
    <t>CUST15343</t>
  </si>
  <si>
    <t>CUST64777</t>
  </si>
  <si>
    <t>CUST49738</t>
  </si>
  <si>
    <t>CUST16858</t>
  </si>
  <si>
    <t>CUST43332</t>
  </si>
  <si>
    <t>CUST78740</t>
  </si>
  <si>
    <t>CUST36463</t>
  </si>
  <si>
    <t>CUST83130</t>
  </si>
  <si>
    <t>CUST54997</t>
  </si>
  <si>
    <t>CUST20341</t>
  </si>
  <si>
    <t>CUST26931</t>
  </si>
  <si>
    <t>CUST97710</t>
  </si>
  <si>
    <t>CUST13668</t>
  </si>
  <si>
    <t>CUST14012</t>
  </si>
  <si>
    <t>CUST98889</t>
  </si>
  <si>
    <t>CUST14046</t>
  </si>
  <si>
    <t>CUST46976</t>
  </si>
  <si>
    <t>CUST33738</t>
  </si>
  <si>
    <t>CUST79059</t>
  </si>
  <si>
    <t>CUST43002</t>
  </si>
  <si>
    <t>CUST49641</t>
  </si>
  <si>
    <t>CUST57788</t>
  </si>
  <si>
    <t>CUST20081</t>
  </si>
  <si>
    <t>CUST64474</t>
  </si>
  <si>
    <t>CUST22746</t>
  </si>
  <si>
    <t>CUST32639</t>
  </si>
  <si>
    <t>CUST70423</t>
  </si>
  <si>
    <t>CUST26554</t>
  </si>
  <si>
    <t>CUST39697</t>
  </si>
  <si>
    <t>CUST15103</t>
  </si>
  <si>
    <t>CUST53438</t>
  </si>
  <si>
    <t>CUST93779</t>
  </si>
  <si>
    <t>CUST95600</t>
  </si>
  <si>
    <t>CUST71112</t>
  </si>
  <si>
    <t>CUST61989</t>
  </si>
  <si>
    <t>CUST98185</t>
  </si>
  <si>
    <t>CUST99723</t>
  </si>
  <si>
    <t>CUST76903</t>
  </si>
  <si>
    <t>CUST62358</t>
  </si>
  <si>
    <t>CUST57680</t>
  </si>
  <si>
    <t>CUST21860</t>
  </si>
  <si>
    <t>CUST75341</t>
  </si>
  <si>
    <t>CUST46954</t>
  </si>
  <si>
    <t>CUST49206</t>
  </si>
  <si>
    <t>CUST41850</t>
  </si>
  <si>
    <t>CUST82756</t>
  </si>
  <si>
    <t>CUST74835</t>
  </si>
  <si>
    <t>CUST79894</t>
  </si>
  <si>
    <t>CUST91602</t>
  </si>
  <si>
    <t>CUST44403</t>
  </si>
  <si>
    <t>CUST14999</t>
  </si>
  <si>
    <t>CUST40203</t>
  </si>
  <si>
    <t>CUST74781</t>
  </si>
  <si>
    <t>CUST33480</t>
  </si>
  <si>
    <t>CUST16695</t>
  </si>
  <si>
    <t>CUST65707</t>
  </si>
  <si>
    <t>CUST59634</t>
  </si>
  <si>
    <t>CUST88450</t>
  </si>
  <si>
    <t>CUST38173</t>
  </si>
  <si>
    <t>CUST99356</t>
  </si>
  <si>
    <t>CUST50770</t>
  </si>
  <si>
    <t>CUST14635</t>
  </si>
  <si>
    <t>CUST34915</t>
  </si>
  <si>
    <t>CUST13891</t>
  </si>
  <si>
    <t>CUST73244</t>
  </si>
  <si>
    <t>CUST16970</t>
  </si>
  <si>
    <t>CUST74479</t>
  </si>
  <si>
    <t>CUST68176</t>
  </si>
  <si>
    <t>CUST69583</t>
  </si>
  <si>
    <t>CUST65720</t>
  </si>
  <si>
    <t>CUST20472</t>
  </si>
  <si>
    <t>CUST67876</t>
  </si>
  <si>
    <t>CUST78436</t>
  </si>
  <si>
    <t>CUST69829</t>
  </si>
  <si>
    <t>CUST48811</t>
  </si>
  <si>
    <t>CUST63841</t>
  </si>
  <si>
    <t>CUST80433</t>
  </si>
  <si>
    <t>CUST67838</t>
  </si>
  <si>
    <t>CUST56522</t>
  </si>
  <si>
    <t>CUST62872</t>
  </si>
  <si>
    <t>CUST15981</t>
  </si>
  <si>
    <t>CUST73568</t>
  </si>
  <si>
    <t>CUST99551</t>
  </si>
  <si>
    <t>CUST45508</t>
  </si>
  <si>
    <t>CUST21117</t>
  </si>
  <si>
    <t>CUST30061</t>
  </si>
  <si>
    <t>CUST50557</t>
  </si>
  <si>
    <t>CUST59042</t>
  </si>
  <si>
    <t>CUST97729</t>
  </si>
  <si>
    <t>CUST66128</t>
  </si>
  <si>
    <t>CUST82152</t>
  </si>
  <si>
    <t>CUST82900</t>
  </si>
  <si>
    <t>CUST24024</t>
  </si>
  <si>
    <t>CUST97897</t>
  </si>
  <si>
    <t>CUST93982</t>
  </si>
  <si>
    <t>CUST65206</t>
  </si>
  <si>
    <t>CUST86828</t>
  </si>
  <si>
    <t>CUST37730</t>
  </si>
  <si>
    <t>CUST23946</t>
  </si>
  <si>
    <t>CUST28721</t>
  </si>
  <si>
    <t>CUST57281</t>
  </si>
  <si>
    <t>CUST11353</t>
  </si>
  <si>
    <t>CUST82584</t>
  </si>
  <si>
    <t>CUST30936</t>
  </si>
  <si>
    <t>CUST79078</t>
  </si>
  <si>
    <t>CUST15877</t>
  </si>
  <si>
    <t>CUST85641</t>
  </si>
  <si>
    <t>CUST78449</t>
  </si>
  <si>
    <t>CUST32629</t>
  </si>
  <si>
    <t>CUST35026</t>
  </si>
  <si>
    <t>CUST20140</t>
  </si>
  <si>
    <t>CUST10862</t>
  </si>
  <si>
    <t>CUST50102</t>
  </si>
  <si>
    <t>CUST27870</t>
  </si>
  <si>
    <t>CUST52186</t>
  </si>
  <si>
    <t>CUST15945</t>
  </si>
  <si>
    <t>CUST29592</t>
  </si>
  <si>
    <t>CUST47443</t>
  </si>
  <si>
    <t>CUST82618</t>
  </si>
  <si>
    <t>CUST54360</t>
  </si>
  <si>
    <t>CUST58428</t>
  </si>
  <si>
    <t>CUST46781</t>
  </si>
  <si>
    <t>CUST93388</t>
  </si>
  <si>
    <t>CUST34606</t>
  </si>
  <si>
    <t>CUST90180</t>
  </si>
  <si>
    <t>CUST25730</t>
  </si>
  <si>
    <t>CUST50533</t>
  </si>
  <si>
    <t>CUST39658</t>
  </si>
  <si>
    <t>CUST74522</t>
  </si>
  <si>
    <t>CUST95522</t>
  </si>
  <si>
    <t>CUST33860</t>
  </si>
  <si>
    <t>CUST10819</t>
  </si>
  <si>
    <t>CUST66657</t>
  </si>
  <si>
    <t>CUST78163</t>
  </si>
  <si>
    <t>CUST63737</t>
  </si>
  <si>
    <t>CUST61317</t>
  </si>
  <si>
    <t>CUST73795</t>
  </si>
  <si>
    <t>CUST68847</t>
  </si>
  <si>
    <t>CUST93652</t>
  </si>
  <si>
    <t>CUST25940</t>
  </si>
  <si>
    <t>CUST72335</t>
  </si>
  <si>
    <t>CUST55393</t>
  </si>
  <si>
    <t>CUST57851</t>
  </si>
  <si>
    <t>CUST66809</t>
  </si>
  <si>
    <t>CUST81090</t>
  </si>
  <si>
    <t>CUST88618</t>
  </si>
  <si>
    <t>CUST15772</t>
  </si>
  <si>
    <t>CUST72092</t>
  </si>
  <si>
    <t>CUST20465</t>
  </si>
  <si>
    <t>CUST63439</t>
  </si>
  <si>
    <t>CUST36109</t>
  </si>
  <si>
    <t>CUST31262</t>
  </si>
  <si>
    <t>CUST79134</t>
  </si>
  <si>
    <t>CUST14785</t>
  </si>
  <si>
    <t>CUST11979</t>
  </si>
  <si>
    <t>CUST24344</t>
  </si>
  <si>
    <t>CUST69214</t>
  </si>
  <si>
    <t>CUST30310</t>
  </si>
  <si>
    <t>CUST86587</t>
  </si>
  <si>
    <t>CUST10776</t>
  </si>
  <si>
    <t>CUST63984</t>
  </si>
  <si>
    <t>CUST86988</t>
  </si>
  <si>
    <t>CUST49242</t>
  </si>
  <si>
    <t>CUST55233</t>
  </si>
  <si>
    <t>CUST39852</t>
  </si>
  <si>
    <t>CUST46907</t>
  </si>
  <si>
    <t>CUST21933</t>
  </si>
  <si>
    <t>CUST41063</t>
  </si>
  <si>
    <t>CUST19998</t>
  </si>
  <si>
    <t>CUST28602</t>
  </si>
  <si>
    <t>CUST97906</t>
  </si>
  <si>
    <t>CUST40465</t>
  </si>
  <si>
    <t>CUST57639</t>
  </si>
  <si>
    <t>CUST60674</t>
  </si>
  <si>
    <t>CUST67338</t>
  </si>
  <si>
    <t>CUST24319</t>
  </si>
  <si>
    <t>CUST35389</t>
  </si>
  <si>
    <t>CUST67805</t>
  </si>
  <si>
    <t>CUST73802</t>
  </si>
  <si>
    <t>CUST22331</t>
  </si>
  <si>
    <t>CUST72290</t>
  </si>
  <si>
    <t>CUST84302</t>
  </si>
  <si>
    <t>CUST16280</t>
  </si>
  <si>
    <t>CUST52563</t>
  </si>
  <si>
    <t>CUST47384</t>
  </si>
  <si>
    <t>CUST94224</t>
  </si>
  <si>
    <t>CUST98936</t>
  </si>
  <si>
    <t>CUST35443</t>
  </si>
  <si>
    <t>CUST61812</t>
  </si>
  <si>
    <t>CUST20248</t>
  </si>
  <si>
    <t>CUST96454</t>
  </si>
  <si>
    <t>CUST22445</t>
  </si>
  <si>
    <t>CUST39849</t>
  </si>
  <si>
    <t>CUST99971</t>
  </si>
  <si>
    <t>CUST79613</t>
  </si>
  <si>
    <t>CUST93007</t>
  </si>
  <si>
    <t>CUST69454</t>
  </si>
  <si>
    <t>CUST71100</t>
  </si>
  <si>
    <t>CUST77681</t>
  </si>
  <si>
    <t>CUST20356</t>
  </si>
  <si>
    <t>CUST34531</t>
  </si>
  <si>
    <t>CUST80341</t>
  </si>
  <si>
    <t>CUST11325</t>
  </si>
  <si>
    <t>CUST84510</t>
  </si>
  <si>
    <t>CUST39056</t>
  </si>
  <si>
    <t>CUST86108</t>
  </si>
  <si>
    <t>CUST39309</t>
  </si>
  <si>
    <t>CUST95795</t>
  </si>
  <si>
    <t>CUST29998</t>
  </si>
  <si>
    <t>CUST88712</t>
  </si>
  <si>
    <t>CUST62989</t>
  </si>
  <si>
    <t>CUST14911</t>
  </si>
  <si>
    <t>CUST18059</t>
  </si>
  <si>
    <t>CUST11405</t>
  </si>
  <si>
    <t>CUST20330</t>
  </si>
  <si>
    <t>CUST89743</t>
  </si>
  <si>
    <t>CUST97269</t>
  </si>
  <si>
    <t>CUST93292</t>
  </si>
  <si>
    <t>CUST24923</t>
  </si>
  <si>
    <t>CUST29973</t>
  </si>
  <si>
    <t>CUST81027</t>
  </si>
  <si>
    <t>CUST59376</t>
  </si>
  <si>
    <t>CUST17143</t>
  </si>
  <si>
    <t>CUST37635</t>
  </si>
  <si>
    <t>CUST14973</t>
  </si>
  <si>
    <t>CUST52094</t>
  </si>
  <si>
    <t>CUST84630</t>
  </si>
  <si>
    <t>CUST65808</t>
  </si>
  <si>
    <t>CUST80651</t>
  </si>
  <si>
    <t>CUST23977</t>
  </si>
  <si>
    <t>CUST66569</t>
  </si>
  <si>
    <t>CUST93608</t>
  </si>
  <si>
    <t>CUST95634</t>
  </si>
  <si>
    <t>CUST25584</t>
  </si>
  <si>
    <t>CUST80556</t>
  </si>
  <si>
    <t>CUST61791</t>
  </si>
  <si>
    <t>CUST77653</t>
  </si>
  <si>
    <t>CUST17474</t>
  </si>
  <si>
    <t>CUST24595</t>
  </si>
  <si>
    <t>CUST45937</t>
  </si>
  <si>
    <t>CUST99699</t>
  </si>
  <si>
    <t>CUST86876</t>
  </si>
  <si>
    <t>CUST12837</t>
  </si>
  <si>
    <t>CUST98217</t>
  </si>
  <si>
    <t>CUST87113</t>
  </si>
  <si>
    <t>CUST20303</t>
  </si>
  <si>
    <t>CUST82326</t>
  </si>
  <si>
    <t>CUST79919</t>
  </si>
  <si>
    <t>CUST67097</t>
  </si>
  <si>
    <t>CUST13969</t>
  </si>
  <si>
    <t>CUST61679</t>
  </si>
  <si>
    <t>CUST63259</t>
  </si>
  <si>
    <t>CUST37971</t>
  </si>
  <si>
    <t>CUST86084</t>
  </si>
  <si>
    <t>CUST47383</t>
  </si>
  <si>
    <t>CUST58353</t>
  </si>
  <si>
    <t>CUST74814</t>
  </si>
  <si>
    <t>CUST43988</t>
  </si>
  <si>
    <t>CUST88749</t>
  </si>
  <si>
    <t>CUST71762</t>
  </si>
  <si>
    <t>CUST10564</t>
  </si>
  <si>
    <t>CUST95182</t>
  </si>
  <si>
    <t>CUST68874</t>
  </si>
  <si>
    <t>CUST44027</t>
  </si>
  <si>
    <t>CUST32739</t>
  </si>
  <si>
    <t>CUST79339</t>
  </si>
  <si>
    <t>CUST55712</t>
  </si>
  <si>
    <t>CUST83740</t>
  </si>
  <si>
    <t>CUST40740</t>
  </si>
  <si>
    <t>CUST45150</t>
  </si>
  <si>
    <t>CUST17597</t>
  </si>
  <si>
    <t>CUST57762</t>
  </si>
  <si>
    <t>CUST82233</t>
  </si>
  <si>
    <t>CUST63518</t>
  </si>
  <si>
    <t>CUST40637</t>
  </si>
  <si>
    <t>CUST54961</t>
  </si>
  <si>
    <t>CUST10435</t>
  </si>
  <si>
    <t>CUST96052</t>
  </si>
  <si>
    <t>CUST88027</t>
  </si>
  <si>
    <t>CUST79647</t>
  </si>
  <si>
    <t>CUST75789</t>
  </si>
  <si>
    <t>CUST95050</t>
  </si>
  <si>
    <t>CUST66484</t>
  </si>
  <si>
    <t>CUST18503</t>
  </si>
  <si>
    <t>CUST15699</t>
  </si>
  <si>
    <t>CUST54325</t>
  </si>
  <si>
    <t>CUST18549</t>
  </si>
  <si>
    <t>CUST22701</t>
  </si>
  <si>
    <t>CUST25683</t>
  </si>
  <si>
    <t>CUST24420</t>
  </si>
  <si>
    <t>CUST71539</t>
  </si>
  <si>
    <t>CUST43583</t>
  </si>
  <si>
    <t>CUST71974</t>
  </si>
  <si>
    <t>CUST77144</t>
  </si>
  <si>
    <t>CUST41679</t>
  </si>
  <si>
    <t>CUST32709</t>
  </si>
  <si>
    <t>CUST31350</t>
  </si>
  <si>
    <t>CUST18679</t>
  </si>
  <si>
    <t>CUST18899</t>
  </si>
  <si>
    <t>CUST28077</t>
  </si>
  <si>
    <t>CUST54799</t>
  </si>
  <si>
    <t>CUST43240</t>
  </si>
  <si>
    <t>CUST72943</t>
  </si>
  <si>
    <t>CUST94759</t>
  </si>
  <si>
    <t>CUST62407</t>
  </si>
  <si>
    <t>CUST13749</t>
  </si>
  <si>
    <t>CUST86477</t>
  </si>
  <si>
    <t>CUST92520</t>
  </si>
  <si>
    <t>CUST10793</t>
  </si>
  <si>
    <t>CUST28282</t>
  </si>
  <si>
    <t>CUST40923</t>
  </si>
  <si>
    <t>CUST15838</t>
  </si>
  <si>
    <t>CUST44816</t>
  </si>
  <si>
    <t>CUST99687</t>
  </si>
  <si>
    <t>CUST42613</t>
  </si>
  <si>
    <t>CUST91111</t>
  </si>
  <si>
    <t>CUST32662</t>
  </si>
  <si>
    <t>CUST59668</t>
  </si>
  <si>
    <t>CUST48278</t>
  </si>
  <si>
    <t>CUST38584</t>
  </si>
  <si>
    <t>CUST81141</t>
  </si>
  <si>
    <t>CUST53637</t>
  </si>
  <si>
    <t>CUST26037</t>
  </si>
  <si>
    <t>CUST10821</t>
  </si>
  <si>
    <t>CUST98388</t>
  </si>
  <si>
    <t>CUST30027</t>
  </si>
  <si>
    <t>CUST35645</t>
  </si>
  <si>
    <t>CUST83744</t>
  </si>
  <si>
    <t>CUST30613</t>
  </si>
  <si>
    <t>CUST95462</t>
  </si>
  <si>
    <t>CUST48128</t>
  </si>
  <si>
    <t>CUST39877</t>
  </si>
  <si>
    <t>CUST70892</t>
  </si>
  <si>
    <t>CUST90089</t>
  </si>
  <si>
    <t>CUST92457</t>
  </si>
  <si>
    <t>CUST92955</t>
  </si>
  <si>
    <t>CUST27856</t>
  </si>
  <si>
    <t>Female</t>
  </si>
  <si>
    <t>Male</t>
  </si>
  <si>
    <t>Hyderabad</t>
  </si>
  <si>
    <t>Chennai</t>
  </si>
  <si>
    <t>Delhi</t>
  </si>
  <si>
    <t>Mumbai</t>
  </si>
  <si>
    <t>Pune</t>
  </si>
  <si>
    <t>Bangalore</t>
  </si>
  <si>
    <t>Electronics</t>
  </si>
  <si>
    <t>Clothing</t>
  </si>
  <si>
    <t>Grocery</t>
  </si>
  <si>
    <t>Sports</t>
  </si>
  <si>
    <t>Beauty</t>
  </si>
  <si>
    <t>Furniture</t>
  </si>
  <si>
    <t>UPI</t>
  </si>
  <si>
    <t>Net Banking</t>
  </si>
  <si>
    <t>Debit Card</t>
  </si>
  <si>
    <t>Cash</t>
  </si>
  <si>
    <t>Credit Card</t>
  </si>
  <si>
    <t>Age Group</t>
  </si>
  <si>
    <t>Row Labels</t>
  </si>
  <si>
    <t>Grand Total</t>
  </si>
  <si>
    <t>Jan</t>
  </si>
  <si>
    <t>Feb</t>
  </si>
  <si>
    <t>Mar</t>
  </si>
  <si>
    <t>Apr</t>
  </si>
  <si>
    <t>May</t>
  </si>
  <si>
    <t>Jun</t>
  </si>
  <si>
    <t>Jul</t>
  </si>
  <si>
    <t>Aug</t>
  </si>
  <si>
    <t>Sep</t>
  </si>
  <si>
    <t>Oct</t>
  </si>
  <si>
    <t>Nov</t>
  </si>
  <si>
    <t>Dec</t>
  </si>
  <si>
    <t>18-25</t>
  </si>
  <si>
    <t>26-35</t>
  </si>
  <si>
    <t>36-45</t>
  </si>
  <si>
    <t>46+</t>
  </si>
  <si>
    <t>Sum of Net Sales</t>
  </si>
  <si>
    <t>Total Net Sales</t>
  </si>
  <si>
    <t>Total Orders</t>
  </si>
  <si>
    <t>Average Order Value</t>
  </si>
  <si>
    <t>Total Discount Given</t>
  </si>
  <si>
    <t>1. Product Category Insight</t>
  </si>
  <si>
    <t>Data clearly shows that Electronics and Clothing are the top-selling categories. Customers are spending more on these items compared to others, which makes them the biggest revenue contributors.</t>
  </si>
  <si>
    <t>2. City-wise Sales Insight</t>
  </si>
  <si>
    <t>Most of the sales are coming from metro cities. This indicates that urban customers are more active buyers and contribute significantly to overall revenue.</t>
  </si>
  <si>
    <t>3. Age Group Insight</t>
  </si>
  <si>
    <t>Customers in the 26–35 age group generate the highest sales. This age group appears to be more engaged and willing to spend across product categories.</t>
  </si>
  <si>
    <t>4. Payment Mode Insight</t>
  </si>
  <si>
    <t>Digital payment options such as UPI and credit cards are used more frequently than cash. This suggests a strong customer preference for quick and cashless payment methods.</t>
  </si>
  <si>
    <t>5. Monthly Sales Trend Insight</t>
  </si>
  <si>
    <t>Sales are not consistent every month and show noticeable ups and downs. This pattern indicates the impact of seasonality and promotional periods on customer buying behavior</t>
  </si>
  <si>
    <t>Insights</t>
  </si>
  <si>
    <t>RECOMMENDATIONS</t>
  </si>
  <si>
    <t>1. Product Category Recommendation</t>
  </si>
  <si>
    <t>Since Electronics and Clothing are performing well, the business should ensure adequate stock availability and focus more marketing efforts on these categories to maximize revenue.</t>
  </si>
  <si>
    <t>2. City-wise Recommendation</t>
  </si>
  <si>
    <t>Metro cities are driving most of the sales, so running location-specific promotions and offers in these cities can further improve overall performance.</t>
  </si>
  <si>
    <t>3. Age Group Recommendation</t>
  </si>
  <si>
    <t>As customers aged 26–35 contribute the highest sales, targeted digital campaigns and personalized offers for this group could help increase repeat purchases.</t>
  </si>
  <si>
    <t>4. Payment Mode Recommendation</t>
  </si>
  <si>
    <t>With higher usage of UPI and credit cards, offering cashback or discounts on digital payments can encourage faster checkouts and improve customer experience.</t>
  </si>
  <si>
    <t>5. Monthly Sales Recommendation</t>
  </si>
  <si>
    <t>For months with lower sales, planned promotions or bundled offers can help reduce the impact of seasonality and maintain steady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</si>
</sst>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quot;₹&quot;\ #,##0.00"/>
  </numFmts>
  <fonts count="10" x14ac:knownFonts="1">
    <font>
      <sz val="11"/>
      <color theme="1"/>
      <name val="Calibri"/>
      <family val="2"/>
      <scheme val="minor"/>
    </font>
    <font>
      <b/>
      <sz val="11"/>
      <color theme="1"/>
      <name val="Calibri"/>
      <family val="2"/>
      <scheme val="minor"/>
    </font>
    <font>
      <sz val="8"/>
      <name val="Calibri"/>
      <family val="2"/>
      <scheme val="minor"/>
    </font>
    <font>
      <sz val="14"/>
      <color theme="1"/>
      <name val="Calibri"/>
      <family val="2"/>
      <scheme val="minor"/>
    </font>
    <font>
      <sz val="14"/>
      <color rgb="FFC00000"/>
      <name val="Calibri"/>
      <family val="2"/>
      <scheme val="minor"/>
    </font>
    <font>
      <sz val="11"/>
      <color rgb="FFFF0000"/>
      <name val="Calibri"/>
      <family val="2"/>
      <scheme val="minor"/>
    </font>
    <font>
      <sz val="18"/>
      <color rgb="FFFF0000"/>
      <name val="Calibri"/>
      <family val="2"/>
      <scheme val="minor"/>
    </font>
    <font>
      <sz val="12"/>
      <color theme="1"/>
      <name val="Calibri"/>
      <family val="2"/>
      <scheme val="minor"/>
    </font>
    <font>
      <b/>
      <sz val="12"/>
      <color theme="1"/>
      <name val="Calibri"/>
      <family val="2"/>
      <scheme val="minor"/>
    </font>
    <font>
      <sz val="22"/>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6"/>
        <bgColor indexed="64"/>
      </patternFill>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164" fontId="0" fillId="0" borderId="0" xfId="0" applyNumberFormat="1"/>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textRotation="255"/>
    </xf>
    <xf numFmtId="0" fontId="1" fillId="0" borderId="0" xfId="0" applyFont="1"/>
    <xf numFmtId="0" fontId="6" fillId="0" borderId="0" xfId="0" applyFont="1"/>
    <xf numFmtId="0" fontId="5" fillId="0" borderId="0" xfId="0" applyFont="1"/>
    <xf numFmtId="0" fontId="7" fillId="0" borderId="0" xfId="0" applyFont="1"/>
    <xf numFmtId="0" fontId="8" fillId="0" borderId="0" xfId="0" applyFont="1"/>
    <xf numFmtId="0" fontId="9" fillId="0" borderId="0" xfId="0" applyFont="1"/>
    <xf numFmtId="0" fontId="3" fillId="3" borderId="0" xfId="0" applyFont="1" applyFill="1" applyAlignment="1">
      <alignment horizontal="center"/>
    </xf>
    <xf numFmtId="165" fontId="4" fillId="2" borderId="0" xfId="0" applyNumberFormat="1" applyFont="1" applyFill="1" applyAlignment="1">
      <alignment horizontal="center"/>
    </xf>
    <xf numFmtId="0" fontId="4" fillId="2" borderId="0" xfId="0" applyFont="1" applyFill="1" applyAlignment="1">
      <alignment horizontal="center"/>
    </xf>
    <xf numFmtId="0" fontId="7" fillId="4" borderId="0" xfId="0" applyFont="1" applyFill="1"/>
    <xf numFmtId="0" fontId="0" fillId="4" borderId="0" xfId="0" applyFill="1"/>
  </cellXfs>
  <cellStyles count="1">
    <cellStyle name="Normal" xfId="0" builtinId="0"/>
  </cellStyles>
  <dxfs count="5">
    <dxf>
      <numFmt numFmtId="0" formatCode="General"/>
    </dxf>
    <dxf>
      <numFmt numFmtId="164" formatCode="[$-F800]dddd\,\ mmmm\ dd\,\ 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[advanced_retail_sales_2000_rows.xlsx]Net Sales by Product Category!PivotTable1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Net Sales by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'Net Sales by Product Category'!$B$4</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'Net Sales by Product Category'!$A$5:$A$11</c:f>
              <c:strCache>
                <c:ptCount val="6"/>
                <c:pt idx="0">
                  <c:v>Beauty</c:v>
                </c:pt>
                <c:pt idx="1">
                  <c:v>Clothing</c:v>
                </c:pt>
                <c:pt idx="2">
                  <c:v>Electronics</c:v>
                </c:pt>
                <c:pt idx="3">
                  <c:v>Furniture</c:v>
                </c:pt>
                <c:pt idx="4">
                  <c:v>Grocery</c:v>
                </c:pt>
                <c:pt idx="5">
                  <c:v>Sports</c:v>
                </c:pt>
              </c:strCache>
            </c:strRef>
          </c:cat>
          <c:val>
            <c:numRef>
              <c:f>'Net Sales by Product Category'!$B$5:$B$11</c:f>
              <c:numCache>
                <c:formatCode>General</c:formatCode>
                <c:ptCount val="6"/>
                <c:pt idx="0">
                  <c:v>3270026.0499999993</c:v>
                </c:pt>
                <c:pt idx="1">
                  <c:v>6275100.0499999989</c:v>
                </c:pt>
                <c:pt idx="2">
                  <c:v>7877455.9500000002</c:v>
                </c:pt>
                <c:pt idx="3">
                  <c:v>3670175.4499999993</c:v>
                </c:pt>
                <c:pt idx="4">
                  <c:v>4733265.7499999981</c:v>
                </c:pt>
                <c:pt idx="5">
                  <c:v>4439843.8000000007</c:v>
                </c:pt>
              </c:numCache>
            </c:numRef>
          </c:val>
          <c:extLst>
            <c:ext xmlns:c16="http://schemas.microsoft.com/office/drawing/2014/chart" uri="{C3380CC4-5D6E-409C-BE32-E72D297353CC}">
              <c16:uniqueId val="{00000000-B89F-4447-BFBC-090A02099E52}"/>
            </c:ext>
          </c:extLst>
        </c:ser>
        <c:dLbls>
          <c:showLegendKey val="0"/>
          <c:showVal val="1"/>
          <c:showCatName val="0"/>
          <c:showSerName val="0"/>
          <c:showPercent val="0"/>
          <c:showBubbleSize val="0"/>
        </c:dLbls>
        <c:gapWidth val="150"/>
        <c:shape val="box"/>
        <c:axId val="1663980368"/>
        <c:axId val="1663977008"/>
        <c:axId val="0"/>
      </c:bar3DChart>
      <c:catAx>
        <c:axId val="1663980368"/>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3977008"/>
        <c:crosses val="autoZero"/>
        <c:auto val="1"/>
        <c:lblAlgn val="ctr"/>
        <c:lblOffset val="100"/>
        <c:noMultiLvlLbl val="0"/>
      </c:catAx>
      <c:valAx>
        <c:axId val="1663977008"/>
        <c:scaling>
          <c:orientation val="minMax"/>
        </c:scaling>
        <c:delete val="1"/>
        <c:axPos val="b"/>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crossAx val="166398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[advanced_retail_sales_2000_rows.xlsx]Net Sales by City!PivotTable2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Net Sales by City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'Net Sales by City'!$B$4</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'Net Sales by City'!$A$5:$A$11</c:f>
              <c:strCache>
                <c:ptCount val="6"/>
                <c:pt idx="0">
                  <c:v>Bangalore</c:v>
                </c:pt>
                <c:pt idx="1">
                  <c:v>Chennai</c:v>
                </c:pt>
                <c:pt idx="2">
                  <c:v>Delhi</c:v>
                </c:pt>
                <c:pt idx="3">
                  <c:v>Hyderabad</c:v>
                </c:pt>
                <c:pt idx="4">
                  <c:v>Mumbai</c:v>
                </c:pt>
                <c:pt idx="5">
                  <c:v>Pune</c:v>
                </c:pt>
              </c:strCache>
            </c:strRef>
          </c:cat>
          <c:val>
            <c:numRef>
              <c:f>'Net Sales by City'!$B$5:$B$11</c:f>
              <c:numCache>
                <c:formatCode>General</c:formatCode>
                <c:ptCount val="6"/>
                <c:pt idx="0">
                  <c:v>5423208.6499999994</c:v>
                </c:pt>
                <c:pt idx="1">
                  <c:v>5367585.45</c:v>
                </c:pt>
                <c:pt idx="2">
                  <c:v>4541224.05</c:v>
                </c:pt>
                <c:pt idx="3">
                  <c:v>4703533.2000000011</c:v>
                </c:pt>
                <c:pt idx="4">
                  <c:v>5254096.4999999991</c:v>
                </c:pt>
                <c:pt idx="5">
                  <c:v>4976219.1999999965</c:v>
                </c:pt>
              </c:numCache>
            </c:numRef>
          </c:val>
          <c:extLst>
            <c:ext xmlns:c16="http://schemas.microsoft.com/office/drawing/2014/chart" uri="{C3380CC4-5D6E-409C-BE32-E72D297353CC}">
              <c16:uniqueId val="{00000000-EACF-41A7-967F-0403369C9F31}"/>
            </c:ext>
          </c:extLst>
        </c:ser>
        <c:dLbls>
          <c:showLegendKey val="0"/>
          <c:showVal val="1"/>
          <c:showCatName val="0"/>
          <c:showSerName val="0"/>
          <c:showPercent val="0"/>
          <c:showBubbleSize val="0"/>
        </c:dLbls>
        <c:gapWidth val="150"/>
        <c:axId val="1774658928"/>
        <c:axId val="1774657008"/>
      </c:barChart>
      <c:catAx>
        <c:axId val="17746589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657008"/>
        <c:crosses val="autoZero"/>
        <c:auto val="1"/>
        <c:lblAlgn val="ctr"/>
        <c:lblOffset val="100"/>
        <c:noMultiLvlLbl val="0"/>
      </c:catAx>
      <c:valAx>
        <c:axId val="1774657008"/>
        <c:scaling>
          <c:orientation val="minMax"/>
        </c:scaling>
        <c:delete val="1"/>
        <c:axPos val="b"/>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crossAx val="177465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[advanced_retail_sales_2000_rows.xlsx]Monthly Net Sales Trend!PivotTable3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Net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'Monthly Net Sales Trend'!$B$4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Net Sales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Net Sales Trend'!$B$5:$B$17</c:f>
              <c:numCache>
                <c:formatCode>General</c:formatCode>
                <c:ptCount val="12"/>
                <c:pt idx="0">
                  <c:v>2178020.8500000006</c:v>
                </c:pt>
                <c:pt idx="1">
                  <c:v>1925641.4999999998</c:v>
                </c:pt>
                <c:pt idx="2">
                  <c:v>3132728.6999999993</c:v>
                </c:pt>
                <c:pt idx="3">
                  <c:v>2637188.0000000005</c:v>
                </c:pt>
                <c:pt idx="4">
                  <c:v>2597520.7999999989</c:v>
                </c:pt>
                <c:pt idx="5">
                  <c:v>2551602.7000000007</c:v>
                </c:pt>
                <c:pt idx="6">
                  <c:v>2252190.65</c:v>
                </c:pt>
                <c:pt idx="7">
                  <c:v>2638161.1999999988</c:v>
                </c:pt>
                <c:pt idx="8">
                  <c:v>2350199.65</c:v>
                </c:pt>
                <c:pt idx="9">
                  <c:v>2588714.5999999992</c:v>
                </c:pt>
                <c:pt idx="10">
                  <c:v>2960048.2499999986</c:v>
                </c:pt>
                <c:pt idx="11">
                  <c:v>2453850.1499999994</c:v>
                </c:pt>
              </c:numCache>
            </c:numRef>
          </c:val>
          <c:extLst>
            <c:ext xmlns:c16="http://schemas.microsoft.com/office/drawing/2014/chart" uri="{C3380CC4-5D6E-409C-BE32-E72D297353CC}">
              <c16:uniqueId val="{00000000-D45D-4AF5-B4FF-723DB2C47281}"/>
            </c:ext>
          </c:extLst>
        </c:ser>
        <c:dLbls>
          <c:showLegendKey val="0"/>
          <c:showVal val="0"/>
          <c:showCatName val="0"/>
          <c:showSerName val="0"/>
          <c:showPercent val="0"/>
          <c:showBubbleSize val="0"/>
        </c:dLbls>
        <c:gapWidth val="150"/>
        <c:shape val="box"/>
        <c:axId val="1791160320"/>
        <c:axId val="1791165600"/>
        <c:axId val="0"/>
      </c:bar3DChart>
      <c:catAx>
        <c:axId val="1791160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2"/>
                  </a:solidFill>
                </a:ln>
                <a:solidFill>
                  <a:schemeClr val="tx1">
                    <a:lumMod val="65000"/>
                    <a:lumOff val="35000"/>
                  </a:schemeClr>
                </a:solidFill>
                <a:latin typeface="+mn-lt"/>
                <a:ea typeface="+mn-ea"/>
                <a:cs typeface="+mn-cs"/>
              </a:defRPr>
            </a:pPr>
            <a:endParaRPr lang="en-US"/>
          </a:p>
        </c:txPr>
        <c:crossAx val="1791165600"/>
        <c:crosses val="autoZero"/>
        <c:auto val="1"/>
        <c:lblAlgn val="ctr"/>
        <c:lblOffset val="100"/>
        <c:noMultiLvlLbl val="0"/>
      </c:catAx>
      <c:valAx>
        <c:axId val="17911656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9116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[advanced_retail_sales_2000_rows.xlsx]gender wise sales!PivotTable4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'gender wise sales'!$B$5</c:f>
              <c:strCache>
                <c:ptCount val="1"/>
                <c:pt idx="0">
                  <c:v>Total</c:v>
                </c:pt>
              </c:strCache>
            </c:strRef>
          </c:tx>
          <c:dPt>
            <c:idx val="0"/>
            <c:bubble3D val="0"/>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BE42-442D-8381-1B2655A8E622}"/>
              </c:ext>
            </c:extLst>
          </c:dPt>
          <c:dPt>
            <c:idx val="1"/>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9F3-4413-9FDF-7B09CE74F3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'gender wise sales'!$A$6:$A$8</c:f>
              <c:strCache>
                <c:ptCount val="2"/>
                <c:pt idx="0">
                  <c:v>Female</c:v>
                </c:pt>
                <c:pt idx="1">
                  <c:v>Male</c:v>
                </c:pt>
              </c:strCache>
            </c:strRef>
          </c:cat>
          <c:val>
            <c:numRef>
              <c:f>'gender wise sales'!$B$6:$B$8</c:f>
              <c:numCache>
                <c:formatCode>General</c:formatCode>
                <c:ptCount val="2"/>
                <c:pt idx="0">
                  <c:v>13120702.15</c:v>
                </c:pt>
                <c:pt idx="1">
                  <c:v>17145164.900000006</c:v>
                </c:pt>
              </c:numCache>
            </c:numRef>
          </c:val>
          <c:extLst>
            <c:ext xmlns:c16="http://schemas.microsoft.com/office/drawing/2014/chart" uri="{C3380CC4-5D6E-409C-BE32-E72D297353CC}">
              <c16:uniqueId val="{00000000-BE42-442D-8381-1B2655A8E62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[advanced_retail_sales_2000_rows.xlsx]Age wise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wise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1"/>
          <c:showCatName val="0"/>
          <c:showSerName val="0"/>
          <c:showPercent val="1"/>
          <c:showBubbleSize val="0"/>
          <c:extLst>
            <c:ext xmlns:c15="http://schemas.microsoft.com/office/drawing/2012/chart" uri="{CE6537A1-D6FC-4f65-9D91-7224C49458BB}"/>
          </c:extLst>
        </c:dLbl>
      </c:pivotFmt>
      <c:pivotFmt>
        <c:idx val="3"/>
        <c:dLbl>
          <c:idx val="0"/>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'Age wise sales'!$B$4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2F-47E6-8D9F-8E8136A48B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2F-47E6-8D9F-8E8136A48B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2F-47E6-8D9F-8E8136A48B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2F-47E6-8D9F-8E8136A48B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wise sales'!$A$5:$A$9</c:f>
              <c:strCache>
                <c:ptCount val="4"/>
                <c:pt idx="0">
                  <c:v>18-25</c:v>
                </c:pt>
                <c:pt idx="1">
                  <c:v>26-35</c:v>
                </c:pt>
                <c:pt idx="2">
                  <c:v>36-45</c:v>
                </c:pt>
                <c:pt idx="3">
                  <c:v>46+</c:v>
                </c:pt>
              </c:strCache>
            </c:strRef>
          </c:cat>
          <c:val>
            <c:numRef>
              <c:f>'Age wise sales'!$B$5:$B$9</c:f>
              <c:numCache>
                <c:formatCode>General</c:formatCode>
                <c:ptCount val="4"/>
                <c:pt idx="0">
                  <c:v>5494763.9500000011</c:v>
                </c:pt>
                <c:pt idx="1">
                  <c:v>6130712.2499999963</c:v>
                </c:pt>
                <c:pt idx="2">
                  <c:v>6154587.5500000007</c:v>
                </c:pt>
                <c:pt idx="3">
                  <c:v>12485803.300000008</c:v>
                </c:pt>
              </c:numCache>
            </c:numRef>
          </c:val>
          <c:extLst>
            <c:ext xmlns:c16="http://schemas.microsoft.com/office/drawing/2014/chart" uri="{C3380CC4-5D6E-409C-BE32-E72D297353CC}">
              <c16:uniqueId val="{00000000-DD1E-4E6F-8E61-C20FA2C0F2D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[advanced_retail_sales_2000_rows.xlsx]Payment mode wise sale!PivotTable6</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Payment mode wise sale</a:t>
            </a:r>
          </a:p>
        </c:rich>
      </c:tx>
      <c:layout>
        <c:manualLayout>
          <c:xMode val="edge"/>
          <c:yMode val="edge"/>
          <c:x val="0.13104155730533681"/>
          <c:y val="5.092592592592592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5400" cap="flat" cmpd="sng" algn="ctr">
            <a:solidFill>
              <a:schemeClr val="dk1">
                <a:shade val="15000"/>
              </a:schemeClr>
            </a:solidFill>
            <a:prstDash val="solid"/>
            <a:round/>
          </a:ln>
          <a:effectLst/>
        </c:spPr>
        <c:marker>
          <c:symbol val="circle"/>
          <c:size val="4"/>
          <c:spPr>
            <a:solidFill>
              <a:schemeClr val="dk1"/>
            </a:solidFill>
            <a:ln w="25400" cap="flat" cmpd="sng" algn="ctr">
              <a:solidFill>
                <a:schemeClr val="dk1">
                  <a:shade val="15000"/>
                </a:schemeClr>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5400" cap="flat" cmpd="sng" algn="ctr">
            <a:solidFill>
              <a:schemeClr val="dk1">
                <a:shade val="15000"/>
              </a:schemeClr>
            </a:solidFill>
            <a:prstDash val="solid"/>
            <a:round/>
          </a:ln>
          <a:effectLst/>
        </c:spPr>
        <c:marker>
          <c:symbol val="circle"/>
          <c:size val="4"/>
          <c:spPr>
            <a:solidFill>
              <a:schemeClr val="dk1"/>
            </a:solidFill>
            <a:ln w="25400" cap="flat" cmpd="sng" algn="ctr">
              <a:solidFill>
                <a:schemeClr val="dk1">
                  <a:shade val="15000"/>
                </a:schemeClr>
              </a:solidFill>
              <a:prstDash val="solid"/>
              <a:round/>
            </a:ln>
            <a:effectLst/>
          </c:spPr>
        </c:marker>
        <c:dLbl>
          <c:idx val="0"/>
          <c:layout>
            <c:manualLayout>
              <c:x val="0"/>
              <c:y val="4.32276657060518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86474973375932E-2"/>
          <c:y val="0.20216138328530259"/>
          <c:w val="0.94142705005324812"/>
          <c:h val="0.71043099079473859"/>
        </c:manualLayout>
      </c:layout>
      <c:lineChart>
        <c:grouping val="standard"/>
        <c:varyColors val="0"/>
        <c:ser>
          <c:idx val="0"/>
          <c:order val="0"/>
          <c:tx>
            <c:strRef>
              <c:f>'Payment mode wise sale'!$B$3</c:f>
              <c:strCache>
                <c:ptCount val="1"/>
                <c:pt idx="0">
                  <c:v>Total</c:v>
                </c:pt>
              </c:strCache>
            </c:strRef>
          </c:tx>
          <c:spPr>
            <a:ln w="25400" cap="flat" cmpd="sng" algn="ctr">
              <a:solidFill>
                <a:schemeClr val="dk1">
                  <a:shade val="15000"/>
                </a:schemeClr>
              </a:solidFill>
              <a:prstDash val="solid"/>
              <a:round/>
            </a:ln>
            <a:effectLst/>
          </c:spPr>
          <c:marker>
            <c:symbol val="circle"/>
            <c:size val="4"/>
            <c:spPr>
              <a:solidFill>
                <a:schemeClr val="dk1"/>
              </a:solidFill>
              <a:ln w="25400" cap="flat" cmpd="sng" algn="ctr">
                <a:solidFill>
                  <a:schemeClr val="dk1">
                    <a:shade val="15000"/>
                  </a:schemeClr>
                </a:solidFill>
                <a:prstDash val="solid"/>
                <a:round/>
              </a:ln>
              <a:effectLst/>
            </c:spPr>
          </c:marker>
          <c:dLbls>
            <c:dLbl>
              <c:idx val="0"/>
              <c:layout>
                <c:manualLayout>
                  <c:x val="0"/>
                  <c:y val="4.32276657060518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FA-446A-8876-6778D8FE26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'Payment mode wise sale'!$A$4:$A$9</c:f>
              <c:strCache>
                <c:ptCount val="5"/>
                <c:pt idx="0">
                  <c:v>Cash</c:v>
                </c:pt>
                <c:pt idx="1">
                  <c:v>Credit Card</c:v>
                </c:pt>
                <c:pt idx="2">
                  <c:v>Debit Card</c:v>
                </c:pt>
                <c:pt idx="3">
                  <c:v>Net Banking</c:v>
                </c:pt>
                <c:pt idx="4">
                  <c:v>UPI</c:v>
                </c:pt>
              </c:strCache>
            </c:strRef>
          </c:cat>
          <c:val>
            <c:numRef>
              <c:f>'Payment mode wise sale'!$B$4:$B$9</c:f>
              <c:numCache>
                <c:formatCode>General</c:formatCode>
                <c:ptCount val="5"/>
                <c:pt idx="0">
                  <c:v>5966625.2999999961</c:v>
                </c:pt>
                <c:pt idx="1">
                  <c:v>6251025.5500000026</c:v>
                </c:pt>
                <c:pt idx="2">
                  <c:v>6402899.6999999983</c:v>
                </c:pt>
                <c:pt idx="3">
                  <c:v>5211439.9999999963</c:v>
                </c:pt>
                <c:pt idx="4">
                  <c:v>6433876.4999999972</c:v>
                </c:pt>
              </c:numCache>
            </c:numRef>
          </c:val>
          <c:smooth val="0"/>
          <c:extLst>
            <c:ext xmlns:c16="http://schemas.microsoft.com/office/drawing/2014/chart" uri="{C3380CC4-5D6E-409C-BE32-E72D297353CC}">
              <c16:uniqueId val="{00000000-9300-4933-A3C4-7F344EE9240C}"/>
            </c:ext>
          </c:extLst>
        </c:ser>
        <c:dLbls>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66309952"/>
        <c:axId val="1066311872"/>
      </c:lineChart>
      <c:catAx>
        <c:axId val="10663099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66311872"/>
        <c:crosses val="autoZero"/>
        <c:auto val="1"/>
        <c:lblAlgn val="ctr"/>
        <c:lblOffset val="100"/>
        <c:noMultiLvlLbl val="0"/>
      </c:catAx>
      <c:valAx>
        <c:axId val="1066311872"/>
        <c:scaling>
          <c:orientation val="minMax"/>
        </c:scaling>
        <c:delete val="1"/>
        <c:axPos val="l"/>
        <c:numFmt formatCode="General" sourceLinked="1"/>
        <c:majorTickMark val="none"/>
        <c:minorTickMark val="none"/>
        <c:tickLblPos val="nextTo"/>
        <c:crossAx val="106630995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[advanced_retail_sales_2000_rows.xlsx]Net Sales by Product Category!PivotTable1</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Net Sales by Product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2"/>
                  </a:solidFill>
                  <a:effectLst>
                    <a:glow rad="63500">
                      <a:schemeClr val="accent3">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dLbl>
          <c:idx val="0"/>
          <c:layout>
            <c:manualLayout>
              <c:x val="-1.1706974168294246E-16"/>
              <c:y val="-7.7519379844961295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2"/>
                  </a:solidFill>
                  <a:effectLst>
                    <a:glow rad="63500">
                      <a:schemeClr val="accent3">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'Net Sales by Product Category'!$B$4</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dPt>
            <c:idx val="2"/>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0-89EA-4495-A898-AAD132281A61}"/>
              </c:ext>
            </c:extLst>
          </c:dPt>
          <c:dLbls>
            <c:dLbl>
              <c:idx val="2"/>
              <c:layout>
                <c:manualLayout>
                  <c:x val="-1.1706974168294246E-16"/>
                  <c:y val="-7.75193798449612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9EA-4495-A898-AAD132281A61}"/>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2"/>
                    </a:solidFill>
                    <a:effectLst>
                      <a:glow rad="63500">
                        <a:schemeClr val="accent3">
                          <a:satMod val="175000"/>
                          <a:alpha val="40000"/>
                        </a:schemeClr>
                      </a:glo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'Net Sales by Product Category'!$A$5:$A$11</c:f>
              <c:strCache>
                <c:ptCount val="6"/>
                <c:pt idx="0">
                  <c:v>Beauty</c:v>
                </c:pt>
                <c:pt idx="1">
                  <c:v>Clothing</c:v>
                </c:pt>
                <c:pt idx="2">
                  <c:v>Electronics</c:v>
                </c:pt>
                <c:pt idx="3">
                  <c:v>Furniture</c:v>
                </c:pt>
                <c:pt idx="4">
                  <c:v>Grocery</c:v>
                </c:pt>
                <c:pt idx="5">
                  <c:v>Sports</c:v>
                </c:pt>
              </c:strCache>
            </c:strRef>
          </c:cat>
          <c:val>
            <c:numRef>
              <c:f>'Net Sales by Product Category'!$B$5:$B$11</c:f>
              <c:numCache>
                <c:formatCode>General</c:formatCode>
                <c:ptCount val="6"/>
                <c:pt idx="0">
                  <c:v>3270026.0499999993</c:v>
                </c:pt>
                <c:pt idx="1">
                  <c:v>6275100.0499999989</c:v>
                </c:pt>
                <c:pt idx="2">
                  <c:v>7877455.9500000002</c:v>
                </c:pt>
                <c:pt idx="3">
                  <c:v>3670175.4499999993</c:v>
                </c:pt>
                <c:pt idx="4">
                  <c:v>4733265.7499999981</c:v>
                </c:pt>
                <c:pt idx="5">
                  <c:v>4439843.8000000007</c:v>
                </c:pt>
              </c:numCache>
            </c:numRef>
          </c:val>
          <c:extLst>
            <c:ext xmlns:c16="http://schemas.microsoft.com/office/drawing/2014/chart" uri="{C3380CC4-5D6E-409C-BE32-E72D297353CC}">
              <c16:uniqueId val="{00000000-1336-4FE9-AAAB-BF317BB6C7F1}"/>
            </c:ext>
          </c:extLst>
        </c:ser>
        <c:dLbls>
          <c:showLegendKey val="0"/>
          <c:showVal val="1"/>
          <c:showCatName val="0"/>
          <c:showSerName val="0"/>
          <c:showPercent val="0"/>
          <c:showBubbleSize val="0"/>
        </c:dLbls>
        <c:gapWidth val="150"/>
        <c:shape val="box"/>
        <c:axId val="1663980368"/>
        <c:axId val="1663977008"/>
        <c:axId val="0"/>
      </c:bar3DChart>
      <c:catAx>
        <c:axId val="1663980368"/>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ysClr val="windowText" lastClr="000000"/>
                </a:solidFill>
                <a:latin typeface="+mn-lt"/>
                <a:ea typeface="+mn-ea"/>
                <a:cs typeface="+mn-cs"/>
              </a:defRPr>
            </a:pPr>
            <a:endParaRPr lang="en-US"/>
          </a:p>
        </c:txPr>
        <c:crossAx val="1663977008"/>
        <c:crosses val="autoZero"/>
        <c:auto val="1"/>
        <c:lblAlgn val="ctr"/>
        <c:lblOffset val="100"/>
        <c:noMultiLvlLbl val="0"/>
      </c:catAx>
      <c:valAx>
        <c:axId val="1663977008"/>
        <c:scaling>
          <c:orientation val="minMax"/>
        </c:scaling>
        <c:delete val="1"/>
        <c:axPos val="b"/>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crossAx val="166398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[advanced_retail_sales_2000_rows.xlsx]Net Sales by City!PivotTable2</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Net Sales by City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dLbl>
          <c:idx val="0"/>
          <c:layout>
            <c:manualLayout>
              <c:x val="0"/>
              <c:y val="7.06214689265535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dLbl>
          <c:idx val="0"/>
          <c:layout>
            <c:manualLayout>
              <c:x val="-3.450655624568668E-3"/>
              <c:y val="-6.35593220338983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'Net Sales by City'!$B$4</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dLbl>
              <c:idx val="0"/>
              <c:layout>
                <c:manualLayout>
                  <c:x val="0"/>
                  <c:y val="7.06214689265535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3BA-470C-9A12-70B943313634}"/>
                </c:ext>
              </c:extLst>
            </c:dLbl>
            <c:dLbl>
              <c:idx val="1"/>
              <c:layout>
                <c:manualLayout>
                  <c:x val="-3.450655624568668E-3"/>
                  <c:y val="-6.35593220338983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BA-470C-9A12-70B9433136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'Net Sales by City'!$A$5:$A$11</c:f>
              <c:strCache>
                <c:ptCount val="6"/>
                <c:pt idx="0">
                  <c:v>Bangalore</c:v>
                </c:pt>
                <c:pt idx="1">
                  <c:v>Chennai</c:v>
                </c:pt>
                <c:pt idx="2">
                  <c:v>Delhi</c:v>
                </c:pt>
                <c:pt idx="3">
                  <c:v>Hyderabad</c:v>
                </c:pt>
                <c:pt idx="4">
                  <c:v>Mumbai</c:v>
                </c:pt>
                <c:pt idx="5">
                  <c:v>Pune</c:v>
                </c:pt>
              </c:strCache>
            </c:strRef>
          </c:cat>
          <c:val>
            <c:numRef>
              <c:f>'Net Sales by City'!$B$5:$B$11</c:f>
              <c:numCache>
                <c:formatCode>General</c:formatCode>
                <c:ptCount val="6"/>
                <c:pt idx="0">
                  <c:v>5423208.6499999994</c:v>
                </c:pt>
                <c:pt idx="1">
                  <c:v>5367585.45</c:v>
                </c:pt>
                <c:pt idx="2">
                  <c:v>4541224.05</c:v>
                </c:pt>
                <c:pt idx="3">
                  <c:v>4703533.2000000011</c:v>
                </c:pt>
                <c:pt idx="4">
                  <c:v>5254096.4999999991</c:v>
                </c:pt>
                <c:pt idx="5">
                  <c:v>4976219.1999999965</c:v>
                </c:pt>
              </c:numCache>
            </c:numRef>
          </c:val>
          <c:extLst>
            <c:ext xmlns:c16="http://schemas.microsoft.com/office/drawing/2014/chart" uri="{C3380CC4-5D6E-409C-BE32-E72D297353CC}">
              <c16:uniqueId val="{00000000-3958-4ED8-AFE3-4265FD7A8C18}"/>
            </c:ext>
          </c:extLst>
        </c:ser>
        <c:dLbls>
          <c:showLegendKey val="0"/>
          <c:showVal val="1"/>
          <c:showCatName val="0"/>
          <c:showSerName val="0"/>
          <c:showPercent val="0"/>
          <c:showBubbleSize val="0"/>
        </c:dLbls>
        <c:gapWidth val="150"/>
        <c:axId val="1774658928"/>
        <c:axId val="1774657008"/>
      </c:barChart>
      <c:catAx>
        <c:axId val="17746589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solidFill>
                </a:ln>
                <a:solidFill>
                  <a:schemeClr val="tx1">
                    <a:lumMod val="65000"/>
                    <a:lumOff val="35000"/>
                  </a:schemeClr>
                </a:solidFill>
                <a:latin typeface="+mn-lt"/>
                <a:ea typeface="+mn-ea"/>
                <a:cs typeface="+mn-cs"/>
              </a:defRPr>
            </a:pPr>
            <a:endParaRPr lang="en-US"/>
          </a:p>
        </c:txPr>
        <c:crossAx val="1774657008"/>
        <c:crosses val="autoZero"/>
        <c:auto val="1"/>
        <c:lblAlgn val="ctr"/>
        <c:lblOffset val="100"/>
        <c:noMultiLvlLbl val="0"/>
      </c:catAx>
      <c:valAx>
        <c:axId val="1774657008"/>
        <c:scaling>
          <c:orientation val="minMax"/>
        </c:scaling>
        <c:delete val="1"/>
        <c:axPos val="b"/>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crossAx val="177465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[advanced_retail_sales_2000_rows.xlsx]Monthly Net Sales Trend!PivotTable3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Net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Net Sales Trend'!$B$4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'Monthly Net Sales Trend'!$A$5:$A$17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Net Sales Trend'!$B$5:$B$17</c:f>
              <c:numCache>
                <c:formatCode>General</c:formatCode>
                <c:ptCount val="12"/>
                <c:pt idx="0">
                  <c:v>2178020.8500000006</c:v>
                </c:pt>
                <c:pt idx="1">
                  <c:v>1925641.4999999998</c:v>
                </c:pt>
                <c:pt idx="2">
                  <c:v>3132728.6999999993</c:v>
                </c:pt>
                <c:pt idx="3">
                  <c:v>2637188.0000000005</c:v>
                </c:pt>
                <c:pt idx="4">
                  <c:v>2597520.7999999989</c:v>
                </c:pt>
                <c:pt idx="5">
                  <c:v>2551602.7000000007</c:v>
                </c:pt>
                <c:pt idx="6">
                  <c:v>2252190.65</c:v>
                </c:pt>
                <c:pt idx="7">
                  <c:v>2638161.1999999988</c:v>
                </c:pt>
                <c:pt idx="8">
                  <c:v>2350199.65</c:v>
                </c:pt>
                <c:pt idx="9">
                  <c:v>2588714.5999999992</c:v>
                </c:pt>
                <c:pt idx="10">
                  <c:v>2960048.2499999986</c:v>
                </c:pt>
                <c:pt idx="11">
                  <c:v>2453850.1499999994</c:v>
                </c:pt>
              </c:numCache>
            </c:numRef>
          </c:val>
          <c:extLst>
            <c:ext xmlns:c16="http://schemas.microsoft.com/office/drawing/2014/chart" uri="{C3380CC4-5D6E-409C-BE32-E72D297353CC}">
              <c16:uniqueId val="{00000000-DBED-4917-8279-B5D8FC93CB85}"/>
            </c:ext>
          </c:extLst>
        </c:ser>
        <c:dLbls>
          <c:showLegendKey val="0"/>
          <c:showVal val="0"/>
          <c:showCatName val="0"/>
          <c:showSerName val="0"/>
          <c:showPercent val="0"/>
          <c:showBubbleSize val="0"/>
        </c:dLbls>
        <c:gapWidth val="150"/>
        <c:axId val="1791160320"/>
        <c:axId val="1791165600"/>
      </c:barChart>
      <c:catAx>
        <c:axId val="1791160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2"/>
                  </a:solidFill>
                </a:ln>
                <a:solidFill>
                  <a:schemeClr val="tx1">
                    <a:lumMod val="65000"/>
                    <a:lumOff val="35000"/>
                  </a:schemeClr>
                </a:solidFill>
                <a:latin typeface="+mn-lt"/>
                <a:ea typeface="+mn-ea"/>
                <a:cs typeface="+mn-cs"/>
              </a:defRPr>
            </a:pPr>
            <a:endParaRPr lang="en-US"/>
          </a:p>
        </c:txPr>
        <c:crossAx val="1791165600"/>
        <c:crosses val="autoZero"/>
        <c:auto val="1"/>
        <c:lblAlgn val="ctr"/>
        <c:lblOffset val="100"/>
        <c:noMultiLvlLbl val="0"/>
      </c:catAx>
      <c:valAx>
        <c:axId val="17911656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9116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[advanced_retail_sales_2000_rows.xlsx]gender wise sales!PivotTable4</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gender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'gender wise sales'!$B$5</c:f>
              <c:strCache>
                <c:ptCount val="1"/>
                <c:pt idx="0">
                  <c:v>Total</c:v>
                </c:pt>
              </c:strCache>
            </c:strRef>
          </c:tx>
          <c:dPt>
            <c:idx val="0"/>
            <c:bubble3D val="0"/>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1C79-4AE1-9734-CA66C4FC79D6}"/>
              </c:ext>
            </c:extLst>
          </c:dPt>
          <c:dPt>
            <c:idx val="1"/>
            <c:bubble3D val="0"/>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1C79-4AE1-9734-CA66C4FC79D6}"/>
              </c:ext>
            </c:extLst>
          </c:dPt>
          <c:dLbls>
            <c:dLbl>
              <c:idx val="0"/>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C79-4AE1-9734-CA66C4FC79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'gender wise sales'!$A$6:$A$8</c:f>
              <c:strCache>
                <c:ptCount val="2"/>
                <c:pt idx="0">
                  <c:v>Female</c:v>
                </c:pt>
                <c:pt idx="1">
                  <c:v>Male</c:v>
                </c:pt>
              </c:strCache>
            </c:strRef>
          </c:cat>
          <c:val>
            <c:numRef>
              <c:f>'gender wise sales'!$B$6:$B$8</c:f>
              <c:numCache>
                <c:formatCode>General</c:formatCode>
                <c:ptCount val="2"/>
                <c:pt idx="0">
                  <c:v>13120702.15</c:v>
                </c:pt>
                <c:pt idx="1">
                  <c:v>17145164.900000006</c:v>
                </c:pt>
              </c:numCache>
            </c:numRef>
          </c:val>
          <c:extLst>
            <c:ext xmlns:c16="http://schemas.microsoft.com/office/drawing/2014/chart" uri="{C3380CC4-5D6E-409C-BE32-E72D297353CC}">
              <c16:uniqueId val="{00000004-1C79-4AE1-9734-CA66C4FC79D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[advanced_retail_sales_2000_rows.xlsx]Age wise sales!PivotTable5</c:name>
    <c:fmtId val="16"/>
  </c:pivotSource>
  <c:chart>
    <c:title>
      <c:tx>
        <c:rich>
          <a:bodyPr rot="0" spcFirstLastPara="1" vertOverflow="ellipsis" vert="horz" wrap="square" anchor="ctr" anchorCtr="1"/>
          <a:lstStyle/>
          <a:p>
            <a:pPr>
              <a:defRPr sz="1400" b="0" i="0" u="none" strike="noStrike" kern="1200" spc="0" baseline="0">
                <a:ln>
                  <a:solidFill>
                    <a:sysClr val="windowText" lastClr="000000"/>
                  </a:solidFill>
                </a:ln>
                <a:solidFill>
                  <a:schemeClr val="tx1">
                    <a:lumMod val="65000"/>
                    <a:lumOff val="35000"/>
                  </a:schemeClr>
                </a:solidFill>
                <a:latin typeface="+mn-lt"/>
                <a:ea typeface="+mn-ea"/>
                <a:cs typeface="+mn-cs"/>
              </a:defRPr>
            </a:pPr>
            <a:r>
              <a:rPr lang="en-US">
                <a:ln>
                  <a:solidFill>
                    <a:sysClr val="windowText" lastClr="000000"/>
                  </a:solidFill>
                </a:ln>
              </a:rPr>
              <a:t>Age wise sales</a:t>
            </a:r>
          </a:p>
          <a:p>
            <a:pPr>
              <a:defRPr>
                <a:ln>
                  <a:solidFill>
                    <a:sysClr val="windowText" lastClr="000000"/>
                  </a:solidFill>
                </a:ln>
              </a:defRPr>
            </a:pPr>
            <a:endParaRPr lang="en-US">
              <a:ln>
                <a:solidFill>
                  <a:sysClr val="windowText" lastClr="000000"/>
                </a:solidFill>
              </a:ln>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ysClr val="windowText" lastClr="000000"/>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1"/>
          <c:showCatName val="0"/>
          <c:showSerName val="0"/>
          <c:showPercent val="1"/>
          <c:showBubbleSize val="0"/>
          <c:extLst>
            <c:ext xmlns:c15="http://schemas.microsoft.com/office/drawing/2012/chart" uri="{CE6537A1-D6FC-4f65-9D91-7224C49458BB}"/>
          </c:extLst>
        </c:dLbl>
      </c:pivotFmt>
      <c:pivotFmt>
        <c:idx val="3"/>
        <c:dLbl>
          <c:idx val="0"/>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'Age wise sales'!$B$4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65-4E91-B637-D2F053713D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65-4E91-B637-D2F053713D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65-4E91-B637-D2F053713D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65-4E91-B637-D2F053713D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wise sales'!$A$5:$A$9</c:f>
              <c:strCache>
                <c:ptCount val="4"/>
                <c:pt idx="0">
                  <c:v>18-25</c:v>
                </c:pt>
                <c:pt idx="1">
                  <c:v>26-35</c:v>
                </c:pt>
                <c:pt idx="2">
                  <c:v>36-45</c:v>
                </c:pt>
                <c:pt idx="3">
                  <c:v>46+</c:v>
                </c:pt>
              </c:strCache>
            </c:strRef>
          </c:cat>
          <c:val>
            <c:numRef>
              <c:f>'Age wise sales'!$B$5:$B$9</c:f>
              <c:numCache>
                <c:formatCode>General</c:formatCode>
                <c:ptCount val="4"/>
                <c:pt idx="0">
                  <c:v>5494763.9500000011</c:v>
                </c:pt>
                <c:pt idx="1">
                  <c:v>6130712.2499999963</c:v>
                </c:pt>
                <c:pt idx="2">
                  <c:v>6154587.5500000007</c:v>
                </c:pt>
                <c:pt idx="3">
                  <c:v>12485803.300000008</c:v>
                </c:pt>
              </c:numCache>
            </c:numRef>
          </c:val>
          <c:extLst>
            <c:ext xmlns:c16="http://schemas.microsoft.com/office/drawing/2014/chart" uri="{C3380CC4-5D6E-409C-BE32-E72D297353CC}">
              <c16:uniqueId val="{00000008-6865-4E91-B637-D2F053713DF7}"/>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[advanced_retail_sales_2000_rows.xlsx]Payment mode wise sale!PivotTable6</c:name>
    <c:fmtId val="20"/>
  </c:pivotSource>
  <c:chart>
    <c:title>
      <c:tx>
        <c:rich>
          <a:bodyPr rot="0" spcFirstLastPara="1" vertOverflow="ellipsis" vert="horz" wrap="square" anchor="ctr" anchorCtr="1"/>
          <a:lstStyle/>
          <a:p>
            <a:pPr>
              <a:defRPr sz="1400" b="0" i="0" u="none" strike="noStrike" kern="1200" cap="none" spc="20" baseline="0">
                <a:ln>
                  <a:solidFill>
                    <a:sysClr val="windowText" lastClr="000000"/>
                  </a:solidFill>
                </a:ln>
                <a:solidFill>
                  <a:schemeClr val="dk1">
                    <a:lumMod val="50000"/>
                    <a:lumOff val="50000"/>
                  </a:schemeClr>
                </a:solidFill>
                <a:latin typeface="+mn-lt"/>
                <a:ea typeface="+mn-ea"/>
                <a:cs typeface="+mn-cs"/>
              </a:defRPr>
            </a:pPr>
            <a:r>
              <a:rPr lang="en-US">
                <a:ln>
                  <a:solidFill>
                    <a:sysClr val="windowText" lastClr="000000"/>
                  </a:solidFill>
                </a:ln>
              </a:rPr>
              <a:t>Payment mode wise sale</a:t>
            </a:r>
          </a:p>
        </c:rich>
      </c:tx>
      <c:layout>
        <c:manualLayout>
          <c:xMode val="edge"/>
          <c:yMode val="edge"/>
          <c:x val="0.13104155730533681"/>
          <c:y val="5.092592592592592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ln>
                <a:solidFill>
                  <a:sysClr val="windowText" lastClr="000000"/>
                </a:solidFill>
              </a:ln>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5400" cap="flat" cmpd="sng" algn="ctr">
            <a:solidFill>
              <a:schemeClr val="dk1">
                <a:shade val="15000"/>
              </a:schemeClr>
            </a:solidFill>
            <a:prstDash val="solid"/>
            <a:round/>
          </a:ln>
          <a:effectLst/>
        </c:spPr>
        <c:marker>
          <c:symbol val="circle"/>
          <c:size val="4"/>
          <c:spPr>
            <a:solidFill>
              <a:schemeClr val="dk1"/>
            </a:solidFill>
            <a:ln w="25400" cap="flat" cmpd="sng" algn="ctr">
              <a:solidFill>
                <a:schemeClr val="dk1">
                  <a:shade val="15000"/>
                </a:schemeClr>
              </a:solidFill>
              <a:prstDash val="solid"/>
              <a:round/>
            </a:ln>
            <a:effectLst/>
          </c:spPr>
        </c:marker>
        <c:dLbl>
          <c:idx val="0"/>
          <c:spPr>
            <a:solidFill>
              <a:schemeClr val="lt1"/>
            </a:solidFill>
            <a:ln w="25400" cap="flat" cmpd="sng" algn="ctr">
              <a:solidFill>
                <a:schemeClr val="accent5"/>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5400" cap="flat" cmpd="sng" algn="ctr">
            <a:solidFill>
              <a:schemeClr val="dk1">
                <a:shade val="15000"/>
              </a:schemeClr>
            </a:solidFill>
            <a:prstDash val="solid"/>
            <a:round/>
          </a:ln>
          <a:effectLst/>
        </c:spPr>
        <c:marker>
          <c:symbol val="circle"/>
          <c:size val="4"/>
          <c:spPr>
            <a:solidFill>
              <a:schemeClr val="dk1"/>
            </a:solidFill>
            <a:ln w="25400" cap="flat" cmpd="sng" algn="ctr">
              <a:solidFill>
                <a:schemeClr val="dk1">
                  <a:shade val="15000"/>
                </a:schemeClr>
              </a:solidFill>
              <a:prstDash val="solid"/>
              <a:round/>
            </a:ln>
            <a:effectLst/>
          </c:spPr>
        </c:marker>
        <c:dLbl>
          <c:idx val="0"/>
          <c:spPr>
            <a:solidFill>
              <a:schemeClr val="lt1"/>
            </a:solidFill>
            <a:ln w="25400" cap="flat" cmpd="sng" algn="ctr">
              <a:solidFill>
                <a:schemeClr val="accent5"/>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5400" cap="flat" cmpd="sng" algn="ctr">
            <a:solidFill>
              <a:schemeClr val="dk1">
                <a:shade val="15000"/>
              </a:schemeClr>
            </a:solidFill>
            <a:prstDash val="solid"/>
            <a:round/>
          </a:ln>
          <a:effectLst/>
        </c:spPr>
        <c:marker>
          <c:symbol val="circle"/>
          <c:size val="4"/>
          <c:spPr>
            <a:solidFill>
              <a:schemeClr val="dk1"/>
            </a:solidFill>
            <a:ln w="25400" cap="flat" cmpd="sng" algn="ctr">
              <a:solidFill>
                <a:schemeClr val="dk1">
                  <a:shade val="15000"/>
                </a:schemeClr>
              </a:solidFill>
              <a:prstDash val="solid"/>
              <a:round/>
            </a:ln>
            <a:effectLst/>
          </c:spPr>
        </c:marker>
        <c:dLbl>
          <c:idx val="0"/>
          <c:spPr>
            <a:solidFill>
              <a:schemeClr val="lt1"/>
            </a:solidFill>
            <a:ln w="25400" cap="flat" cmpd="sng" algn="ctr">
              <a:solidFill>
                <a:schemeClr val="accent5"/>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5400" cap="flat" cmpd="sng" algn="ctr">
            <a:solidFill>
              <a:schemeClr val="dk1">
                <a:shade val="15000"/>
              </a:schemeClr>
            </a:solidFill>
            <a:prstDash val="solid"/>
            <a:round/>
          </a:ln>
          <a:effectLst/>
        </c:spPr>
        <c:marker>
          <c:symbol val="circle"/>
          <c:size val="4"/>
          <c:spPr>
            <a:solidFill>
              <a:schemeClr val="dk1"/>
            </a:solidFill>
            <a:ln w="25400" cap="flat" cmpd="sng" algn="ctr">
              <a:solidFill>
                <a:schemeClr val="dk1">
                  <a:shade val="15000"/>
                </a:schemeClr>
              </a:solidFill>
              <a:prstDash val="solid"/>
              <a:round/>
            </a:ln>
            <a:effectLst/>
          </c:spPr>
        </c:marker>
        <c:dLbl>
          <c:idx val="0"/>
          <c:layout>
            <c:manualLayout>
              <c:x val="-7.2036673215455149E-2"/>
              <c:y val="6.5616797900262411E-2"/>
            </c:manualLayout>
          </c:layout>
          <c:spPr>
            <a:solidFill>
              <a:schemeClr val="lt1"/>
            </a:solidFill>
            <a:ln w="25400" cap="flat" cmpd="sng" algn="ctr">
              <a:solidFill>
                <a:schemeClr val="accent5"/>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5400" cap="flat" cmpd="sng" algn="ctr">
            <a:solidFill>
              <a:schemeClr val="dk1">
                <a:shade val="15000"/>
              </a:schemeClr>
            </a:solidFill>
            <a:prstDash val="solid"/>
            <a:round/>
          </a:ln>
          <a:effectLst/>
        </c:spPr>
        <c:marker>
          <c:symbol val="circle"/>
          <c:size val="4"/>
          <c:spPr>
            <a:solidFill>
              <a:schemeClr val="dk1"/>
            </a:solidFill>
            <a:ln w="25400" cap="flat" cmpd="sng" algn="ctr">
              <a:solidFill>
                <a:schemeClr val="dk1">
                  <a:shade val="15000"/>
                </a:schemeClr>
              </a:solidFill>
              <a:prstDash val="solid"/>
              <a:round/>
            </a:ln>
            <a:effectLst/>
          </c:spPr>
        </c:marker>
        <c:dLbl>
          <c:idx val="0"/>
          <c:layout>
            <c:manualLayout>
              <c:x val="-2.9469548133595345E-2"/>
              <c:y val="9.1863517060367453E-2"/>
            </c:manualLayout>
          </c:layout>
          <c:spPr>
            <a:solidFill>
              <a:schemeClr val="lt1"/>
            </a:solidFill>
            <a:ln w="25400" cap="flat" cmpd="sng" algn="ctr">
              <a:solidFill>
                <a:schemeClr val="accent5"/>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5400" cap="flat" cmpd="sng" algn="ctr">
            <a:solidFill>
              <a:schemeClr val="dk1">
                <a:shade val="15000"/>
              </a:schemeClr>
            </a:solidFill>
            <a:prstDash val="solid"/>
            <a:round/>
          </a:ln>
          <a:effectLst/>
        </c:spPr>
        <c:marker>
          <c:symbol val="circle"/>
          <c:size val="4"/>
          <c:spPr>
            <a:solidFill>
              <a:schemeClr val="dk1"/>
            </a:solidFill>
            <a:ln w="25400" cap="flat" cmpd="sng" algn="ctr">
              <a:solidFill>
                <a:schemeClr val="dk1">
                  <a:shade val="15000"/>
                </a:schemeClr>
              </a:solidFill>
              <a:prstDash val="solid"/>
              <a:round/>
            </a:ln>
            <a:effectLst/>
          </c:spPr>
        </c:marker>
        <c:dLbl>
          <c:idx val="0"/>
          <c:layout>
            <c:manualLayout>
              <c:x val="-3.2743942370661427E-3"/>
              <c:y val="0.15091863517060367"/>
            </c:manualLayout>
          </c:layout>
          <c:spPr>
            <a:solidFill>
              <a:schemeClr val="lt1"/>
            </a:solidFill>
            <a:ln w="25400" cap="flat" cmpd="sng" algn="ctr">
              <a:solidFill>
                <a:schemeClr val="accent5"/>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5400" cap="flat" cmpd="sng" algn="ctr">
            <a:solidFill>
              <a:schemeClr val="dk1">
                <a:shade val="15000"/>
              </a:schemeClr>
            </a:solidFill>
            <a:prstDash val="solid"/>
            <a:round/>
          </a:ln>
          <a:effectLst/>
        </c:spPr>
        <c:marker>
          <c:symbol val="circle"/>
          <c:size val="4"/>
          <c:spPr>
            <a:solidFill>
              <a:schemeClr val="dk1"/>
            </a:solidFill>
            <a:ln w="25400" cap="flat" cmpd="sng" algn="ctr">
              <a:solidFill>
                <a:schemeClr val="dk1">
                  <a:shade val="15000"/>
                </a:schemeClr>
              </a:solidFill>
              <a:prstDash val="solid"/>
              <a:round/>
            </a:ln>
            <a:effectLst/>
          </c:spPr>
        </c:marker>
        <c:dLbl>
          <c:idx val="0"/>
          <c:layout>
            <c:manualLayout>
              <c:x val="1.9646365422396856E-2"/>
              <c:y val="9.8425196850393637E-2"/>
            </c:manualLayout>
          </c:layout>
          <c:spPr>
            <a:solidFill>
              <a:schemeClr val="lt1"/>
            </a:solidFill>
            <a:ln w="25400" cap="flat" cmpd="sng" algn="ctr">
              <a:solidFill>
                <a:schemeClr val="accent5"/>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5400" cap="flat" cmpd="sng" algn="ctr">
            <a:solidFill>
              <a:schemeClr val="dk1">
                <a:shade val="15000"/>
              </a:schemeClr>
            </a:solidFill>
            <a:prstDash val="solid"/>
            <a:round/>
          </a:ln>
          <a:effectLst/>
        </c:spPr>
        <c:marker>
          <c:symbol val="circle"/>
          <c:size val="4"/>
          <c:spPr>
            <a:solidFill>
              <a:schemeClr val="dk1"/>
            </a:solidFill>
            <a:ln w="25400" cap="flat" cmpd="sng" algn="ctr">
              <a:solidFill>
                <a:schemeClr val="dk1">
                  <a:shade val="15000"/>
                </a:schemeClr>
              </a:solidFill>
              <a:prstDash val="solid"/>
              <a:round/>
            </a:ln>
            <a:effectLst/>
          </c:spPr>
        </c:marker>
        <c:dLbl>
          <c:idx val="0"/>
          <c:layout>
            <c:manualLayout>
              <c:x val="-1.2005973508545377E-16"/>
              <c:y val="8.5301837270341171E-2"/>
            </c:manualLayout>
          </c:layout>
          <c:spPr>
            <a:solidFill>
              <a:schemeClr val="lt1"/>
            </a:solidFill>
            <a:ln w="25400" cap="flat" cmpd="sng" algn="ctr">
              <a:solidFill>
                <a:schemeClr val="accent5"/>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86396018679484E-2"/>
          <c:y val="0.17071460407071753"/>
          <c:w val="0.94142705005324812"/>
          <c:h val="0.71043099079473859"/>
        </c:manualLayout>
      </c:layout>
      <c:lineChart>
        <c:grouping val="standard"/>
        <c:varyColors val="0"/>
        <c:ser>
          <c:idx val="0"/>
          <c:order val="0"/>
          <c:tx>
            <c:strRef>
              <c:f>'Payment mode wise sale'!$B$3</c:f>
              <c:strCache>
                <c:ptCount val="1"/>
                <c:pt idx="0">
                  <c:v>Total</c:v>
                </c:pt>
              </c:strCache>
            </c:strRef>
          </c:tx>
          <c:spPr>
            <a:ln w="25400" cap="flat" cmpd="sng" algn="ctr">
              <a:solidFill>
                <a:schemeClr val="dk1">
                  <a:shade val="15000"/>
                </a:schemeClr>
              </a:solidFill>
              <a:prstDash val="solid"/>
              <a:round/>
            </a:ln>
            <a:effectLst/>
          </c:spPr>
          <c:marker>
            <c:symbol val="circle"/>
            <c:size val="4"/>
            <c:spPr>
              <a:solidFill>
                <a:schemeClr val="dk1"/>
              </a:solidFill>
              <a:ln w="25400" cap="flat" cmpd="sng" algn="ctr">
                <a:solidFill>
                  <a:schemeClr val="dk1">
                    <a:shade val="15000"/>
                  </a:schemeClr>
                </a:solidFill>
                <a:prstDash val="solid"/>
                <a:round/>
              </a:ln>
              <a:effectLst/>
            </c:spPr>
          </c:marker>
          <c:dLbls>
            <c:dLbl>
              <c:idx val="0"/>
              <c:layout>
                <c:manualLayout>
                  <c:x val="-7.2036673215455149E-2"/>
                  <c:y val="6.56167979002624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810-450F-A071-F1A49EB0D8E8}"/>
                </c:ext>
              </c:extLst>
            </c:dLbl>
            <c:dLbl>
              <c:idx val="1"/>
              <c:layout>
                <c:manualLayout>
                  <c:x val="-2.9469548133595345E-2"/>
                  <c:y val="9.18635170603674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10-450F-A071-F1A49EB0D8E8}"/>
                </c:ext>
              </c:extLst>
            </c:dLbl>
            <c:dLbl>
              <c:idx val="2"/>
              <c:layout>
                <c:manualLayout>
                  <c:x val="-3.2743942370661427E-3"/>
                  <c:y val="0.150918635170603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810-450F-A071-F1A49EB0D8E8}"/>
                </c:ext>
              </c:extLst>
            </c:dLbl>
            <c:dLbl>
              <c:idx val="3"/>
              <c:layout>
                <c:manualLayout>
                  <c:x val="1.9646365422396856E-2"/>
                  <c:y val="9.84251968503936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10-450F-A071-F1A49EB0D8E8}"/>
                </c:ext>
              </c:extLst>
            </c:dLbl>
            <c:dLbl>
              <c:idx val="4"/>
              <c:layout>
                <c:manualLayout>
                  <c:x val="-1.2005973508545377E-16"/>
                  <c:y val="8.53018372703411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810-450F-A071-F1A49EB0D8E8}"/>
                </c:ext>
              </c:extLst>
            </c:dLbl>
            <c:spPr>
              <a:solidFill>
                <a:schemeClr val="lt1"/>
              </a:solidFill>
              <a:ln w="25400" cap="flat" cmpd="sng" algn="ctr">
                <a:solidFill>
                  <a:schemeClr val="accent5"/>
                </a:solidFill>
                <a:prstDash val="solid"/>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'Payment mode wise sale'!$A$4:$A$9</c:f>
              <c:strCache>
                <c:ptCount val="5"/>
                <c:pt idx="0">
                  <c:v>Cash</c:v>
                </c:pt>
                <c:pt idx="1">
                  <c:v>Credit Card</c:v>
                </c:pt>
                <c:pt idx="2">
                  <c:v>Debit Card</c:v>
                </c:pt>
                <c:pt idx="3">
                  <c:v>Net Banking</c:v>
                </c:pt>
                <c:pt idx="4">
                  <c:v>UPI</c:v>
                </c:pt>
              </c:strCache>
            </c:strRef>
          </c:cat>
          <c:val>
            <c:numRef>
              <c:f>'Payment mode wise sale'!$B$4:$B$9</c:f>
              <c:numCache>
                <c:formatCode>General</c:formatCode>
                <c:ptCount val="5"/>
                <c:pt idx="0">
                  <c:v>5966625.2999999961</c:v>
                </c:pt>
                <c:pt idx="1">
                  <c:v>6251025.5500000026</c:v>
                </c:pt>
                <c:pt idx="2">
                  <c:v>6402899.6999999983</c:v>
                </c:pt>
                <c:pt idx="3">
                  <c:v>5211439.9999999963</c:v>
                </c:pt>
                <c:pt idx="4">
                  <c:v>6433876.4999999972</c:v>
                </c:pt>
              </c:numCache>
            </c:numRef>
          </c:val>
          <c:smooth val="0"/>
          <c:extLst>
            <c:ext xmlns:c16="http://schemas.microsoft.com/office/drawing/2014/chart" uri="{C3380CC4-5D6E-409C-BE32-E72D297353CC}">
              <c16:uniqueId val="{00000000-9300-4933-A3C4-7F344EE9240C}"/>
            </c:ext>
          </c:extLst>
        </c:ser>
        <c:dLbls>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66309952"/>
        <c:axId val="1066311872"/>
      </c:lineChart>
      <c:catAx>
        <c:axId val="10663099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ln>
                  <a:solidFill>
                    <a:sysClr val="windowText" lastClr="000000"/>
                  </a:solidFill>
                </a:ln>
                <a:solidFill>
                  <a:schemeClr val="dk1">
                    <a:lumMod val="65000"/>
                    <a:lumOff val="35000"/>
                  </a:schemeClr>
                </a:solidFill>
                <a:latin typeface="+mn-lt"/>
                <a:ea typeface="+mn-ea"/>
                <a:cs typeface="+mn-cs"/>
              </a:defRPr>
            </a:pPr>
            <a:endParaRPr lang="en-US"/>
          </a:p>
        </c:txPr>
        <c:crossAx val="1066311872"/>
        <c:crosses val="autoZero"/>
        <c:auto val="1"/>
        <c:lblAlgn val="ctr"/>
        <c:lblOffset val="100"/>
        <c:noMultiLvlLbl val="0"/>
      </c:catAx>
      <c:valAx>
        <c:axId val="1066311872"/>
        <c:scaling>
          <c:orientation val="minMax"/>
        </c:scaling>
        <c:delete val="1"/>
        <c:axPos val="l"/>
        <c:numFmt formatCode="General" sourceLinked="1"/>
        <c:majorTickMark val="none"/>
        <c:minorTickMark val="none"/>
        <c:tickLblPos val="nextTo"/>
        <c:crossAx val="106630995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381000</xdr:colOff>
      <xdr:row>1</xdr:row>
      <xdr:rowOff>160020</xdr:rowOff>
    </xdr:from>
    <xdr:to>
      <xdr:col>11</xdr:col>
      <xdr:colOff>76200</xdr:colOff>
      <xdr:row>16</xdr:row>
      <xdr:rowOff>160020</xdr:rowOff>
    </xdr:to>
    <xdr:graphicFrame macro="">
      <xdr:nvGraphicFramePr>
        <xdr:cNvPr id="2" name="Chart 1">
          <a:extLst>
            <a:ext uri="{FF2B5EF4-FFF2-40B4-BE49-F238E27FC236}">
              <a16:creationId xmlns:a16="http://schemas.microsoft.com/office/drawing/2014/main" id="{876013BB-2122-A0F7-1BC4-13E35527A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xdr:colOff>
      <xdr:row>0</xdr:row>
      <xdr:rowOff>99060</xdr:rowOff>
    </xdr:from>
    <xdr:to>
      <xdr:col>10</xdr:col>
      <xdr:colOff>327660</xdr:colOff>
      <xdr:row>15</xdr:row>
      <xdr:rowOff>99060</xdr:rowOff>
    </xdr:to>
    <xdr:graphicFrame macro="">
      <xdr:nvGraphicFramePr>
        <xdr:cNvPr id="2" name="Chart 1">
          <a:extLst>
            <a:ext uri="{FF2B5EF4-FFF2-40B4-BE49-F238E27FC236}">
              <a16:creationId xmlns:a16="http://schemas.microsoft.com/office/drawing/2014/main" id="{42DACBAF-DCAE-6135-DE7A-23D7F306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68580</xdr:rowOff>
    </xdr:from>
    <xdr:to>
      <xdr:col>10</xdr:col>
      <xdr:colOff>304800</xdr:colOff>
      <xdr:row>17</xdr:row>
      <xdr:rowOff>68580</xdr:rowOff>
    </xdr:to>
    <xdr:graphicFrame macro="">
      <xdr:nvGraphicFramePr>
        <xdr:cNvPr id="2" name="Chart 1">
          <a:extLst>
            <a:ext uri="{FF2B5EF4-FFF2-40B4-BE49-F238E27FC236}">
              <a16:creationId xmlns:a16="http://schemas.microsoft.com/office/drawing/2014/main" id="{7B25320C-0BF8-4F4B-019B-ADD057952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548640</xdr:colOff>
      <xdr:row>1</xdr:row>
      <xdr:rowOff>106680</xdr:rowOff>
    </xdr:from>
    <xdr:to>
      <xdr:col>9</xdr:col>
      <xdr:colOff>175260</xdr:colOff>
      <xdr:row>15</xdr:row>
      <xdr:rowOff>167640</xdr:rowOff>
    </xdr:to>
    <xdr:graphicFrame macro="">
      <xdr:nvGraphicFramePr>
        <xdr:cNvPr id="2" name="Chart 1">
          <a:extLst>
            <a:ext uri="{FF2B5EF4-FFF2-40B4-BE49-F238E27FC236}">
              <a16:creationId xmlns:a16="http://schemas.microsoft.com/office/drawing/2014/main" id="{ACC9DB54-D144-AF60-ADCC-C8C0267EF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350520</xdr:colOff>
      <xdr:row>1</xdr:row>
      <xdr:rowOff>160020</xdr:rowOff>
    </xdr:from>
    <xdr:to>
      <xdr:col>10</xdr:col>
      <xdr:colOff>190500</xdr:colOff>
      <xdr:row>14</xdr:row>
      <xdr:rowOff>152400</xdr:rowOff>
    </xdr:to>
    <xdr:graphicFrame macro="">
      <xdr:nvGraphicFramePr>
        <xdr:cNvPr id="2" name="Chart 1">
          <a:extLst>
            <a:ext uri="{FF2B5EF4-FFF2-40B4-BE49-F238E27FC236}">
              <a16:creationId xmlns:a16="http://schemas.microsoft.com/office/drawing/2014/main" id="{4D5A9EEA-888B-9B28-6D0D-08DFE1B9D8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579120</xdr:colOff>
      <xdr:row>0</xdr:row>
      <xdr:rowOff>38100</xdr:rowOff>
    </xdr:from>
    <xdr:to>
      <xdr:col>10</xdr:col>
      <xdr:colOff>472440</xdr:colOff>
      <xdr:row>14</xdr:row>
      <xdr:rowOff>121920</xdr:rowOff>
    </xdr:to>
    <xdr:graphicFrame macro="">
      <xdr:nvGraphicFramePr>
        <xdr:cNvPr id="4" name="Chart 3">
          <a:extLst>
            <a:ext uri="{FF2B5EF4-FFF2-40B4-BE49-F238E27FC236}">
              <a16:creationId xmlns:a16="http://schemas.microsoft.com/office/drawing/2014/main" id="{6A1C3C60-737C-9F93-85A3-CCC5BBC1C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114300</xdr:colOff>
      <xdr:row>2</xdr:row>
      <xdr:rowOff>68580</xdr:rowOff>
    </xdr:from>
    <xdr:to>
      <xdr:col>2</xdr:col>
      <xdr:colOff>1661160</xdr:colOff>
      <xdr:row>13</xdr:row>
      <xdr:rowOff>22860</xdr:rowOff>
    </xdr:to>
    <xdr:graphicFrame macro="">
      <xdr:nvGraphicFramePr>
        <xdr:cNvPr id="4" name="Chart 3">
          <a:extLst>
            <a:ext uri="{FF2B5EF4-FFF2-40B4-BE49-F238E27FC236}">
              <a16:creationId xmlns:a16="http://schemas.microsoft.com/office/drawing/2014/main" id="{A8301552-90A1-4916-8C3B-49C0B2DC2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297180</xdr:colOff>
      <xdr:row>0</xdr:row>
      <xdr:rowOff>175260</xdr:rowOff>
    </xdr:from>
    <xdr:to>
      <xdr:col>16</xdr:col>
      <xdr:colOff>320040</xdr:colOff>
      <xdr:row>10</xdr:row>
      <xdr:rowOff>53340</xdr:rowOff>
    </xdr:to>
    <xdr:graphicFrame macro="">
      <xdr:nvGraphicFramePr>
        <xdr:cNvPr id="5" name="Chart 4">
          <a:extLst>
            <a:ext uri="{FF2B5EF4-FFF2-40B4-BE49-F238E27FC236}">
              <a16:creationId xmlns:a16="http://schemas.microsoft.com/office/drawing/2014/main" id="{55DCD1D4-6FBB-4CD8-BD32-31BD69DA7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480060</xdr:colOff>
      <xdr:row>2</xdr:row>
      <xdr:rowOff>99060</xdr:rowOff>
    </xdr:from>
    <xdr:to>
      <xdr:col>9</xdr:col>
      <xdr:colOff>365760</xdr:colOff>
      <xdr:row>10</xdr:row>
      <xdr:rowOff>121920</xdr:rowOff>
    </xdr:to>
    <xdr:graphicFrame macro="">
      <xdr:nvGraphicFramePr>
        <xdr:cNvPr id="6" name="Chart 5">
          <a:extLst>
            <a:ext uri="{FF2B5EF4-FFF2-40B4-BE49-F238E27FC236}">
              <a16:creationId xmlns:a16="http://schemas.microsoft.com/office/drawing/2014/main" id="{CD8578FF-BD1A-4BD9-B4AE-A71F912D4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190500</xdr:colOff>
      <xdr:row>13</xdr:row>
      <xdr:rowOff>60960</xdr:rowOff>
    </xdr:from>
    <xdr:to>
      <xdr:col>2</xdr:col>
      <xdr:colOff>1531620</xdr:colOff>
      <xdr:row>20</xdr:row>
      <xdr:rowOff>60960</xdr:rowOff>
    </xdr:to>
    <xdr:graphicFrame macro="">
      <xdr:nvGraphicFramePr>
        <xdr:cNvPr id="7" name="Chart 6">
          <a:extLst>
            <a:ext uri="{FF2B5EF4-FFF2-40B4-BE49-F238E27FC236}">
              <a16:creationId xmlns:a16="http://schemas.microsoft.com/office/drawing/2014/main" id="{E5B7C80D-A125-40D3-98B8-4181081BB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472440</xdr:colOff>
      <xdr:row>11</xdr:row>
      <xdr:rowOff>38100</xdr:rowOff>
    </xdr:from>
    <xdr:to>
      <xdr:col>9</xdr:col>
      <xdr:colOff>411480</xdr:colOff>
      <xdr:row>21</xdr:row>
      <xdr:rowOff>106680</xdr:rowOff>
    </xdr:to>
    <xdr:graphicFrame macro="">
      <xdr:nvGraphicFramePr>
        <xdr:cNvPr id="8" name="Chart 7">
          <a:extLst>
            <a:ext uri="{FF2B5EF4-FFF2-40B4-BE49-F238E27FC236}">
              <a16:creationId xmlns:a16="http://schemas.microsoft.com/office/drawing/2014/main" id="{14D557ED-2CA5-4354-BF2C-0AA305C1A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304800</xdr:colOff>
      <xdr:row>11</xdr:row>
      <xdr:rowOff>38100</xdr:rowOff>
    </xdr:from>
    <xdr:to>
      <xdr:col>16</xdr:col>
      <xdr:colOff>525780</xdr:colOff>
      <xdr:row>21</xdr:row>
      <xdr:rowOff>144780</xdr:rowOff>
    </xdr:to>
    <xdr:graphicFrame macro="">
      <xdr:nvGraphicFramePr>
        <xdr:cNvPr id="2" name="Chart 1">
          <a:extLst>
            <a:ext uri="{FF2B5EF4-FFF2-40B4-BE49-F238E27FC236}">
              <a16:creationId xmlns:a16="http://schemas.microsoft.com/office/drawing/2014/main" id="{C85F2CE9-33BF-4816-96E1-95B9CFE09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243840</xdr:colOff>
      <xdr:row>22</xdr:row>
      <xdr:rowOff>7619</xdr:rowOff>
    </xdr:from>
    <xdr:to>
      <xdr:col>11</xdr:col>
      <xdr:colOff>243840</xdr:colOff>
      <xdr:row>26</xdr:row>
      <xdr:rowOff>68580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37292F44-C9A3-610A-56A2-025A69FAB99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511540" y="4122419"/>
              <a:ext cx="1828800" cy="792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205740</xdr:colOff>
      <xdr:row>22</xdr:row>
      <xdr:rowOff>22860</xdr:rowOff>
    </xdr:from>
    <xdr:to>
      <xdr:col>7</xdr:col>
      <xdr:colOff>243840</xdr:colOff>
      <xdr:row>26</xdr:row>
      <xdr:rowOff>76200</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51F65ADD-ED43-FD83-FA94-15E5C396CAF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035040" y="4061461"/>
              <a:ext cx="1866900" cy="861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434340</xdr:colOff>
      <xdr:row>22</xdr:row>
      <xdr:rowOff>7620</xdr:rowOff>
    </xdr:from>
    <xdr:to>
      <xdr:col>3</xdr:col>
      <xdr:colOff>533400</xdr:colOff>
      <xdr:row>26</xdr:row>
      <xdr:rowOff>30480</xdr:rowOff>
    </xdr:to>
    <mc:AlternateContent xmlns:mc="http://schemas.openxmlformats.org/markup-compatibility/2006" xmlns:a14="http://schemas.microsoft.com/office/drawing/2010/main">
      <mc:Choice Requires="a14">
        <xdr:graphicFrame macro="">
          <xdr:nvGraphicFramePr>
            <xdr:cNvPr id="10" name="Months (Order Date)">
              <a:extLst>
                <a:ext uri="{FF2B5EF4-FFF2-40B4-BE49-F238E27FC236}">
                  <a16:creationId xmlns:a16="http://schemas.microsoft.com/office/drawing/2014/main" id="{C046F5AE-2C84-3A99-B2C9-1749A4ABDFBB}"/>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2865120" y="4000500"/>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236220</xdr:colOff>
      <xdr:row>21</xdr:row>
      <xdr:rowOff>160020</xdr:rowOff>
    </xdr:from>
    <xdr:to>
      <xdr:col>1</xdr:col>
      <xdr:colOff>937260</xdr:colOff>
      <xdr:row>26</xdr:row>
      <xdr:rowOff>53340</xdr:rowOff>
    </xdr:to>
    <mc:AlternateContent xmlns:mc="http://schemas.openxmlformats.org/markup-compatibility/2006" xmlns:a14="http://schemas.microsoft.com/office/drawing/2010/main">
      <mc:Choice Requires="a14">
        <xdr:graphicFrame macro="">
          <xdr:nvGraphicFramePr>
            <xdr:cNvPr id="11" name="Years (Order Date)">
              <a:extLst>
                <a:ext uri="{FF2B5EF4-FFF2-40B4-BE49-F238E27FC236}">
                  <a16:creationId xmlns:a16="http://schemas.microsoft.com/office/drawing/2014/main" id="{D8015BE7-9EE4-97C6-6FCB-FDD4F909819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36220" y="4008121"/>
              <a:ext cx="2011680" cy="891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38.583943865742" createdVersion="8" refreshedVersion="8" minRefreshableVersion="3" recordCount="2000" xr:uid="{4CBF721A-C68C-449F-8C3B-F1CFC5E3F7A8}">
  <cacheSource type="worksheet">
    <worksheetSource name="Table1"/>
  </cacheSource>
  <cacheFields count="18">
    <cacheField name="Transaction ID" numFmtId="0">
      <sharedItems count="2000">
        <s v="TXN000001"/>
        <s v="TXN000002"/>
        <s v="TXN000003"/>
        <s v="TXN000004"/>
        <s v="TXN000005"/>
        <s v="TXN000006"/>
        <s v="TXN000007"/>
        <s v="TXN000008"/>
        <s v="TXN000009"/>
        <s v="TXN000010"/>
        <s v="TXN000011"/>
        <s v="TXN000012"/>
        <s v="TXN000013"/>
        <s v="TXN000014"/>
        <s v="TXN000015"/>
        <s v="TXN000016"/>
        <s v="TXN000017"/>
        <s v="TXN000018"/>
        <s v="TXN000019"/>
        <s v="TXN000020"/>
        <s v="TXN000021"/>
        <s v="TXN000022"/>
        <s v="TXN000023"/>
        <s v="TXN000024"/>
        <s v="TXN000025"/>
        <s v="TXN000026"/>
        <s v="TXN000027"/>
        <s v="TXN000028"/>
        <s v="TXN000029"/>
        <s v="TXN000030"/>
        <s v="TXN000031"/>
        <s v="TXN000032"/>
        <s v="TXN000033"/>
        <s v="TXN000034"/>
        <s v="TXN000035"/>
        <s v="TXN000036"/>
        <s v="TXN000037"/>
        <s v="TXN000038"/>
        <s v="TXN000039"/>
        <s v="TXN000040"/>
        <s v="TXN000041"/>
        <s v="TXN000042"/>
        <s v="TXN000043"/>
        <s v="TXN000044"/>
        <s v="TXN000045"/>
        <s v="TXN000046"/>
        <s v="TXN000047"/>
        <s v="TXN000048"/>
        <s v="TXN000049"/>
        <s v="TXN000050"/>
        <s v="TXN000051"/>
        <s v="TXN000052"/>
        <s v="TXN000053"/>
        <s v="TXN000054"/>
        <s v="TXN000055"/>
        <s v="TXN000056"/>
        <s v="TXN000057"/>
        <s v="TXN000058"/>
        <s v="TXN000059"/>
        <s v="TXN000060"/>
        <s v="TXN000061"/>
        <s v="TXN000062"/>
        <s v="TXN000063"/>
        <s v="TXN000064"/>
        <s v="TXN000065"/>
        <s v="TXN000066"/>
        <s v="TXN000067"/>
        <s v="TXN000068"/>
        <s v="TXN000069"/>
        <s v="TXN000070"/>
        <s v="TXN000071"/>
        <s v="TXN000072"/>
        <s v="TXN000073"/>
        <s v="TXN000074"/>
        <s v="TXN000075"/>
        <s v="TXN000076"/>
        <s v="TXN000077"/>
        <s v="TXN000078"/>
        <s v="TXN000079"/>
        <s v="TXN000080"/>
        <s v="TXN000081"/>
        <s v="TXN000082"/>
        <s v="TXN000083"/>
        <s v="TXN000084"/>
        <s v="TXN000085"/>
        <s v="TXN000086"/>
        <s v="TXN000087"/>
        <s v="TXN000088"/>
        <s v="TXN000089"/>
        <s v="TXN000090"/>
        <s v="TXN000091"/>
        <s v="TXN000092"/>
        <s v="TXN000093"/>
        <s v="TXN000094"/>
        <s v="TXN000095"/>
        <s v="TXN000096"/>
        <s v="TXN000097"/>
        <s v="TXN000098"/>
        <s v="TXN000099"/>
        <s v="TXN000100"/>
        <s v="TXN000101"/>
        <s v="TXN000102"/>
        <s v="TXN000103"/>
        <s v="TXN000104"/>
        <s v="TXN000105"/>
        <s v="TXN000106"/>
        <s v="TXN000107"/>
        <s v="TXN000108"/>
        <s v="TXN000109"/>
        <s v="TXN000110"/>
        <s v="TXN000111"/>
        <s v="TXN000112"/>
        <s v="TXN000113"/>
        <s v="TXN000114"/>
        <s v="TXN000115"/>
        <s v="TXN000116"/>
        <s v="TXN000117"/>
        <s v="TXN000118"/>
        <s v="TXN000119"/>
        <s v="TXN000120"/>
        <s v="TXN000121"/>
        <s v="TXN000122"/>
        <s v="TXN000123"/>
        <s v="TXN000124"/>
        <s v="TXN000125"/>
        <s v="TXN000126"/>
        <s v="TXN000127"/>
        <s v="TXN000128"/>
        <s v="TXN000129"/>
        <s v="TXN000130"/>
        <s v="TXN000131"/>
        <s v="TXN000132"/>
        <s v="TXN000133"/>
        <s v="TXN000134"/>
        <s v="TXN000135"/>
        <s v="TXN000136"/>
        <s v="TXN000137"/>
        <s v="TXN000138"/>
        <s v="TXN000139"/>
        <s v="TXN000140"/>
        <s v="TXN000141"/>
        <s v="TXN000142"/>
        <s v="TXN000143"/>
        <s v="TXN000144"/>
        <s v="TXN000145"/>
        <s v="TXN000146"/>
        <s v="TXN000147"/>
        <s v="TXN000148"/>
        <s v="TXN000149"/>
        <s v="TXN000150"/>
        <s v="TXN000151"/>
        <s v="TXN000152"/>
        <s v="TXN000153"/>
        <s v="TXN000154"/>
        <s v="TXN000155"/>
        <s v="TXN000156"/>
        <s v="TXN000157"/>
        <s v="TXN000158"/>
        <s v="TXN000159"/>
        <s v="TXN000160"/>
        <s v="TXN000161"/>
        <s v="TXN000162"/>
        <s v="TXN000163"/>
        <s v="TXN000164"/>
        <s v="TXN000165"/>
        <s v="TXN000166"/>
        <s v="TXN000167"/>
        <s v="TXN000168"/>
        <s v="TXN000169"/>
        <s v="TXN000170"/>
        <s v="TXN000171"/>
        <s v="TXN000172"/>
        <s v="TXN000173"/>
        <s v="TXN000174"/>
        <s v="TXN000175"/>
        <s v="TXN000176"/>
        <s v="TXN000177"/>
        <s v="TXN000178"/>
        <s v="TXN000179"/>
        <s v="TXN000180"/>
        <s v="TXN000181"/>
        <s v="TXN000182"/>
        <s v="TXN000183"/>
        <s v="TXN000184"/>
        <s v="TXN000185"/>
        <s v="TXN000186"/>
        <s v="TXN000187"/>
        <s v="TXN000188"/>
        <s v="TXN000189"/>
        <s v="TXN000190"/>
        <s v="TXN000191"/>
        <s v="TXN000192"/>
        <s v="TXN000193"/>
        <s v="TXN000194"/>
        <s v="TXN000195"/>
        <s v="TXN000196"/>
        <s v="TXN000197"/>
        <s v="TXN000198"/>
        <s v="TXN000199"/>
        <s v="TXN000200"/>
        <s v="TXN000201"/>
        <s v="TXN000202"/>
        <s v="TXN000203"/>
        <s v="TXN000204"/>
        <s v="TXN000205"/>
        <s v="TXN000206"/>
        <s v="TXN000207"/>
        <s v="TXN000208"/>
        <s v="TXN000209"/>
        <s v="TXN000210"/>
        <s v="TXN000211"/>
        <s v="TXN000212"/>
        <s v="TXN000213"/>
        <s v="TXN000214"/>
        <s v="TXN000215"/>
        <s v="TXN000216"/>
        <s v="TXN000217"/>
        <s v="TXN000218"/>
        <s v="TXN000219"/>
        <s v="TXN000220"/>
        <s v="TXN000221"/>
        <s v="TXN000222"/>
        <s v="TXN000223"/>
        <s v="TXN000224"/>
        <s v="TXN000225"/>
        <s v="TXN000226"/>
        <s v="TXN000227"/>
        <s v="TXN000228"/>
        <s v="TXN000229"/>
        <s v="TXN000230"/>
        <s v="TXN000231"/>
        <s v="TXN000232"/>
        <s v="TXN000233"/>
        <s v="TXN000234"/>
        <s v="TXN000235"/>
        <s v="TXN000236"/>
        <s v="TXN000237"/>
        <s v="TXN000238"/>
        <s v="TXN000239"/>
        <s v="TXN000240"/>
        <s v="TXN000241"/>
        <s v="TXN000242"/>
        <s v="TXN000243"/>
        <s v="TXN000244"/>
        <s v="TXN000245"/>
        <s v="TXN000246"/>
        <s v="TXN000247"/>
        <s v="TXN000248"/>
        <s v="TXN000249"/>
        <s v="TXN000250"/>
        <s v="TXN000251"/>
        <s v="TXN000252"/>
        <s v="TXN000253"/>
        <s v="TXN000254"/>
        <s v="TXN000255"/>
        <s v="TXN000256"/>
        <s v="TXN000257"/>
        <s v="TXN000258"/>
        <s v="TXN000259"/>
        <s v="TXN000260"/>
        <s v="TXN000261"/>
        <s v="TXN000262"/>
        <s v="TXN000263"/>
        <s v="TXN000264"/>
        <s v="TXN000265"/>
        <s v="TXN000266"/>
        <s v="TXN000267"/>
        <s v="TXN000268"/>
        <s v="TXN000269"/>
        <s v="TXN000270"/>
        <s v="TXN000271"/>
        <s v="TXN000272"/>
        <s v="TXN000273"/>
        <s v="TXN000274"/>
        <s v="TXN000275"/>
        <s v="TXN000276"/>
        <s v="TXN000277"/>
        <s v="TXN000278"/>
        <s v="TXN000279"/>
        <s v="TXN000280"/>
        <s v="TXN000281"/>
        <s v="TXN000282"/>
        <s v="TXN000283"/>
        <s v="TXN000284"/>
        <s v="TXN000285"/>
        <s v="TXN000286"/>
        <s v="TXN000287"/>
        <s v="TXN000288"/>
        <s v="TXN000289"/>
        <s v="TXN000290"/>
        <s v="TXN000291"/>
        <s v="TXN000292"/>
        <s v="TXN000293"/>
        <s v="TXN000294"/>
        <s v="TXN000295"/>
        <s v="TXN000296"/>
        <s v="TXN000297"/>
        <s v="TXN000298"/>
        <s v="TXN000299"/>
        <s v="TXN000300"/>
        <s v="TXN000301"/>
        <s v="TXN000302"/>
        <s v="TXN000303"/>
        <s v="TXN000304"/>
        <s v="TXN000305"/>
        <s v="TXN000306"/>
        <s v="TXN000307"/>
        <s v="TXN000308"/>
        <s v="TXN000309"/>
        <s v="TXN000310"/>
        <s v="TXN000311"/>
        <s v="TXN000312"/>
        <s v="TXN000313"/>
        <s v="TXN000314"/>
        <s v="TXN000315"/>
        <s v="TXN000316"/>
        <s v="TXN000317"/>
        <s v="TXN000318"/>
        <s v="TXN000319"/>
        <s v="TXN000320"/>
        <s v="TXN000321"/>
        <s v="TXN000322"/>
        <s v="TXN000323"/>
        <s v="TXN000324"/>
        <s v="TXN000325"/>
        <s v="TXN000326"/>
        <s v="TXN000327"/>
        <s v="TXN000328"/>
        <s v="TXN000329"/>
        <s v="TXN000330"/>
        <s v="TXN000331"/>
        <s v="TXN000332"/>
        <s v="TXN000333"/>
        <s v="TXN000334"/>
        <s v="TXN000335"/>
        <s v="TXN000336"/>
        <s v="TXN000337"/>
        <s v="TXN000338"/>
        <s v="TXN000339"/>
        <s v="TXN000340"/>
        <s v="TXN000341"/>
        <s v="TXN000342"/>
        <s v="TXN000343"/>
        <s v="TXN000344"/>
        <s v="TXN000345"/>
        <s v="TXN000346"/>
        <s v="TXN000347"/>
        <s v="TXN000348"/>
        <s v="TXN000349"/>
        <s v="TXN000350"/>
        <s v="TXN000351"/>
        <s v="TXN000352"/>
        <s v="TXN000353"/>
        <s v="TXN000354"/>
        <s v="TXN000355"/>
        <s v="TXN000356"/>
        <s v="TXN000357"/>
        <s v="TXN000358"/>
        <s v="TXN000359"/>
        <s v="TXN000360"/>
        <s v="TXN000361"/>
        <s v="TXN000362"/>
        <s v="TXN000363"/>
        <s v="TXN000364"/>
        <s v="TXN000365"/>
        <s v="TXN000366"/>
        <s v="TXN000367"/>
        <s v="TXN000368"/>
        <s v="TXN000369"/>
        <s v="TXN000370"/>
        <s v="TXN000371"/>
        <s v="TXN000372"/>
        <s v="TXN000373"/>
        <s v="TXN000374"/>
        <s v="TXN000375"/>
        <s v="TXN000376"/>
        <s v="TXN000377"/>
        <s v="TXN000378"/>
        <s v="TXN000379"/>
        <s v="TXN000380"/>
        <s v="TXN000381"/>
        <s v="TXN000382"/>
        <s v="TXN000383"/>
        <s v="TXN000384"/>
        <s v="TXN000385"/>
        <s v="TXN000386"/>
        <s v="TXN000387"/>
        <s v="TXN000388"/>
        <s v="TXN000389"/>
        <s v="TXN000390"/>
        <s v="TXN000391"/>
        <s v="TXN000392"/>
        <s v="TXN000393"/>
        <s v="TXN000394"/>
        <s v="TXN000395"/>
        <s v="TXN000396"/>
        <s v="TXN000397"/>
        <s v="TXN000398"/>
        <s v="TXN000399"/>
        <s v="TXN000400"/>
        <s v="TXN000401"/>
        <s v="TXN000402"/>
        <s v="TXN000403"/>
        <s v="TXN000404"/>
        <s v="TXN000405"/>
        <s v="TXN000406"/>
        <s v="TXN000407"/>
        <s v="TXN000408"/>
        <s v="TXN000409"/>
        <s v="TXN000410"/>
        <s v="TXN000411"/>
        <s v="TXN000412"/>
        <s v="TXN000413"/>
        <s v="TXN000414"/>
        <s v="TXN000415"/>
        <s v="TXN000416"/>
        <s v="TXN000417"/>
        <s v="TXN000418"/>
        <s v="TXN000419"/>
        <s v="TXN000420"/>
        <s v="TXN000421"/>
        <s v="TXN000422"/>
        <s v="TXN000423"/>
        <s v="TXN000424"/>
        <s v="TXN000425"/>
        <s v="TXN000426"/>
        <s v="TXN000427"/>
        <s v="TXN000428"/>
        <s v="TXN000429"/>
        <s v="TXN000430"/>
        <s v="TXN000431"/>
        <s v="TXN000432"/>
        <s v="TXN000433"/>
        <s v="TXN000434"/>
        <s v="TXN000435"/>
        <s v="TXN000436"/>
        <s v="TXN000437"/>
        <s v="TXN000438"/>
        <s v="TXN000439"/>
        <s v="TXN000440"/>
        <s v="TXN000441"/>
        <s v="TXN000442"/>
        <s v="TXN000443"/>
        <s v="TXN000444"/>
        <s v="TXN000445"/>
        <s v="TXN000446"/>
        <s v="TXN000447"/>
        <s v="TXN000448"/>
        <s v="TXN000449"/>
        <s v="TXN000450"/>
        <s v="TXN000451"/>
        <s v="TXN000452"/>
        <s v="TXN000453"/>
        <s v="TXN000454"/>
        <s v="TXN000455"/>
        <s v="TXN000456"/>
        <s v="TXN000457"/>
        <s v="TXN000458"/>
        <s v="TXN000459"/>
        <s v="TXN000460"/>
        <s v="TXN000461"/>
        <s v="TXN000462"/>
        <s v="TXN000463"/>
        <s v="TXN000464"/>
        <s v="TXN000465"/>
        <s v="TXN000466"/>
        <s v="TXN000467"/>
        <s v="TXN000468"/>
        <s v="TXN000469"/>
        <s v="TXN000470"/>
        <s v="TXN000471"/>
        <s v="TXN000472"/>
        <s v="TXN000473"/>
        <s v="TXN000474"/>
        <s v="TXN000475"/>
        <s v="TXN000476"/>
        <s v="TXN000477"/>
        <s v="TXN000478"/>
        <s v="TXN000479"/>
        <s v="TXN000480"/>
        <s v="TXN000481"/>
        <s v="TXN000482"/>
        <s v="TXN000483"/>
        <s v="TXN000484"/>
        <s v="TXN000485"/>
        <s v="TXN000486"/>
        <s v="TXN000487"/>
        <s v="TXN000488"/>
        <s v="TXN000489"/>
        <s v="TXN000490"/>
        <s v="TXN000491"/>
        <s v="TXN000492"/>
        <s v="TXN000493"/>
        <s v="TXN000494"/>
        <s v="TXN000495"/>
        <s v="TXN000496"/>
        <s v="TXN000497"/>
        <s v="TXN000498"/>
        <s v="TXN000499"/>
        <s v="TXN000500"/>
        <s v="TXN000501"/>
        <s v="TXN000502"/>
        <s v="TXN000503"/>
        <s v="TXN000504"/>
        <s v="TXN000505"/>
        <s v="TXN000506"/>
        <s v="TXN000507"/>
        <s v="TXN000508"/>
        <s v="TXN000509"/>
        <s v="TXN000510"/>
        <s v="TXN000511"/>
        <s v="TXN000512"/>
        <s v="TXN000513"/>
        <s v="TXN000514"/>
        <s v="TXN000515"/>
        <s v="TXN000516"/>
        <s v="TXN000517"/>
        <s v="TXN000518"/>
        <s v="TXN000519"/>
        <s v="TXN000520"/>
        <s v="TXN000521"/>
        <s v="TXN000522"/>
        <s v="TXN000523"/>
        <s v="TXN000524"/>
        <s v="TXN000525"/>
        <s v="TXN000526"/>
        <s v="TXN000527"/>
        <s v="TXN000528"/>
        <s v="TXN000529"/>
        <s v="TXN000530"/>
        <s v="TXN000531"/>
        <s v="TXN000532"/>
        <s v="TXN000533"/>
        <s v="TXN000534"/>
        <s v="TXN000535"/>
        <s v="TXN000536"/>
        <s v="TXN000537"/>
        <s v="TXN000538"/>
        <s v="TXN000539"/>
        <s v="TXN000540"/>
        <s v="TXN000541"/>
        <s v="TXN000542"/>
        <s v="TXN000543"/>
        <s v="TXN000544"/>
        <s v="TXN000545"/>
        <s v="TXN000546"/>
        <s v="TXN000547"/>
        <s v="TXN000548"/>
        <s v="TXN000549"/>
        <s v="TXN000550"/>
        <s v="TXN000551"/>
        <s v="TXN000552"/>
        <s v="TXN000553"/>
        <s v="TXN000554"/>
        <s v="TXN000555"/>
        <s v="TXN000556"/>
        <s v="TXN000557"/>
        <s v="TXN000558"/>
        <s v="TXN000559"/>
        <s v="TXN000560"/>
        <s v="TXN000561"/>
        <s v="TXN000562"/>
        <s v="TXN000563"/>
        <s v="TXN000564"/>
        <s v="TXN000565"/>
        <s v="TXN000566"/>
        <s v="TXN000567"/>
        <s v="TXN000568"/>
        <s v="TXN000569"/>
        <s v="TXN000570"/>
        <s v="TXN000571"/>
        <s v="TXN000572"/>
        <s v="TXN000573"/>
        <s v="TXN000574"/>
        <s v="TXN000575"/>
        <s v="TXN000576"/>
        <s v="TXN000577"/>
        <s v="TXN000578"/>
        <s v="TXN000579"/>
        <s v="TXN000580"/>
        <s v="TXN000581"/>
        <s v="TXN000582"/>
        <s v="TXN000583"/>
        <s v="TXN000584"/>
        <s v="TXN000585"/>
        <s v="TXN000586"/>
        <s v="TXN000587"/>
        <s v="TXN000588"/>
        <s v="TXN000589"/>
        <s v="TXN000590"/>
        <s v="TXN000591"/>
        <s v="TXN000592"/>
        <s v="TXN000593"/>
        <s v="TXN000594"/>
        <s v="TXN000595"/>
        <s v="TXN000596"/>
        <s v="TXN000597"/>
        <s v="TXN000598"/>
        <s v="TXN000599"/>
        <s v="TXN000600"/>
        <s v="TXN000601"/>
        <s v="TXN000602"/>
        <s v="TXN000603"/>
        <s v="TXN000604"/>
        <s v="TXN000605"/>
        <s v="TXN000606"/>
        <s v="TXN000607"/>
        <s v="TXN000608"/>
        <s v="TXN000609"/>
        <s v="TXN000610"/>
        <s v="TXN000611"/>
        <s v="TXN000612"/>
        <s v="TXN000613"/>
        <s v="TXN000614"/>
        <s v="TXN000615"/>
        <s v="TXN000616"/>
        <s v="TXN000617"/>
        <s v="TXN000618"/>
        <s v="TXN000619"/>
        <s v="TXN000620"/>
        <s v="TXN000621"/>
        <s v="TXN000622"/>
        <s v="TXN000623"/>
        <s v="TXN000624"/>
        <s v="TXN000625"/>
        <s v="TXN000626"/>
        <s v="TXN000627"/>
        <s v="TXN000628"/>
        <s v="TXN000629"/>
        <s v="TXN000630"/>
        <s v="TXN000631"/>
        <s v="TXN000632"/>
        <s v="TXN000633"/>
        <s v="TXN000634"/>
        <s v="TXN000635"/>
        <s v="TXN000636"/>
        <s v="TXN000637"/>
        <s v="TXN000638"/>
        <s v="TXN000639"/>
        <s v="TXN000640"/>
        <s v="TXN000641"/>
        <s v="TXN000642"/>
        <s v="TXN000643"/>
        <s v="TXN000644"/>
        <s v="TXN000645"/>
        <s v="TXN000646"/>
        <s v="TXN000647"/>
        <s v="TXN000648"/>
        <s v="TXN000649"/>
        <s v="TXN000650"/>
        <s v="TXN000651"/>
        <s v="TXN000652"/>
        <s v="TXN000653"/>
        <s v="TXN000654"/>
        <s v="TXN000655"/>
        <s v="TXN000656"/>
        <s v="TXN000657"/>
        <s v="TXN000658"/>
        <s v="TXN000659"/>
        <s v="TXN000660"/>
        <s v="TXN000661"/>
        <s v="TXN000662"/>
        <s v="TXN000663"/>
        <s v="TXN000664"/>
        <s v="TXN000665"/>
        <s v="TXN000666"/>
        <s v="TXN000667"/>
        <s v="TXN000668"/>
        <s v="TXN000669"/>
        <s v="TXN000670"/>
        <s v="TXN000671"/>
        <s v="TXN000672"/>
        <s v="TXN000673"/>
        <s v="TXN000674"/>
        <s v="TXN000675"/>
        <s v="TXN000676"/>
        <s v="TXN000677"/>
        <s v="TXN000678"/>
        <s v="TXN000679"/>
        <s v="TXN000680"/>
        <s v="TXN000681"/>
        <s v="TXN000682"/>
        <s v="TXN000683"/>
        <s v="TXN000684"/>
        <s v="TXN000685"/>
        <s v="TXN000686"/>
        <s v="TXN000687"/>
        <s v="TXN000688"/>
        <s v="TXN000689"/>
        <s v="TXN000690"/>
        <s v="TXN000691"/>
        <s v="TXN000692"/>
        <s v="TXN000693"/>
        <s v="TXN000694"/>
        <s v="TXN000695"/>
        <s v="TXN000696"/>
        <s v="TXN000697"/>
        <s v="TXN000698"/>
        <s v="TXN000699"/>
        <s v="TXN000700"/>
        <s v="TXN000701"/>
        <s v="TXN000702"/>
        <s v="TXN000703"/>
        <s v="TXN000704"/>
        <s v="TXN000705"/>
        <s v="TXN000706"/>
        <s v="TXN000707"/>
        <s v="TXN000708"/>
        <s v="TXN000709"/>
        <s v="TXN000710"/>
        <s v="TXN000711"/>
        <s v="TXN000712"/>
        <s v="TXN000713"/>
        <s v="TXN000714"/>
        <s v="TXN000715"/>
        <s v="TXN000716"/>
        <s v="TXN000717"/>
        <s v="TXN000718"/>
        <s v="TXN000719"/>
        <s v="TXN000720"/>
        <s v="TXN000721"/>
        <s v="TXN000722"/>
        <s v="TXN000723"/>
        <s v="TXN000724"/>
        <s v="TXN000725"/>
        <s v="TXN000726"/>
        <s v="TXN000727"/>
        <s v="TXN000728"/>
        <s v="TXN000729"/>
        <s v="TXN000730"/>
        <s v="TXN000731"/>
        <s v="TXN000732"/>
        <s v="TXN000733"/>
        <s v="TXN000734"/>
        <s v="TXN000735"/>
        <s v="TXN000736"/>
        <s v="TXN000737"/>
        <s v="TXN000738"/>
        <s v="TXN000739"/>
        <s v="TXN000740"/>
        <s v="TXN000741"/>
        <s v="TXN000742"/>
        <s v="TXN000743"/>
        <s v="TXN000744"/>
        <s v="TXN000745"/>
        <s v="TXN000746"/>
        <s v="TXN000747"/>
        <s v="TXN000748"/>
        <s v="TXN000749"/>
        <s v="TXN000750"/>
        <s v="TXN000751"/>
        <s v="TXN000752"/>
        <s v="TXN000753"/>
        <s v="TXN000754"/>
        <s v="TXN000755"/>
        <s v="TXN000756"/>
        <s v="TXN000757"/>
        <s v="TXN000758"/>
        <s v="TXN000759"/>
        <s v="TXN000760"/>
        <s v="TXN000761"/>
        <s v="TXN000762"/>
        <s v="TXN000763"/>
        <s v="TXN000764"/>
        <s v="TXN000765"/>
        <s v="TXN000766"/>
        <s v="TXN000767"/>
        <s v="TXN000768"/>
        <s v="TXN000769"/>
        <s v="TXN000770"/>
        <s v="TXN000771"/>
        <s v="TXN000772"/>
        <s v="TXN000773"/>
        <s v="TXN000774"/>
        <s v="TXN000775"/>
        <s v="TXN000776"/>
        <s v="TXN000777"/>
        <s v="TXN000778"/>
        <s v="TXN000779"/>
        <s v="TXN000780"/>
        <s v="TXN000781"/>
        <s v="TXN000782"/>
        <s v="TXN000783"/>
        <s v="TXN000784"/>
        <s v="TXN000785"/>
        <s v="TXN000786"/>
        <s v="TXN000787"/>
        <s v="TXN000788"/>
        <s v="TXN000789"/>
        <s v="TXN000790"/>
        <s v="TXN000791"/>
        <s v="TXN000792"/>
        <s v="TXN000793"/>
        <s v="TXN000794"/>
        <s v="TXN000795"/>
        <s v="TXN000796"/>
        <s v="TXN000797"/>
        <s v="TXN000798"/>
        <s v="TXN000799"/>
        <s v="TXN000800"/>
        <s v="TXN000801"/>
        <s v="TXN000802"/>
        <s v="TXN000803"/>
        <s v="TXN000804"/>
        <s v="TXN000805"/>
        <s v="TXN000806"/>
        <s v="TXN000807"/>
        <s v="TXN000808"/>
        <s v="TXN000809"/>
        <s v="TXN000810"/>
        <s v="TXN000811"/>
        <s v="TXN000812"/>
        <s v="TXN000813"/>
        <s v="TXN000814"/>
        <s v="TXN000815"/>
        <s v="TXN000816"/>
        <s v="TXN000817"/>
        <s v="TXN000818"/>
        <s v="TXN000819"/>
        <s v="TXN000820"/>
        <s v="TXN000821"/>
        <s v="TXN000822"/>
        <s v="TXN000823"/>
        <s v="TXN000824"/>
        <s v="TXN000825"/>
        <s v="TXN000826"/>
        <s v="TXN000827"/>
        <s v="TXN000828"/>
        <s v="TXN000829"/>
        <s v="TXN000830"/>
        <s v="TXN000831"/>
        <s v="TXN000832"/>
        <s v="TXN000833"/>
        <s v="TXN000834"/>
        <s v="TXN000835"/>
        <s v="TXN000836"/>
        <s v="TXN000837"/>
        <s v="TXN000838"/>
        <s v="TXN000839"/>
        <s v="TXN000840"/>
        <s v="TXN000841"/>
        <s v="TXN000842"/>
        <s v="TXN000843"/>
        <s v="TXN000844"/>
        <s v="TXN000845"/>
        <s v="TXN000846"/>
        <s v="TXN000847"/>
        <s v="TXN000848"/>
        <s v="TXN000849"/>
        <s v="TXN000850"/>
        <s v="TXN000851"/>
        <s v="TXN000852"/>
        <s v="TXN000853"/>
        <s v="TXN000854"/>
        <s v="TXN000855"/>
        <s v="TXN000856"/>
        <s v="TXN000857"/>
        <s v="TXN000858"/>
        <s v="TXN000859"/>
        <s v="TXN000860"/>
        <s v="TXN000861"/>
        <s v="TXN000862"/>
        <s v="TXN000863"/>
        <s v="TXN000864"/>
        <s v="TXN000865"/>
        <s v="TXN000866"/>
        <s v="TXN000867"/>
        <s v="TXN000868"/>
        <s v="TXN000869"/>
        <s v="TXN000870"/>
        <s v="TXN000871"/>
        <s v="TXN000872"/>
        <s v="TXN000873"/>
        <s v="TXN000874"/>
        <s v="TXN000875"/>
        <s v="TXN000876"/>
        <s v="TXN000877"/>
        <s v="TXN000878"/>
        <s v="TXN000879"/>
        <s v="TXN000880"/>
        <s v="TXN000881"/>
        <s v="TXN000882"/>
        <s v="TXN000883"/>
        <s v="TXN000884"/>
        <s v="TXN000885"/>
        <s v="TXN000886"/>
        <s v="TXN000887"/>
        <s v="TXN000888"/>
        <s v="TXN000889"/>
        <s v="TXN000890"/>
        <s v="TXN000891"/>
        <s v="TXN000892"/>
        <s v="TXN000893"/>
        <s v="TXN000894"/>
        <s v="TXN000895"/>
        <s v="TXN000896"/>
        <s v="TXN000897"/>
        <s v="TXN000898"/>
        <s v="TXN000899"/>
        <s v="TXN000900"/>
        <s v="TXN000901"/>
        <s v="TXN000902"/>
        <s v="TXN000903"/>
        <s v="TXN000904"/>
        <s v="TXN000905"/>
        <s v="TXN000906"/>
        <s v="TXN000907"/>
        <s v="TXN000908"/>
        <s v="TXN000909"/>
        <s v="TXN000910"/>
        <s v="TXN000911"/>
        <s v="TXN000912"/>
        <s v="TXN000913"/>
        <s v="TXN000914"/>
        <s v="TXN000915"/>
        <s v="TXN000916"/>
        <s v="TXN000917"/>
        <s v="TXN000918"/>
        <s v="TXN000919"/>
        <s v="TXN000920"/>
        <s v="TXN000921"/>
        <s v="TXN000922"/>
        <s v="TXN000923"/>
        <s v="TXN000924"/>
        <s v="TXN000925"/>
        <s v="TXN000926"/>
        <s v="TXN000927"/>
        <s v="TXN000928"/>
        <s v="TXN000929"/>
        <s v="TXN000930"/>
        <s v="TXN000931"/>
        <s v="TXN000932"/>
        <s v="TXN000933"/>
        <s v="TXN000934"/>
        <s v="TXN000935"/>
        <s v="TXN000936"/>
        <s v="TXN000937"/>
        <s v="TXN000938"/>
        <s v="TXN000939"/>
        <s v="TXN000940"/>
        <s v="TXN000941"/>
        <s v="TXN000942"/>
        <s v="TXN000943"/>
        <s v="TXN000944"/>
        <s v="TXN000945"/>
        <s v="TXN000946"/>
        <s v="TXN000947"/>
        <s v="TXN000948"/>
        <s v="TXN000949"/>
        <s v="TXN000950"/>
        <s v="TXN000951"/>
        <s v="TXN000952"/>
        <s v="TXN000953"/>
        <s v="TXN000954"/>
        <s v="TXN000955"/>
        <s v="TXN000956"/>
        <s v="TXN000957"/>
        <s v="TXN000958"/>
        <s v="TXN000959"/>
        <s v="TXN000960"/>
        <s v="TXN000961"/>
        <s v="TXN000962"/>
        <s v="TXN000963"/>
        <s v="TXN000964"/>
        <s v="TXN000965"/>
        <s v="TXN000966"/>
        <s v="TXN000967"/>
        <s v="TXN000968"/>
        <s v="TXN000969"/>
        <s v="TXN000970"/>
        <s v="TXN000971"/>
        <s v="TXN000972"/>
        <s v="TXN000973"/>
        <s v="TXN000974"/>
        <s v="TXN000975"/>
        <s v="TXN000976"/>
        <s v="TXN000977"/>
        <s v="TXN000978"/>
        <s v="TXN000979"/>
        <s v="TXN000980"/>
        <s v="TXN000981"/>
        <s v="TXN000982"/>
        <s v="TXN000983"/>
        <s v="TXN000984"/>
        <s v="TXN000985"/>
        <s v="TXN000986"/>
        <s v="TXN000987"/>
        <s v="TXN000988"/>
        <s v="TXN000989"/>
        <s v="TXN000990"/>
        <s v="TXN000991"/>
        <s v="TXN000992"/>
        <s v="TXN000993"/>
        <s v="TXN000994"/>
        <s v="TXN000995"/>
        <s v="TXN000996"/>
        <s v="TXN000997"/>
        <s v="TXN000998"/>
        <s v="TXN000999"/>
        <s v="TXN001000"/>
        <s v="TXN001001"/>
        <s v="TXN001002"/>
        <s v="TXN001003"/>
        <s v="TXN001004"/>
        <s v="TXN001005"/>
        <s v="TXN001006"/>
        <s v="TXN001007"/>
        <s v="TXN001008"/>
        <s v="TXN001009"/>
        <s v="TXN001010"/>
        <s v="TXN001011"/>
        <s v="TXN001012"/>
        <s v="TXN001013"/>
        <s v="TXN001014"/>
        <s v="TXN001015"/>
        <s v="TXN001016"/>
        <s v="TXN001017"/>
        <s v="TXN001018"/>
        <s v="TXN001019"/>
        <s v="TXN001020"/>
        <s v="TXN001021"/>
        <s v="TXN001022"/>
        <s v="TXN001023"/>
        <s v="TXN001024"/>
        <s v="TXN001025"/>
        <s v="TXN001026"/>
        <s v="TXN001027"/>
        <s v="TXN001028"/>
        <s v="TXN001029"/>
        <s v="TXN001030"/>
        <s v="TXN001031"/>
        <s v="TXN001032"/>
        <s v="TXN001033"/>
        <s v="TXN001034"/>
        <s v="TXN001035"/>
        <s v="TXN001036"/>
        <s v="TXN001037"/>
        <s v="TXN001038"/>
        <s v="TXN001039"/>
        <s v="TXN001040"/>
        <s v="TXN001041"/>
        <s v="TXN001042"/>
        <s v="TXN001043"/>
        <s v="TXN001044"/>
        <s v="TXN001045"/>
        <s v="TXN001046"/>
        <s v="TXN001047"/>
        <s v="TXN001048"/>
        <s v="TXN001049"/>
        <s v="TXN001050"/>
        <s v="TXN001051"/>
        <s v="TXN001052"/>
        <s v="TXN001053"/>
        <s v="TXN001054"/>
        <s v="TXN001055"/>
        <s v="TXN001056"/>
        <s v="TXN001057"/>
        <s v="TXN001058"/>
        <s v="TXN001059"/>
        <s v="TXN001060"/>
        <s v="TXN001061"/>
        <s v="TXN001062"/>
        <s v="TXN001063"/>
        <s v="TXN001064"/>
        <s v="TXN001065"/>
        <s v="TXN001066"/>
        <s v="TXN001067"/>
        <s v="TXN001068"/>
        <s v="TXN001069"/>
        <s v="TXN001070"/>
        <s v="TXN001071"/>
        <s v="TXN001072"/>
        <s v="TXN001073"/>
        <s v="TXN001074"/>
        <s v="TXN001075"/>
        <s v="TXN001076"/>
        <s v="TXN001077"/>
        <s v="TXN001078"/>
        <s v="TXN001079"/>
        <s v="TXN001080"/>
        <s v="TXN001081"/>
        <s v="TXN001082"/>
        <s v="TXN001083"/>
        <s v="TXN001084"/>
        <s v="TXN001085"/>
        <s v="TXN001086"/>
        <s v="TXN001087"/>
        <s v="TXN001088"/>
        <s v="TXN001089"/>
        <s v="TXN001090"/>
        <s v="TXN001091"/>
        <s v="TXN001092"/>
        <s v="TXN001093"/>
        <s v="TXN001094"/>
        <s v="TXN001095"/>
        <s v="TXN001096"/>
        <s v="TXN001097"/>
        <s v="TXN001098"/>
        <s v="TXN001099"/>
        <s v="TXN001100"/>
        <s v="TXN001101"/>
        <s v="TXN001102"/>
        <s v="TXN001103"/>
        <s v="TXN001104"/>
        <s v="TXN001105"/>
        <s v="TXN001106"/>
        <s v="TXN001107"/>
        <s v="TXN001108"/>
        <s v="TXN001109"/>
        <s v="TXN001110"/>
        <s v="TXN001111"/>
        <s v="TXN001112"/>
        <s v="TXN001113"/>
        <s v="TXN001114"/>
        <s v="TXN001115"/>
        <s v="TXN001116"/>
        <s v="TXN001117"/>
        <s v="TXN001118"/>
        <s v="TXN001119"/>
        <s v="TXN001120"/>
        <s v="TXN001121"/>
        <s v="TXN001122"/>
        <s v="TXN001123"/>
        <s v="TXN001124"/>
        <s v="TXN001125"/>
        <s v="TXN001126"/>
        <s v="TXN001127"/>
        <s v="TXN001128"/>
        <s v="TXN001129"/>
        <s v="TXN001130"/>
        <s v="TXN001131"/>
        <s v="TXN001132"/>
        <s v="TXN001133"/>
        <s v="TXN001134"/>
        <s v="TXN001135"/>
        <s v="TXN001136"/>
        <s v="TXN001137"/>
        <s v="TXN001138"/>
        <s v="TXN001139"/>
        <s v="TXN001140"/>
        <s v="TXN001141"/>
        <s v="TXN001142"/>
        <s v="TXN001143"/>
        <s v="TXN001144"/>
        <s v="TXN001145"/>
        <s v="TXN001146"/>
        <s v="TXN001147"/>
        <s v="TXN001148"/>
        <s v="TXN001149"/>
        <s v="TXN001150"/>
        <s v="TXN001151"/>
        <s v="TXN001152"/>
        <s v="TXN001153"/>
        <s v="TXN001154"/>
        <s v="TXN001155"/>
        <s v="TXN001156"/>
        <s v="TXN001157"/>
        <s v="TXN001158"/>
        <s v="TXN001159"/>
        <s v="TXN001160"/>
        <s v="TXN001161"/>
        <s v="TXN001162"/>
        <s v="TXN001163"/>
        <s v="TXN001164"/>
        <s v="TXN001165"/>
        <s v="TXN001166"/>
        <s v="TXN001167"/>
        <s v="TXN001168"/>
        <s v="TXN001169"/>
        <s v="TXN001170"/>
        <s v="TXN001171"/>
        <s v="TXN001172"/>
        <s v="TXN001173"/>
        <s v="TXN001174"/>
        <s v="TXN001175"/>
        <s v="TXN001176"/>
        <s v="TXN001177"/>
        <s v="TXN001178"/>
        <s v="TXN001179"/>
        <s v="TXN001180"/>
        <s v="TXN001181"/>
        <s v="TXN001182"/>
        <s v="TXN001183"/>
        <s v="TXN001184"/>
        <s v="TXN001185"/>
        <s v="TXN001186"/>
        <s v="TXN001187"/>
        <s v="TXN001188"/>
        <s v="TXN001189"/>
        <s v="TXN001190"/>
        <s v="TXN001191"/>
        <s v="TXN001192"/>
        <s v="TXN001193"/>
        <s v="TXN001194"/>
        <s v="TXN001195"/>
        <s v="TXN001196"/>
        <s v="TXN001197"/>
        <s v="TXN001198"/>
        <s v="TXN001199"/>
        <s v="TXN001200"/>
        <s v="TXN001201"/>
        <s v="TXN001202"/>
        <s v="TXN001203"/>
        <s v="TXN001204"/>
        <s v="TXN001205"/>
        <s v="TXN001206"/>
        <s v="TXN001207"/>
        <s v="TXN001208"/>
        <s v="TXN001209"/>
        <s v="TXN001210"/>
        <s v="TXN001211"/>
        <s v="TXN001212"/>
        <s v="TXN001213"/>
        <s v="TXN001214"/>
        <s v="TXN001215"/>
        <s v="TXN001216"/>
        <s v="TXN001217"/>
        <s v="TXN001218"/>
        <s v="TXN001219"/>
        <s v="TXN001220"/>
        <s v="TXN001221"/>
        <s v="TXN001222"/>
        <s v="TXN001223"/>
        <s v="TXN001224"/>
        <s v="TXN001225"/>
        <s v="TXN001226"/>
        <s v="TXN001227"/>
        <s v="TXN001228"/>
        <s v="TXN001229"/>
        <s v="TXN001230"/>
        <s v="TXN001231"/>
        <s v="TXN001232"/>
        <s v="TXN001233"/>
        <s v="TXN001234"/>
        <s v="TXN001235"/>
        <s v="TXN001236"/>
        <s v="TXN001237"/>
        <s v="TXN001238"/>
        <s v="TXN001239"/>
        <s v="TXN001240"/>
        <s v="TXN001241"/>
        <s v="TXN001242"/>
        <s v="TXN001243"/>
        <s v="TXN001244"/>
        <s v="TXN001245"/>
        <s v="TXN001246"/>
        <s v="TXN001247"/>
        <s v="TXN001248"/>
        <s v="TXN001249"/>
        <s v="TXN001250"/>
        <s v="TXN001251"/>
        <s v="TXN001252"/>
        <s v="TXN001253"/>
        <s v="TXN001254"/>
        <s v="TXN001255"/>
        <s v="TXN001256"/>
        <s v="TXN001257"/>
        <s v="TXN001258"/>
        <s v="TXN001259"/>
        <s v="TXN001260"/>
        <s v="TXN001261"/>
        <s v="TXN001262"/>
        <s v="TXN001263"/>
        <s v="TXN001264"/>
        <s v="TXN001265"/>
        <s v="TXN001266"/>
        <s v="TXN001267"/>
        <s v="TXN001268"/>
        <s v="TXN001269"/>
        <s v="TXN001270"/>
        <s v="TXN001271"/>
        <s v="TXN001272"/>
        <s v="TXN001273"/>
        <s v="TXN001274"/>
        <s v="TXN001275"/>
        <s v="TXN001276"/>
        <s v="TXN001277"/>
        <s v="TXN001278"/>
        <s v="TXN001279"/>
        <s v="TXN001280"/>
        <s v="TXN001281"/>
        <s v="TXN001282"/>
        <s v="TXN001283"/>
        <s v="TXN001284"/>
        <s v="TXN001285"/>
        <s v="TXN001286"/>
        <s v="TXN001287"/>
        <s v="TXN001288"/>
        <s v="TXN001289"/>
        <s v="TXN001290"/>
        <s v="TXN001291"/>
        <s v="TXN001292"/>
        <s v="TXN001293"/>
        <s v="TXN001294"/>
        <s v="TXN001295"/>
        <s v="TXN001296"/>
        <s v="TXN001297"/>
        <s v="TXN001298"/>
        <s v="TXN001299"/>
        <s v="TXN001300"/>
        <s v="TXN001301"/>
        <s v="TXN001302"/>
        <s v="TXN001303"/>
        <s v="TXN001304"/>
        <s v="TXN001305"/>
        <s v="TXN001306"/>
        <s v="TXN001307"/>
        <s v="TXN001308"/>
        <s v="TXN001309"/>
        <s v="TXN001310"/>
        <s v="TXN001311"/>
        <s v="TXN001312"/>
        <s v="TXN001313"/>
        <s v="TXN001314"/>
        <s v="TXN001315"/>
        <s v="TXN001316"/>
        <s v="TXN001317"/>
        <s v="TXN001318"/>
        <s v="TXN001319"/>
        <s v="TXN001320"/>
        <s v="TXN001321"/>
        <s v="TXN001322"/>
        <s v="TXN001323"/>
        <s v="TXN001324"/>
        <s v="TXN001325"/>
        <s v="TXN001326"/>
        <s v="TXN001327"/>
        <s v="TXN001328"/>
        <s v="TXN001329"/>
        <s v="TXN001330"/>
        <s v="TXN001331"/>
        <s v="TXN001332"/>
        <s v="TXN001333"/>
        <s v="TXN001334"/>
        <s v="TXN001335"/>
        <s v="TXN001336"/>
        <s v="TXN001337"/>
        <s v="TXN001338"/>
        <s v="TXN001339"/>
        <s v="TXN001340"/>
        <s v="TXN001341"/>
        <s v="TXN001342"/>
        <s v="TXN001343"/>
        <s v="TXN001344"/>
        <s v="TXN001345"/>
        <s v="TXN001346"/>
        <s v="TXN001347"/>
        <s v="TXN001348"/>
        <s v="TXN001349"/>
        <s v="TXN001350"/>
        <s v="TXN001351"/>
        <s v="TXN001352"/>
        <s v="TXN001353"/>
        <s v="TXN001354"/>
        <s v="TXN001355"/>
        <s v="TXN001356"/>
        <s v="TXN001357"/>
        <s v="TXN001358"/>
        <s v="TXN001359"/>
        <s v="TXN001360"/>
        <s v="TXN001361"/>
        <s v="TXN001362"/>
        <s v="TXN001363"/>
        <s v="TXN001364"/>
        <s v="TXN001365"/>
        <s v="TXN001366"/>
        <s v="TXN001367"/>
        <s v="TXN001368"/>
        <s v="TXN001369"/>
        <s v="TXN001370"/>
        <s v="TXN001371"/>
        <s v="TXN001372"/>
        <s v="TXN001373"/>
        <s v="TXN001374"/>
        <s v="TXN001375"/>
        <s v="TXN001376"/>
        <s v="TXN001377"/>
        <s v="TXN001378"/>
        <s v="TXN001379"/>
        <s v="TXN001380"/>
        <s v="TXN001381"/>
        <s v="TXN001382"/>
        <s v="TXN001383"/>
        <s v="TXN001384"/>
        <s v="TXN001385"/>
        <s v="TXN001386"/>
        <s v="TXN001387"/>
        <s v="TXN001388"/>
        <s v="TXN001389"/>
        <s v="TXN001390"/>
        <s v="TXN001391"/>
        <s v="TXN001392"/>
        <s v="TXN001393"/>
        <s v="TXN001394"/>
        <s v="TXN001395"/>
        <s v="TXN001396"/>
        <s v="TXN001397"/>
        <s v="TXN001398"/>
        <s v="TXN001399"/>
        <s v="TXN001400"/>
        <s v="TXN001401"/>
        <s v="TXN001402"/>
        <s v="TXN001403"/>
        <s v="TXN001404"/>
        <s v="TXN001405"/>
        <s v="TXN001406"/>
        <s v="TXN001407"/>
        <s v="TXN001408"/>
        <s v="TXN001409"/>
        <s v="TXN001410"/>
        <s v="TXN001411"/>
        <s v="TXN001412"/>
        <s v="TXN001413"/>
        <s v="TXN001414"/>
        <s v="TXN001415"/>
        <s v="TXN001416"/>
        <s v="TXN001417"/>
        <s v="TXN001418"/>
        <s v="TXN001419"/>
        <s v="TXN001420"/>
        <s v="TXN001421"/>
        <s v="TXN001422"/>
        <s v="TXN001423"/>
        <s v="TXN001424"/>
        <s v="TXN001425"/>
        <s v="TXN001426"/>
        <s v="TXN001427"/>
        <s v="TXN001428"/>
        <s v="TXN001429"/>
        <s v="TXN001430"/>
        <s v="TXN001431"/>
        <s v="TXN001432"/>
        <s v="TXN001433"/>
        <s v="TXN001434"/>
        <s v="TXN001435"/>
        <s v="TXN001436"/>
        <s v="TXN001437"/>
        <s v="TXN001438"/>
        <s v="TXN001439"/>
        <s v="TXN001440"/>
        <s v="TXN001441"/>
        <s v="TXN001442"/>
        <s v="TXN001443"/>
        <s v="TXN001444"/>
        <s v="TXN001445"/>
        <s v="TXN001446"/>
        <s v="TXN001447"/>
        <s v="TXN001448"/>
        <s v="TXN001449"/>
        <s v="TXN001450"/>
        <s v="TXN001451"/>
        <s v="TXN001452"/>
        <s v="TXN001453"/>
        <s v="TXN001454"/>
        <s v="TXN001455"/>
        <s v="TXN001456"/>
        <s v="TXN001457"/>
        <s v="TXN001458"/>
        <s v="TXN001459"/>
        <s v="TXN001460"/>
        <s v="TXN001461"/>
        <s v="TXN001462"/>
        <s v="TXN001463"/>
        <s v="TXN001464"/>
        <s v="TXN001465"/>
        <s v="TXN001466"/>
        <s v="TXN001467"/>
        <s v="TXN001468"/>
        <s v="TXN001469"/>
        <s v="TXN001470"/>
        <s v="TXN001471"/>
        <s v="TXN001472"/>
        <s v="TXN001473"/>
        <s v="TXN001474"/>
        <s v="TXN001475"/>
        <s v="TXN001476"/>
        <s v="TXN001477"/>
        <s v="TXN001478"/>
        <s v="TXN001479"/>
        <s v="TXN001480"/>
        <s v="TXN001481"/>
        <s v="TXN001482"/>
        <s v="TXN001483"/>
        <s v="TXN001484"/>
        <s v="TXN001485"/>
        <s v="TXN001486"/>
        <s v="TXN001487"/>
        <s v="TXN001488"/>
        <s v="TXN001489"/>
        <s v="TXN001490"/>
        <s v="TXN001491"/>
        <s v="TXN001492"/>
        <s v="TXN001493"/>
        <s v="TXN001494"/>
        <s v="TXN001495"/>
        <s v="TXN001496"/>
        <s v="TXN001497"/>
        <s v="TXN001498"/>
        <s v="TXN001499"/>
        <s v="TXN001500"/>
        <s v="TXN001501"/>
        <s v="TXN001502"/>
        <s v="TXN001503"/>
        <s v="TXN001504"/>
        <s v="TXN001505"/>
        <s v="TXN001506"/>
        <s v="TXN001507"/>
        <s v="TXN001508"/>
        <s v="TXN001509"/>
        <s v="TXN001510"/>
        <s v="TXN001511"/>
        <s v="TXN001512"/>
        <s v="TXN001513"/>
        <s v="TXN001514"/>
        <s v="TXN001515"/>
        <s v="TXN001516"/>
        <s v="TXN001517"/>
        <s v="TXN001518"/>
        <s v="TXN001519"/>
        <s v="TXN001520"/>
        <s v="TXN001521"/>
        <s v="TXN001522"/>
        <s v="TXN001523"/>
        <s v="TXN001524"/>
        <s v="TXN001525"/>
        <s v="TXN001526"/>
        <s v="TXN001527"/>
        <s v="TXN001528"/>
        <s v="TXN001529"/>
        <s v="TXN001530"/>
        <s v="TXN001531"/>
        <s v="TXN001532"/>
        <s v="TXN001533"/>
        <s v="TXN001534"/>
        <s v="TXN001535"/>
        <s v="TXN001536"/>
        <s v="TXN001537"/>
        <s v="TXN001538"/>
        <s v="TXN001539"/>
        <s v="TXN001540"/>
        <s v="TXN001541"/>
        <s v="TXN001542"/>
        <s v="TXN001543"/>
        <s v="TXN001544"/>
        <s v="TXN001545"/>
        <s v="TXN001546"/>
        <s v="TXN001547"/>
        <s v="TXN001548"/>
        <s v="TXN001549"/>
        <s v="TXN001550"/>
        <s v="TXN001551"/>
        <s v="TXN001552"/>
        <s v="TXN001553"/>
        <s v="TXN001554"/>
        <s v="TXN001555"/>
        <s v="TXN001556"/>
        <s v="TXN001557"/>
        <s v="TXN001558"/>
        <s v="TXN001559"/>
        <s v="TXN001560"/>
        <s v="TXN001561"/>
        <s v="TXN001562"/>
        <s v="TXN001563"/>
        <s v="TXN001564"/>
        <s v="TXN001565"/>
        <s v="TXN001566"/>
        <s v="TXN001567"/>
        <s v="TXN001568"/>
        <s v="TXN001569"/>
        <s v="TXN001570"/>
        <s v="TXN001571"/>
        <s v="TXN001572"/>
        <s v="TXN001573"/>
        <s v="TXN001574"/>
        <s v="TXN001575"/>
        <s v="TXN001576"/>
        <s v="TXN001577"/>
        <s v="TXN001578"/>
        <s v="TXN001579"/>
        <s v="TXN001580"/>
        <s v="TXN001581"/>
        <s v="TXN001582"/>
        <s v="TXN001583"/>
        <s v="TXN001584"/>
        <s v="TXN001585"/>
        <s v="TXN001586"/>
        <s v="TXN001587"/>
        <s v="TXN001588"/>
        <s v="TXN001589"/>
        <s v="TXN001590"/>
        <s v="TXN001591"/>
        <s v="TXN001592"/>
        <s v="TXN001593"/>
        <s v="TXN001594"/>
        <s v="TXN001595"/>
        <s v="TXN001596"/>
        <s v="TXN001597"/>
        <s v="TXN001598"/>
        <s v="TXN001599"/>
        <s v="TXN001600"/>
        <s v="TXN001601"/>
        <s v="TXN001602"/>
        <s v="TXN001603"/>
        <s v="TXN001604"/>
        <s v="TXN001605"/>
        <s v="TXN001606"/>
        <s v="TXN001607"/>
        <s v="TXN001608"/>
        <s v="TXN001609"/>
        <s v="TXN001610"/>
        <s v="TXN001611"/>
        <s v="TXN001612"/>
        <s v="TXN001613"/>
        <s v="TXN001614"/>
        <s v="TXN001615"/>
        <s v="TXN001616"/>
        <s v="TXN001617"/>
        <s v="TXN001618"/>
        <s v="TXN001619"/>
        <s v="TXN001620"/>
        <s v="TXN001621"/>
        <s v="TXN001622"/>
        <s v="TXN001623"/>
        <s v="TXN001624"/>
        <s v="TXN001625"/>
        <s v="TXN001626"/>
        <s v="TXN001627"/>
        <s v="TXN001628"/>
        <s v="TXN001629"/>
        <s v="TXN001630"/>
        <s v="TXN001631"/>
        <s v="TXN001632"/>
        <s v="TXN001633"/>
        <s v="TXN001634"/>
        <s v="TXN001635"/>
        <s v="TXN001636"/>
        <s v="TXN001637"/>
        <s v="TXN001638"/>
        <s v="TXN001639"/>
        <s v="TXN001640"/>
        <s v="TXN001641"/>
        <s v="TXN001642"/>
        <s v="TXN001643"/>
        <s v="TXN001644"/>
        <s v="TXN001645"/>
        <s v="TXN001646"/>
        <s v="TXN001647"/>
        <s v="TXN001648"/>
        <s v="TXN001649"/>
        <s v="TXN001650"/>
        <s v="TXN001651"/>
        <s v="TXN001652"/>
        <s v="TXN001653"/>
        <s v="TXN001654"/>
        <s v="TXN001655"/>
        <s v="TXN001656"/>
        <s v="TXN001657"/>
        <s v="TXN001658"/>
        <s v="TXN001659"/>
        <s v="TXN001660"/>
        <s v="TXN001661"/>
        <s v="TXN001662"/>
        <s v="TXN001663"/>
        <s v="TXN001664"/>
        <s v="TXN001665"/>
        <s v="TXN001666"/>
        <s v="TXN001667"/>
        <s v="TXN001668"/>
        <s v="TXN001669"/>
        <s v="TXN001670"/>
        <s v="TXN001671"/>
        <s v="TXN001672"/>
        <s v="TXN001673"/>
        <s v="TXN001674"/>
        <s v="TXN001675"/>
        <s v="TXN001676"/>
        <s v="TXN001677"/>
        <s v="TXN001678"/>
        <s v="TXN001679"/>
        <s v="TXN001680"/>
        <s v="TXN001681"/>
        <s v="TXN001682"/>
        <s v="TXN001683"/>
        <s v="TXN001684"/>
        <s v="TXN001685"/>
        <s v="TXN001686"/>
        <s v="TXN001687"/>
        <s v="TXN001688"/>
        <s v="TXN001689"/>
        <s v="TXN001690"/>
        <s v="TXN001691"/>
        <s v="TXN001692"/>
        <s v="TXN001693"/>
        <s v="TXN001694"/>
        <s v="TXN001695"/>
        <s v="TXN001696"/>
        <s v="TXN001697"/>
        <s v="TXN001698"/>
        <s v="TXN001699"/>
        <s v="TXN001700"/>
        <s v="TXN001701"/>
        <s v="TXN001702"/>
        <s v="TXN001703"/>
        <s v="TXN001704"/>
        <s v="TXN001705"/>
        <s v="TXN001706"/>
        <s v="TXN001707"/>
        <s v="TXN001708"/>
        <s v="TXN001709"/>
        <s v="TXN001710"/>
        <s v="TXN001711"/>
        <s v="TXN001712"/>
        <s v="TXN001713"/>
        <s v="TXN001714"/>
        <s v="TXN001715"/>
        <s v="TXN001716"/>
        <s v="TXN001717"/>
        <s v="TXN001718"/>
        <s v="TXN001719"/>
        <s v="TXN001720"/>
        <s v="TXN001721"/>
        <s v="TXN001722"/>
        <s v="TXN001723"/>
        <s v="TXN001724"/>
        <s v="TXN001725"/>
        <s v="TXN001726"/>
        <s v="TXN001727"/>
        <s v="TXN001728"/>
        <s v="TXN001729"/>
        <s v="TXN001730"/>
        <s v="TXN001731"/>
        <s v="TXN001732"/>
        <s v="TXN001733"/>
        <s v="TXN001734"/>
        <s v="TXN001735"/>
        <s v="TXN001736"/>
        <s v="TXN001737"/>
        <s v="TXN001738"/>
        <s v="TXN001739"/>
        <s v="TXN001740"/>
        <s v="TXN001741"/>
        <s v="TXN001742"/>
        <s v="TXN001743"/>
        <s v="TXN001744"/>
        <s v="TXN001745"/>
        <s v="TXN001746"/>
        <s v="TXN001747"/>
        <s v="TXN001748"/>
        <s v="TXN001749"/>
        <s v="TXN001750"/>
        <s v="TXN001751"/>
        <s v="TXN001752"/>
        <s v="TXN001753"/>
        <s v="TXN001754"/>
        <s v="TXN001755"/>
        <s v="TXN001756"/>
        <s v="TXN001757"/>
        <s v="TXN001758"/>
        <s v="TXN001759"/>
        <s v="TXN001760"/>
        <s v="TXN001761"/>
        <s v="TXN001762"/>
        <s v="TXN001763"/>
        <s v="TXN001764"/>
        <s v="TXN001765"/>
        <s v="TXN001766"/>
        <s v="TXN001767"/>
        <s v="TXN001768"/>
        <s v="TXN001769"/>
        <s v="TXN001770"/>
        <s v="TXN001771"/>
        <s v="TXN001772"/>
        <s v="TXN001773"/>
        <s v="TXN001774"/>
        <s v="TXN001775"/>
        <s v="TXN001776"/>
        <s v="TXN001777"/>
        <s v="TXN001778"/>
        <s v="TXN001779"/>
        <s v="TXN001780"/>
        <s v="TXN001781"/>
        <s v="TXN001782"/>
        <s v="TXN001783"/>
        <s v="TXN001784"/>
        <s v="TXN001785"/>
        <s v="TXN001786"/>
        <s v="TXN001787"/>
        <s v="TXN001788"/>
        <s v="TXN001789"/>
        <s v="TXN001790"/>
        <s v="TXN001791"/>
        <s v="TXN001792"/>
        <s v="TXN001793"/>
        <s v="TXN001794"/>
        <s v="TXN001795"/>
        <s v="TXN001796"/>
        <s v="TXN001797"/>
        <s v="TXN001798"/>
        <s v="TXN001799"/>
        <s v="TXN001800"/>
        <s v="TXN001801"/>
        <s v="TXN001802"/>
        <s v="TXN001803"/>
        <s v="TXN001804"/>
        <s v="TXN001805"/>
        <s v="TXN001806"/>
        <s v="TXN001807"/>
        <s v="TXN001808"/>
        <s v="TXN001809"/>
        <s v="TXN001810"/>
        <s v="TXN001811"/>
        <s v="TXN001812"/>
        <s v="TXN001813"/>
        <s v="TXN001814"/>
        <s v="TXN001815"/>
        <s v="TXN001816"/>
        <s v="TXN001817"/>
        <s v="TXN001818"/>
        <s v="TXN001819"/>
        <s v="TXN001820"/>
        <s v="TXN001821"/>
        <s v="TXN001822"/>
        <s v="TXN001823"/>
        <s v="TXN001824"/>
        <s v="TXN001825"/>
        <s v="TXN001826"/>
        <s v="TXN001827"/>
        <s v="TXN001828"/>
        <s v="TXN001829"/>
        <s v="TXN001830"/>
        <s v="TXN001831"/>
        <s v="TXN001832"/>
        <s v="TXN001833"/>
        <s v="TXN001834"/>
        <s v="TXN001835"/>
        <s v="TXN001836"/>
        <s v="TXN001837"/>
        <s v="TXN001838"/>
        <s v="TXN001839"/>
        <s v="TXN001840"/>
        <s v="TXN001841"/>
        <s v="TXN001842"/>
        <s v="TXN001843"/>
        <s v="TXN001844"/>
        <s v="TXN001845"/>
        <s v="TXN001846"/>
        <s v="TXN001847"/>
        <s v="TXN001848"/>
        <s v="TXN001849"/>
        <s v="TXN001850"/>
        <s v="TXN001851"/>
        <s v="TXN001852"/>
        <s v="TXN001853"/>
        <s v="TXN001854"/>
        <s v="TXN001855"/>
        <s v="TXN001856"/>
        <s v="TXN001857"/>
        <s v="TXN001858"/>
        <s v="TXN001859"/>
        <s v="TXN001860"/>
        <s v="TXN001861"/>
        <s v="TXN001862"/>
        <s v="TXN001863"/>
        <s v="TXN001864"/>
        <s v="TXN001865"/>
        <s v="TXN001866"/>
        <s v="TXN001867"/>
        <s v="TXN001868"/>
        <s v="TXN001869"/>
        <s v="TXN001870"/>
        <s v="TXN001871"/>
        <s v="TXN001872"/>
        <s v="TXN001873"/>
        <s v="TXN001874"/>
        <s v="TXN001875"/>
        <s v="TXN001876"/>
        <s v="TXN001877"/>
        <s v="TXN001878"/>
        <s v="TXN001879"/>
        <s v="TXN001880"/>
        <s v="TXN001881"/>
        <s v="TXN001882"/>
        <s v="TXN001883"/>
        <s v="TXN001884"/>
        <s v="TXN001885"/>
        <s v="TXN001886"/>
        <s v="TXN001887"/>
        <s v="TXN001888"/>
        <s v="TXN001889"/>
        <s v="TXN001890"/>
        <s v="TXN001891"/>
        <s v="TXN001892"/>
        <s v="TXN001893"/>
        <s v="TXN001894"/>
        <s v="TXN001895"/>
        <s v="TXN001896"/>
        <s v="TXN001897"/>
        <s v="TXN001898"/>
        <s v="TXN001899"/>
        <s v="TXN001900"/>
        <s v="TXN001901"/>
        <s v="TXN001902"/>
        <s v="TXN001903"/>
        <s v="TXN001904"/>
        <s v="TXN001905"/>
        <s v="TXN001906"/>
        <s v="TXN001907"/>
        <s v="TXN001908"/>
        <s v="TXN001909"/>
        <s v="TXN001910"/>
        <s v="TXN001911"/>
        <s v="TXN001912"/>
        <s v="TXN001913"/>
        <s v="TXN001914"/>
        <s v="TXN001915"/>
        <s v="TXN001916"/>
        <s v="TXN001917"/>
        <s v="TXN001918"/>
        <s v="TXN001919"/>
        <s v="TXN001920"/>
        <s v="TXN001921"/>
        <s v="TXN001922"/>
        <s v="TXN001923"/>
        <s v="TXN001924"/>
        <s v="TXN001925"/>
        <s v="TXN001926"/>
        <s v="TXN001927"/>
        <s v="TXN001928"/>
        <s v="TXN001929"/>
        <s v="TXN001930"/>
        <s v="TXN001931"/>
        <s v="TXN001932"/>
        <s v="TXN001933"/>
        <s v="TXN001934"/>
        <s v="TXN001935"/>
        <s v="TXN001936"/>
        <s v="TXN001937"/>
        <s v="TXN001938"/>
        <s v="TXN001939"/>
        <s v="TXN001940"/>
        <s v="TXN001941"/>
        <s v="TXN001942"/>
        <s v="TXN001943"/>
        <s v="TXN001944"/>
        <s v="TXN001945"/>
        <s v="TXN001946"/>
        <s v="TXN001947"/>
        <s v="TXN001948"/>
        <s v="TXN001949"/>
        <s v="TXN001950"/>
        <s v="TXN001951"/>
        <s v="TXN001952"/>
        <s v="TXN001953"/>
        <s v="TXN001954"/>
        <s v="TXN001955"/>
        <s v="TXN001956"/>
        <s v="TXN001957"/>
        <s v="TXN001958"/>
        <s v="TXN001959"/>
        <s v="TXN001960"/>
        <s v="TXN001961"/>
        <s v="TXN001962"/>
        <s v="TXN001963"/>
        <s v="TXN001964"/>
        <s v="TXN001965"/>
        <s v="TXN001966"/>
        <s v="TXN001967"/>
        <s v="TXN001968"/>
        <s v="TXN001969"/>
        <s v="TXN001970"/>
        <s v="TXN001971"/>
        <s v="TXN001972"/>
        <s v="TXN001973"/>
        <s v="TXN001974"/>
        <s v="TXN001975"/>
        <s v="TXN001976"/>
        <s v="TXN001977"/>
        <s v="TXN001978"/>
        <s v="TXN001979"/>
        <s v="TXN001980"/>
        <s v="TXN001981"/>
        <s v="TXN001982"/>
        <s v="TXN001983"/>
        <s v="TXN001984"/>
        <s v="TXN001985"/>
        <s v="TXN001986"/>
        <s v="TXN001987"/>
        <s v="TXN001988"/>
        <s v="TXN001989"/>
        <s v="TXN001990"/>
        <s v="TXN001991"/>
        <s v="TXN001992"/>
        <s v="TXN001993"/>
        <s v="TXN001994"/>
        <s v="TXN001995"/>
        <s v="TXN001996"/>
        <s v="TXN001997"/>
        <s v="TXN001998"/>
        <s v="TXN001999"/>
        <s v="TXN002000"/>
      </sharedItems>
    </cacheField>
    <cacheField name="Order Date" numFmtId="164">
      <sharedItems containsSemiMixedTypes="0" containsNonDate="0" containsDate="1" containsString="0" minDate="2022-01-01T00:00:00" maxDate="2024-01-01T00:00:00" count="675">
        <d v="2022-06-25T00:00:00"/>
        <d v="2022-07-16T00:00:00"/>
        <d v="2023-06-22T00:00:00"/>
        <d v="2023-05-18T00:00:00"/>
        <d v="2023-08-03T00:00:00"/>
        <d v="2022-07-31T00:00:00"/>
        <d v="2023-09-08T00:00:00"/>
        <d v="2022-12-15T00:00:00"/>
        <d v="2022-07-05T00:00:00"/>
        <d v="2023-02-03T00:00:00"/>
        <d v="2023-06-20T00:00:00"/>
        <d v="2023-08-08T00:00:00"/>
        <d v="2022-12-12T00:00:00"/>
        <d v="2023-01-02T00:00:00"/>
        <d v="2023-07-09T00:00:00"/>
        <d v="2022-06-17T00:00:00"/>
        <d v="2022-03-10T00:00:00"/>
        <d v="2023-03-09T00:00:00"/>
        <d v="2023-01-27T00:00:00"/>
        <d v="2023-05-28T00:00:00"/>
        <d v="2022-03-17T00:00:00"/>
        <d v="2022-09-08T00:00:00"/>
        <d v="2022-01-07T00:00:00"/>
        <d v="2023-03-21T00:00:00"/>
        <d v="2022-02-14T00:00:00"/>
        <d v="2023-12-05T00:00:00"/>
        <d v="2022-11-22T00:00:00"/>
        <d v="2022-06-02T00:00:00"/>
        <d v="2022-07-03T00:00:00"/>
        <d v="2022-04-23T00:00:00"/>
        <d v="2022-07-09T00:00:00"/>
        <d v="2022-10-18T00:00:00"/>
        <d v="2022-11-09T00:00:00"/>
        <d v="2022-07-21T00:00:00"/>
        <d v="2023-04-08T00:00:00"/>
        <d v="2023-07-05T00:00:00"/>
        <d v="2023-05-10T00:00:00"/>
        <d v="2022-05-18T00:00:00"/>
        <d v="2023-04-29T00:00:00"/>
        <d v="2022-07-15T00:00:00"/>
        <d v="2022-03-14T00:00:00"/>
        <d v="2022-09-15T00:00:00"/>
        <d v="2023-12-06T00:00:00"/>
        <d v="2023-02-05T00:00:00"/>
        <d v="2023-01-10T00:00:00"/>
        <d v="2022-12-16T00:00:00"/>
        <d v="2023-08-28T00:00:00"/>
        <d v="2023-08-07T00:00:00"/>
        <d v="2022-10-07T00:00:00"/>
        <d v="2023-06-07T00:00:00"/>
        <d v="2023-03-25T00:00:00"/>
        <d v="2022-11-14T00:00:00"/>
        <d v="2022-06-01T00:00:00"/>
        <d v="2022-04-03T00:00:00"/>
        <d v="2022-08-13T00:00:00"/>
        <d v="2023-10-24T00:00:00"/>
        <d v="2022-12-23T00:00:00"/>
        <d v="2023-04-27T00:00:00"/>
        <d v="2022-08-08T00:00:00"/>
        <d v="2022-01-20T00:00:00"/>
        <d v="2023-06-01T00:00:00"/>
        <d v="2022-02-03T00:00:00"/>
        <d v="2022-05-04T00:00:00"/>
        <d v="2022-10-14T00:00:00"/>
        <d v="2023-11-29T00:00:00"/>
        <d v="2023-02-20T00:00:00"/>
        <d v="2022-05-11T00:00:00"/>
        <d v="2022-03-25T00:00:00"/>
        <d v="2023-02-07T00:00:00"/>
        <d v="2022-01-22T00:00:00"/>
        <d v="2023-09-24T00:00:00"/>
        <d v="2022-07-23T00:00:00"/>
        <d v="2022-02-17T00:00:00"/>
        <d v="2023-06-09T00:00:00"/>
        <d v="2022-04-18T00:00:00"/>
        <d v="2023-01-29T00:00:00"/>
        <d v="2023-09-15T00:00:00"/>
        <d v="2023-10-17T00:00:00"/>
        <d v="2023-09-29T00:00:00"/>
        <d v="2022-10-04T00:00:00"/>
        <d v="2022-11-06T00:00:00"/>
        <d v="2022-02-05T00:00:00"/>
        <d v="2022-09-18T00:00:00"/>
        <d v="2023-04-02T00:00:00"/>
        <d v="2023-04-20T00:00:00"/>
        <d v="2023-07-21T00:00:00"/>
        <d v="2023-07-10T00:00:00"/>
        <d v="2022-08-04T00:00:00"/>
        <d v="2023-03-11T00:00:00"/>
        <d v="2022-02-09T00:00:00"/>
        <d v="2022-05-12T00:00:00"/>
        <d v="2023-02-18T00:00:00"/>
        <d v="2023-04-06T00:00:00"/>
        <d v="2023-10-11T00:00:00"/>
        <d v="2023-11-10T00:00:00"/>
        <d v="2023-01-09T00:00:00"/>
        <d v="2023-12-12T00:00:00"/>
        <d v="2023-10-10T00:00:00"/>
        <d v="2023-12-23T00:00:00"/>
        <d v="2023-05-11T00:00:00"/>
        <d v="2022-07-17T00:00:00"/>
        <d v="2022-04-11T00:00:00"/>
        <d v="2022-06-30T00:00:00"/>
        <d v="2022-06-19T00:00:00"/>
        <d v="2022-01-30T00:00:00"/>
        <d v="2022-10-10T00:00:00"/>
        <d v="2022-07-10T00:00:00"/>
        <d v="2023-12-28T00:00:00"/>
        <d v="2022-01-13T00:00:00"/>
        <d v="2023-10-09T00:00:00"/>
        <d v="2023-05-04T00:00:00"/>
        <d v="2023-03-20T00:00:00"/>
        <d v="2022-04-17T00:00:00"/>
        <d v="2023-05-13T00:00:00"/>
        <d v="2023-05-02T00:00:00"/>
        <d v="2022-08-23T00:00:00"/>
        <d v="2023-06-14T00:00:00"/>
        <d v="2022-01-06T00:00:00"/>
        <d v="2022-02-19T00:00:00"/>
        <d v="2023-03-15T00:00:00"/>
        <d v="2022-11-29T00:00:00"/>
        <d v="2023-09-10T00:00:00"/>
        <d v="2022-07-02T00:00:00"/>
        <d v="2023-11-19T00:00:00"/>
        <d v="2023-02-26T00:00:00"/>
        <d v="2023-08-23T00:00:00"/>
        <d v="2023-04-21T00:00:00"/>
        <d v="2023-08-12T00:00:00"/>
        <d v="2022-08-22T00:00:00"/>
        <d v="2022-11-28T00:00:00"/>
        <d v="2022-08-14T00:00:00"/>
        <d v="2023-04-15T00:00:00"/>
        <d v="2022-03-27T00:00:00"/>
        <d v="2023-11-02T00:00:00"/>
        <d v="2023-04-22T00:00:00"/>
        <d v="2022-09-05T00:00:00"/>
        <d v="2023-09-26T00:00:00"/>
        <d v="2022-03-18T00:00:00"/>
        <d v="2023-12-13T00:00:00"/>
        <d v="2023-11-30T00:00:00"/>
        <d v="2022-08-19T00:00:00"/>
        <d v="2022-11-12T00:00:00"/>
        <d v="2023-07-30T00:00:00"/>
        <d v="2023-08-13T00:00:00"/>
        <d v="2022-10-16T00:00:00"/>
        <d v="2023-09-22T00:00:00"/>
        <d v="2023-12-29T00:00:00"/>
        <d v="2022-06-11T00:00:00"/>
        <d v="2022-02-15T00:00:00"/>
        <d v="2023-09-21T00:00:00"/>
        <d v="2022-02-12T00:00:00"/>
        <d v="2022-04-06T00:00:00"/>
        <d v="2022-09-23T00:00:00"/>
        <d v="2022-09-27T00:00:00"/>
        <d v="2022-12-08T00:00:00"/>
        <d v="2022-01-02T00:00:00"/>
        <d v="2022-10-15T00:00:00"/>
        <d v="2022-07-28T00:00:00"/>
        <d v="2023-07-15T00:00:00"/>
        <d v="2023-10-28T00:00:00"/>
        <d v="2022-09-13T00:00:00"/>
        <d v="2022-12-05T00:00:00"/>
        <d v="2023-07-31T00:00:00"/>
        <d v="2023-04-07T00:00:00"/>
        <d v="2022-09-24T00:00:00"/>
        <d v="2023-03-13T00:00:00"/>
        <d v="2023-05-22T00:00:00"/>
        <d v="2023-06-24T00:00:00"/>
        <d v="2022-06-06T00:00:00"/>
        <d v="2022-01-09T00:00:00"/>
        <d v="2023-09-05T00:00:00"/>
        <d v="2023-03-05T00:00:00"/>
        <d v="2022-10-26T00:00:00"/>
        <d v="2023-06-04T00:00:00"/>
        <d v="2022-05-24T00:00:00"/>
        <d v="2023-10-03T00:00:00"/>
        <d v="2022-07-30T00:00:00"/>
        <d v="2022-08-20T00:00:00"/>
        <d v="2023-11-20T00:00:00"/>
        <d v="2023-06-06T00:00:00"/>
        <d v="2023-03-17T00:00:00"/>
        <d v="2022-06-26T00:00:00"/>
        <d v="2023-10-02T00:00:00"/>
        <d v="2023-03-04T00:00:00"/>
        <d v="2023-06-02T00:00:00"/>
        <d v="2022-05-25T00:00:00"/>
        <d v="2022-01-12T00:00:00"/>
        <d v="2022-06-10T00:00:00"/>
        <d v="2023-07-03T00:00:00"/>
        <d v="2022-03-11T00:00:00"/>
        <d v="2022-12-30T00:00:00"/>
        <d v="2023-08-29T00:00:00"/>
        <d v="2023-05-06T00:00:00"/>
        <d v="2023-11-22T00:00:00"/>
        <d v="2023-07-14T00:00:00"/>
        <d v="2023-10-01T00:00:00"/>
        <d v="2022-04-16T00:00:00"/>
        <d v="2022-03-19T00:00:00"/>
        <d v="2023-06-21T00:00:00"/>
        <d v="2022-03-09T00:00:00"/>
        <d v="2023-07-16T00:00:00"/>
        <d v="2023-02-21T00:00:00"/>
        <d v="2023-08-31T00:00:00"/>
        <d v="2023-09-30T00:00:00"/>
        <d v="2023-07-28T00:00:00"/>
        <d v="2022-03-20T00:00:00"/>
        <d v="2023-01-05T00:00:00"/>
        <d v="2023-09-27T00:00:00"/>
        <d v="2023-02-15T00:00:00"/>
        <d v="2023-01-16T00:00:00"/>
        <d v="2023-06-05T00:00:00"/>
        <d v="2023-11-24T00:00:00"/>
        <d v="2023-08-30T00:00:00"/>
        <d v="2023-12-21T00:00:00"/>
        <d v="2023-02-11T00:00:00"/>
        <d v="2022-07-04T00:00:00"/>
        <d v="2022-07-01T00:00:00"/>
        <d v="2023-07-01T00:00:00"/>
        <d v="2022-11-08T00:00:00"/>
        <d v="2023-03-10T00:00:00"/>
        <d v="2022-10-02T00:00:00"/>
        <d v="2022-05-02T00:00:00"/>
        <d v="2022-01-19T00:00:00"/>
        <d v="2023-10-08T00:00:00"/>
        <d v="2023-04-25T00:00:00"/>
        <d v="2022-06-07T00:00:00"/>
        <d v="2022-09-04T00:00:00"/>
        <d v="2022-08-27T00:00:00"/>
        <d v="2022-04-13T00:00:00"/>
        <d v="2023-12-19T00:00:00"/>
        <d v="2023-03-27T00:00:00"/>
        <d v="2022-03-30T00:00:00"/>
        <d v="2022-04-02T00:00:00"/>
        <d v="2023-03-16T00:00:00"/>
        <d v="2022-01-17T00:00:00"/>
        <d v="2022-04-15T00:00:00"/>
        <d v="2022-03-15T00:00:00"/>
        <d v="2023-11-27T00:00:00"/>
        <d v="2022-10-23T00:00:00"/>
        <d v="2022-07-26T00:00:00"/>
        <d v="2023-01-22T00:00:00"/>
        <d v="2023-07-04T00:00:00"/>
        <d v="2022-12-09T00:00:00"/>
        <d v="2022-08-30T00:00:00"/>
        <d v="2023-11-07T00:00:00"/>
        <d v="2023-06-12T00:00:00"/>
        <d v="2023-11-04T00:00:00"/>
        <d v="2022-07-18T00:00:00"/>
        <d v="2023-04-14T00:00:00"/>
        <d v="2022-08-01T00:00:00"/>
        <d v="2023-06-30T00:00:00"/>
        <d v="2023-06-18T00:00:00"/>
        <d v="2022-09-25T00:00:00"/>
        <d v="2022-10-31T00:00:00"/>
        <d v="2022-05-20T00:00:00"/>
        <d v="2022-02-06T00:00:00"/>
        <d v="2023-11-15T00:00:00"/>
        <d v="2023-02-10T00:00:00"/>
        <d v="2022-05-07T00:00:00"/>
        <d v="2022-10-03T00:00:00"/>
        <d v="2022-10-29T00:00:00"/>
        <d v="2022-08-16T00:00:00"/>
        <d v="2023-08-17T00:00:00"/>
        <d v="2022-04-14T00:00:00"/>
        <d v="2022-09-26T00:00:00"/>
        <d v="2023-11-21T00:00:00"/>
        <d v="2022-08-15T00:00:00"/>
        <d v="2022-05-05T00:00:00"/>
        <d v="2023-09-01T00:00:00"/>
        <d v="2022-12-04T00:00:00"/>
        <d v="2023-12-17T00:00:00"/>
        <d v="2022-05-10T00:00:00"/>
        <d v="2023-05-12T00:00:00"/>
        <d v="2023-12-25T00:00:00"/>
        <d v="2022-06-28T00:00:00"/>
        <d v="2022-07-14T00:00:00"/>
        <d v="2022-04-22T00:00:00"/>
        <d v="2022-05-17T00:00:00"/>
        <d v="2023-07-29T00:00:00"/>
        <d v="2022-03-26T00:00:00"/>
        <d v="2022-11-10T00:00:00"/>
        <d v="2023-01-19T00:00:00"/>
        <d v="2023-04-04T00:00:00"/>
        <d v="2022-09-12T00:00:00"/>
        <d v="2023-12-09T00:00:00"/>
        <d v="2022-01-29T00:00:00"/>
        <d v="2023-11-25T00:00:00"/>
        <d v="2022-03-21T00:00:00"/>
        <d v="2023-03-06T00:00:00"/>
        <d v="2023-09-07T00:00:00"/>
        <d v="2022-11-26T00:00:00"/>
        <d v="2022-02-11T00:00:00"/>
        <d v="2022-10-20T00:00:00"/>
        <d v="2023-03-01T00:00:00"/>
        <d v="2022-12-21T00:00:00"/>
        <d v="2023-11-08T00:00:00"/>
        <d v="2023-12-11T00:00:00"/>
        <d v="2022-03-01T00:00:00"/>
        <d v="2022-12-02T00:00:00"/>
        <d v="2022-06-15T00:00:00"/>
        <d v="2023-01-06T00:00:00"/>
        <d v="2022-03-28T00:00:00"/>
        <d v="2023-11-18T00:00:00"/>
        <d v="2022-01-15T00:00:00"/>
        <d v="2023-10-22T00:00:00"/>
        <d v="2022-12-31T00:00:00"/>
        <d v="2022-10-21T00:00:00"/>
        <d v="2022-12-10T00:00:00"/>
        <d v="2023-08-05T00:00:00"/>
        <d v="2023-12-30T00:00:00"/>
        <d v="2023-06-23T00:00:00"/>
        <d v="2023-05-17T00:00:00"/>
        <d v="2023-08-16T00:00:00"/>
        <d v="2023-09-09T00:00:00"/>
        <d v="2022-05-16T00:00:00"/>
        <d v="2023-09-17T00:00:00"/>
        <d v="2022-09-16T00:00:00"/>
        <d v="2023-09-18T00:00:00"/>
        <d v="2023-06-17T00:00:00"/>
        <d v="2023-04-23T00:00:00"/>
        <d v="2023-06-28T00:00:00"/>
        <d v="2023-01-04T00:00:00"/>
        <d v="2022-05-31T00:00:00"/>
        <d v="2022-04-25T00:00:00"/>
        <d v="2022-06-12T00:00:00"/>
        <d v="2023-02-09T00:00:00"/>
        <d v="2023-02-06T00:00:00"/>
        <d v="2023-01-30T00:00:00"/>
        <d v="2022-01-01T00:00:00"/>
        <d v="2022-04-30T00:00:00"/>
        <d v="2022-04-29T00:00:00"/>
        <d v="2023-03-02T00:00:00"/>
        <d v="2022-06-23T00:00:00"/>
        <d v="2022-08-03T00:00:00"/>
        <d v="2022-03-29T00:00:00"/>
        <d v="2022-09-01T00:00:00"/>
        <d v="2023-01-12T00:00:00"/>
        <d v="2022-04-04T00:00:00"/>
        <d v="2022-12-26T00:00:00"/>
        <d v="2022-11-07T00:00:00"/>
        <d v="2023-11-14T00:00:00"/>
        <d v="2023-01-28T00:00:00"/>
        <d v="2022-04-01T00:00:00"/>
        <d v="2022-05-26T00:00:00"/>
        <d v="2023-09-23T00:00:00"/>
        <d v="2022-02-26T00:00:00"/>
        <d v="2022-09-03T00:00:00"/>
        <d v="2022-06-24T00:00:00"/>
        <d v="2022-08-29T00:00:00"/>
        <d v="2023-11-16T00:00:00"/>
        <d v="2022-02-01T00:00:00"/>
        <d v="2022-11-01T00:00:00"/>
        <d v="2023-07-07T00:00:00"/>
        <d v="2022-07-07T00:00:00"/>
        <d v="2022-11-17T00:00:00"/>
        <d v="2022-01-08T00:00:00"/>
        <d v="2022-12-13T00:00:00"/>
        <d v="2022-05-14T00:00:00"/>
        <d v="2022-08-02T00:00:00"/>
        <d v="2023-08-25T00:00:00"/>
        <d v="2022-03-31T00:00:00"/>
        <d v="2023-01-14T00:00:00"/>
        <d v="2023-01-18T00:00:00"/>
        <d v="2023-08-04T00:00:00"/>
        <d v="2022-02-02T00:00:00"/>
        <d v="2023-04-16T00:00:00"/>
        <d v="2022-01-11T00:00:00"/>
        <d v="2022-11-30T00:00:00"/>
        <d v="2023-04-10T00:00:00"/>
        <d v="2022-03-24T00:00:00"/>
        <d v="2022-11-19T00:00:00"/>
        <d v="2022-06-04T00:00:00"/>
        <d v="2022-12-07T00:00:00"/>
        <d v="2023-05-21T00:00:00"/>
        <d v="2023-08-20T00:00:00"/>
        <d v="2022-07-20T00:00:00"/>
        <d v="2023-01-17T00:00:00"/>
        <d v="2022-10-19T00:00:00"/>
        <d v="2022-04-28T00:00:00"/>
        <d v="2023-12-03T00:00:00"/>
        <d v="2023-06-27T00:00:00"/>
        <d v="2023-03-18T00:00:00"/>
        <d v="2022-09-06T00:00:00"/>
        <d v="2023-08-24T00:00:00"/>
        <d v="2022-06-05T00:00:00"/>
        <d v="2023-05-01T00:00:00"/>
        <d v="2022-02-22T00:00:00"/>
        <d v="2023-04-11T00:00:00"/>
        <d v="2022-08-10T00:00:00"/>
        <d v="2023-09-06T00:00:00"/>
        <d v="2022-08-12T00:00:00"/>
        <d v="2023-07-25T00:00:00"/>
        <d v="2023-05-31T00:00:00"/>
        <d v="2023-03-30T00:00:00"/>
        <d v="2022-03-04T00:00:00"/>
        <d v="2022-05-01T00:00:00"/>
        <d v="2023-10-16T00:00:00"/>
        <d v="2022-04-27T00:00:00"/>
        <d v="2023-07-22T00:00:00"/>
        <d v="2023-04-26T00:00:00"/>
        <d v="2023-11-26T00:00:00"/>
        <d v="2022-08-24T00:00:00"/>
        <d v="2022-07-13T00:00:00"/>
        <d v="2022-12-19T00:00:00"/>
        <d v="2023-01-26T00:00:00"/>
        <d v="2023-01-23T00:00:00"/>
        <d v="2022-10-30T00:00:00"/>
        <d v="2022-02-25T00:00:00"/>
        <d v="2023-07-08T00:00:00"/>
        <d v="2023-05-15T00:00:00"/>
        <d v="2023-12-31T00:00:00"/>
        <d v="2022-08-25T00:00:00"/>
        <d v="2023-12-16T00:00:00"/>
        <d v="2022-12-20T00:00:00"/>
        <d v="2022-02-07T00:00:00"/>
        <d v="2023-12-24T00:00:00"/>
        <d v="2023-08-01T00:00:00"/>
        <d v="2023-01-07T00:00:00"/>
        <d v="2022-08-18T00:00:00"/>
        <d v="2022-01-03T00:00:00"/>
        <d v="2023-03-14T00:00:00"/>
        <d v="2022-11-20T00:00:00"/>
        <d v="2023-09-20T00:00:00"/>
        <d v="2023-08-06T00:00:00"/>
        <d v="2023-10-07T00:00:00"/>
        <d v="2022-07-11T00:00:00"/>
        <d v="2022-07-12T00:00:00"/>
        <d v="2023-12-27T00:00:00"/>
        <d v="2022-08-28T00:00:00"/>
        <d v="2022-08-07T00:00:00"/>
        <d v="2022-05-30T00:00:00"/>
        <d v="2023-10-30T00:00:00"/>
        <d v="2023-02-16T00:00:00"/>
        <d v="2023-11-17T00:00:00"/>
        <d v="2022-10-01T00:00:00"/>
        <d v="2023-10-26T00:00:00"/>
        <d v="2023-05-03T00:00:00"/>
        <d v="2023-12-08T00:00:00"/>
        <d v="2023-05-30T00:00:00"/>
        <d v="2022-09-09T00:00:00"/>
        <d v="2022-07-08T00:00:00"/>
        <d v="2023-09-19T00:00:00"/>
        <d v="2022-10-09T00:00:00"/>
        <d v="2023-12-26T00:00:00"/>
        <d v="2022-09-19T00:00:00"/>
        <d v="2023-02-24T00:00:00"/>
        <d v="2023-08-15T00:00:00"/>
        <d v="2022-10-24T00:00:00"/>
        <d v="2022-03-07T00:00:00"/>
        <d v="2023-05-07T00:00:00"/>
        <d v="2022-03-06T00:00:00"/>
        <d v="2023-09-25T00:00:00"/>
        <d v="2023-02-22T00:00:00"/>
        <d v="2022-03-08T00:00:00"/>
        <d v="2022-11-18T00:00:00"/>
        <d v="2023-04-28T00:00:00"/>
        <d v="2022-03-23T00:00:00"/>
        <d v="2023-09-16T00:00:00"/>
        <d v="2022-02-20T00:00:00"/>
        <d v="2022-05-23T00:00:00"/>
        <d v="2023-02-28T00:00:00"/>
        <d v="2022-01-23T00:00:00"/>
        <d v="2023-01-24T00:00:00"/>
        <d v="2023-07-18T00:00:00"/>
        <d v="2023-04-18T00:00:00"/>
        <d v="2023-01-11T00:00:00"/>
        <d v="2022-10-27T00:00:00"/>
        <d v="2023-03-19T00:00:00"/>
        <d v="2022-10-05T00:00:00"/>
        <d v="2023-04-12T00:00:00"/>
        <d v="2022-09-29T00:00:00"/>
        <d v="2022-12-29T00:00:00"/>
        <d v="2023-02-08T00:00:00"/>
        <d v="2023-06-29T00:00:00"/>
        <d v="2023-07-06T00:00:00"/>
        <d v="2023-03-12T00:00:00"/>
        <d v="2022-07-29T00:00:00"/>
        <d v="2023-11-28T00:00:00"/>
        <d v="2023-10-04T00:00:00"/>
        <d v="2022-08-31T00:00:00"/>
        <d v="2022-01-31T00:00:00"/>
        <d v="2022-03-22T00:00:00"/>
        <d v="2023-11-11T00:00:00"/>
        <d v="2023-03-26T00:00:00"/>
        <d v="2023-04-05T00:00:00"/>
        <d v="2023-02-27T00:00:00"/>
        <d v="2022-11-04T00:00:00"/>
        <d v="2022-07-22T00:00:00"/>
        <d v="2022-12-27T00:00:00"/>
        <d v="2022-06-09T00:00:00"/>
        <d v="2023-10-25T00:00:00"/>
        <d v="2023-04-01T00:00:00"/>
        <d v="2022-12-24T00:00:00"/>
        <d v="2022-11-11T00:00:00"/>
        <d v="2022-06-27T00:00:00"/>
        <d v="2023-01-20T00:00:00"/>
        <d v="2022-09-14T00:00:00"/>
        <d v="2022-06-08T00:00:00"/>
        <d v="2023-01-01T00:00:00"/>
        <d v="2022-05-29T00:00:00"/>
        <d v="2023-10-20T00:00:00"/>
        <d v="2023-06-11T00:00:00"/>
        <d v="2023-06-13T00:00:00"/>
        <d v="2022-11-24T00:00:00"/>
        <d v="2023-07-12T00:00:00"/>
        <d v="2023-10-18T00:00:00"/>
        <d v="2023-09-11T00:00:00"/>
        <d v="2023-08-02T00:00:00"/>
        <d v="2023-06-08T00:00:00"/>
        <d v="2023-08-18T00:00:00"/>
        <d v="2022-06-13T00:00:00"/>
        <d v="2022-05-19T00:00:00"/>
        <d v="2022-11-16T00:00:00"/>
        <d v="2023-12-14T00:00:00"/>
        <d v="2022-08-06T00:00:00"/>
        <d v="2023-08-14T00:00:00"/>
        <d v="2023-07-24T00:00:00"/>
        <d v="2022-03-16T00:00:00"/>
        <d v="2023-02-23T00:00:00"/>
        <d v="2023-12-10T00:00:00"/>
        <d v="2022-12-01T00:00:00"/>
        <d v="2022-02-27T00:00:00"/>
        <d v="2023-05-24T00:00:00"/>
        <d v="2023-05-25T00:00:00"/>
        <d v="2023-10-05T00:00:00"/>
        <d v="2023-11-05T00:00:00"/>
        <d v="2022-08-11T00:00:00"/>
        <d v="2022-01-26T00:00:00"/>
        <d v="2022-09-02T00:00:00"/>
        <d v="2022-03-03T00:00:00"/>
        <d v="2023-08-22T00:00:00"/>
        <d v="2023-10-31T00:00:00"/>
        <d v="2022-11-13T00:00:00"/>
        <d v="2023-06-19T00:00:00"/>
        <d v="2022-06-16T00:00:00"/>
        <d v="2023-02-13T00:00:00"/>
        <d v="2022-11-03T00:00:00"/>
        <d v="2022-02-08T00:00:00"/>
        <d v="2022-04-05T00:00:00"/>
        <d v="2023-02-25T00:00:00"/>
        <d v="2022-09-30T00:00:00"/>
        <d v="2023-05-09T00:00:00"/>
        <d v="2022-06-18T00:00:00"/>
        <d v="2022-06-21T00:00:00"/>
        <d v="2022-03-12T00:00:00"/>
        <d v="2023-07-19T00:00:00"/>
        <d v="2023-01-15T00:00:00"/>
        <d v="2023-10-13T00:00:00"/>
        <d v="2023-03-23T00:00:00"/>
        <d v="2022-12-14T00:00:00"/>
        <d v="2023-04-24T00:00:00"/>
        <d v="2023-04-03T00:00:00"/>
        <d v="2023-02-04T00:00:00"/>
        <d v="2023-01-31T00:00:00"/>
        <d v="2023-12-15T00:00:00"/>
        <d v="2023-07-02T00:00:00"/>
        <d v="2023-10-19T00:00:00"/>
        <d v="2022-11-02T00:00:00"/>
        <d v="2023-10-15T00:00:00"/>
        <d v="2022-01-04T00:00:00"/>
        <d v="2022-07-25T00:00:00"/>
        <d v="2023-08-09T00:00:00"/>
        <d v="2022-08-21T00:00:00"/>
        <d v="2022-12-03T00:00:00"/>
        <d v="2023-06-26T00:00:00"/>
        <d v="2023-11-12T00:00:00"/>
        <d v="2023-08-21T00:00:00"/>
        <d v="2022-08-09T00:00:00"/>
        <d v="2023-09-02T00:00:00"/>
        <d v="2023-01-21T00:00:00"/>
        <d v="2022-05-15T00:00:00"/>
        <d v="2022-12-22T00:00:00"/>
        <d v="2022-06-03T00:00:00"/>
        <d v="2023-04-13T00:00:00"/>
        <d v="2022-02-18T00:00:00"/>
        <d v="2023-05-29T00:00:00"/>
        <d v="2022-02-10T00:00:00"/>
        <d v="2022-02-23T00:00:00"/>
        <d v="2022-10-17T00:00:00"/>
        <d v="2022-05-06T00:00:00"/>
        <d v="2022-05-13T00:00:00"/>
        <d v="2022-11-15T00:00:00"/>
        <d v="2023-05-27T00:00:00"/>
        <d v="2023-07-23T00:00:00"/>
        <d v="2023-06-03T00:00:00"/>
        <d v="2023-11-09T00:00:00"/>
        <d v="2022-10-08T00:00:00"/>
        <d v="2023-05-26T00:00:00"/>
        <d v="2022-05-03T00:00:00"/>
        <d v="2023-09-14T00:00:00"/>
        <d v="2022-10-11T00:00:00"/>
        <d v="2023-06-15T00:00:00"/>
        <d v="2022-09-11T00:00:00"/>
        <d v="2022-08-05T00:00:00"/>
        <d v="2023-04-19T00:00:00"/>
        <d v="2022-07-19T00:00:00"/>
        <d v="2023-02-12T00:00:00"/>
        <d v="2023-06-16T00:00:00"/>
        <d v="2023-11-03T00:00:00"/>
        <d v="2022-10-25T00:00:00"/>
        <d v="2023-02-14T00:00:00"/>
        <d v="2023-05-19T00:00:00"/>
        <d v="2022-11-23T00:00:00"/>
        <d v="2022-06-20T00:00:00"/>
        <d v="2023-10-27T00:00:00"/>
        <d v="2023-05-14T00:00:00"/>
        <d v="2022-09-22T00:00:00"/>
        <d v="2022-05-09T00:00:00"/>
        <d v="2022-04-08T00:00:00"/>
        <d v="2022-10-13T00:00:00"/>
        <d v="2023-04-30T00:00:00"/>
        <d v="2023-12-22T00:00:00"/>
        <d v="2023-03-28T00:00:00"/>
        <d v="2023-03-22T00:00:00"/>
        <d v="2023-07-13T00:00:00"/>
        <d v="2023-02-19T00:00:00"/>
        <d v="2022-09-10T00:00:00"/>
        <d v="2022-01-27T00:00:00"/>
        <d v="2022-07-27T00:00:00"/>
        <d v="2022-01-16T00:00:00"/>
        <d v="2023-05-05T00:00:00"/>
        <d v="2022-08-17T00:00:00"/>
        <d v="2023-10-06T00:00:00"/>
        <d v="2022-01-24T00:00:00"/>
        <d v="2023-07-26T00:00:00"/>
        <d v="2023-10-12T00:00:00"/>
        <d v="2022-01-28T00:00:00"/>
        <d v="2022-10-22T00:00:00"/>
        <d v="2022-03-05T00:00:00"/>
        <d v="2022-06-14T00:00:00"/>
        <d v="2023-05-16T00:00:00"/>
        <d v="2023-07-20T00:00:00"/>
        <d v="2023-09-04T00:00:00"/>
        <d v="2023-08-10T00:00:00"/>
        <d v="2022-04-07T00:00:00"/>
        <d v="2022-04-26T00:00:00"/>
        <d v="2023-01-25T00:00:00"/>
        <d v="2022-01-14T00:00:00"/>
        <d v="2023-12-02T00:00:00"/>
        <d v="2023-05-08T00:00:00"/>
        <d v="2023-12-01T00:00:00"/>
        <d v="2022-04-09T00:00:00"/>
        <d v="2023-06-25T00:00:00"/>
        <d v="2022-11-21T00:00:00"/>
        <d v="2023-07-27T00:00:00"/>
        <d v="2022-09-07T00:00:00"/>
        <d v="2022-04-12T00:00:00"/>
        <d v="2022-12-18T00:00:00"/>
        <d v="2022-01-18T00:00:00"/>
        <d v="2023-02-02T00:00:00"/>
        <d v="2022-04-20T00:00:00"/>
        <d v="2022-11-27T00:00:00"/>
        <d v="2023-03-29T00:00:00"/>
        <d v="2022-01-05T00:00:00"/>
        <d v="2022-04-24T00:00:00"/>
        <d v="2023-03-31T00:00:00"/>
        <d v="2022-05-27T00:00:00"/>
        <d v="2023-03-07T00:00:00"/>
        <d v="2023-07-11T00:00:00"/>
        <d v="2022-09-21T00:00:00"/>
        <d v="2022-12-28T00:00:00"/>
        <d v="2023-12-04T00:00:00"/>
        <d v="2023-05-23T00:00:00"/>
        <d v="2022-04-19T00:00:00"/>
        <d v="2023-11-13T00:00:00"/>
        <d v="2022-11-05T00:00:00"/>
        <d v="2023-05-20T00:00:00"/>
        <d v="2023-09-03T00:00:00"/>
        <d v="2022-10-12T00:00:00"/>
        <d v="2022-05-08T00:00:00"/>
        <d v="2023-09-13T00:00:00"/>
        <d v="2022-12-11T00:00:00"/>
        <d v="2023-03-08T00:00:00"/>
        <d v="2023-11-01T00:00:00"/>
        <d v="2023-11-06T00:00:00"/>
      </sharedItems>
      <fieldGroup par="17"/>
    </cacheField>
    <cacheField name="Customer ID" numFmtId="0">
      <sharedItems/>
    </cacheField>
    <cacheField name="Gender" numFmtId="0">
      <sharedItems count="2">
        <s v="Female"/>
        <s v="Male"/>
      </sharedItems>
    </cacheField>
    <cacheField name="Age" numFmtId="0">
      <sharedItems containsSemiMixedTypes="0" containsString="0" containsNumber="1" containsInteger="1" minValue="18" maxValue="64"/>
    </cacheField>
    <cacheField name="Age Group" numFmtId="0">
      <sharedItems count="4">
        <s v="46+"/>
        <s v="26-35"/>
        <s v="36-45"/>
        <s v="18-25"/>
      </sharedItems>
    </cacheField>
    <cacheField name="City" numFmtId="0">
      <sharedItems count="6">
        <s v="Hyderabad"/>
        <s v="Chennai"/>
        <s v="Delhi"/>
        <s v="Mumbai"/>
        <s v="Pune"/>
        <s v="Bangalore"/>
      </sharedItems>
    </cacheField>
    <cacheField name="Product Category" numFmtId="0">
      <sharedItems count="6">
        <s v="Electronics"/>
        <s v="Clothing"/>
        <s v="Grocery"/>
        <s v="Sports"/>
        <s v="Beauty"/>
        <s v="Furniture"/>
      </sharedItems>
    </cacheField>
    <cacheField name="Payment Mode" numFmtId="0">
      <sharedItems count="5">
        <s v="UPI"/>
        <s v="Net Banking"/>
        <s v="Debit Card"/>
        <s v="Cash"/>
        <s v="Credit Card"/>
      </sharedItems>
    </cacheField>
    <cacheField name="Quantity" numFmtId="0">
      <sharedItems containsSemiMixedTypes="0" containsString="0" containsNumber="1" containsInteger="1" minValue="1" maxValue="7"/>
    </cacheField>
    <cacheField name="Unit Price" numFmtId="0">
      <sharedItems containsSemiMixedTypes="0" containsString="0" containsNumber="1" containsInteger="1" minValue="157" maxValue="7999"/>
    </cacheField>
    <cacheField name="Discount %" numFmtId="0">
      <sharedItems containsSemiMixedTypes="0" containsString="0" containsNumber="1" containsInteger="1" minValue="0" maxValue="20"/>
    </cacheField>
    <cacheField name="Gross Amount" numFmtId="0">
      <sharedItems containsSemiMixedTypes="0" containsString="0" containsNumber="1" containsInteger="1" minValue="185" maxValue="55874"/>
    </cacheField>
    <cacheField name="Discount Amount" numFmtId="0">
      <sharedItems containsSemiMixedTypes="0" containsString="0" containsNumber="1" minValue="0" maxValue="9448.6"/>
    </cacheField>
    <cacheField name="Net Sales" numFmtId="0">
      <sharedItems containsSemiMixedTypes="0" containsString="0" containsNumber="1" minValue="185" maxValue="55706"/>
    </cacheField>
    <cacheField name="Months (Order Date)" numFmtId="0" databaseField="0">
      <fieldGroup base="1">
        <rangePr groupBy="months" startDate="2022-01-01T00:00:00" endDate="2024-01-01T00:00:00"/>
        <groupItems count="14">
          <s v="&lt;01-01-2022"/>
          <s v="Jan"/>
          <s v="Feb"/>
          <s v="Mar"/>
          <s v="Apr"/>
          <s v="May"/>
          <s v="Jun"/>
          <s v="Jul"/>
          <s v="Aug"/>
          <s v="Sep"/>
          <s v="Oct"/>
          <s v="Nov"/>
          <s v="Dec"/>
          <s v="&gt;01-01-2024"/>
        </groupItems>
      </fieldGroup>
    </cacheField>
    <cacheField name="Quarters (Order Date)" numFmtId="0" databaseField="0">
      <fieldGroup base="1">
        <rangePr groupBy="quarters" startDate="2022-01-01T00:00:00" endDate="2024-01-01T00:00:00"/>
        <groupItems count="6">
          <s v="&lt;01-01-2022"/>
          <s v="Qtr1"/>
          <s v="Qtr2"/>
          <s v="Qtr3"/>
          <s v="Qtr4"/>
          <s v="&gt;01-01-2024"/>
        </groupItems>
      </fieldGroup>
    </cacheField>
    <cacheField name="Years (Order Date)" numFmtId="0" databaseField="0">
      <fieldGroup base="1">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702384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CUST57498"/>
    <x v="0"/>
    <n v="47"/>
    <x v="0"/>
    <x v="0"/>
    <x v="0"/>
    <x v="0"/>
    <n v="1"/>
    <n v="3311"/>
    <n v="15"/>
    <n v="3311"/>
    <n v="496.65"/>
    <n v="2814.35"/>
  </r>
  <r>
    <x v="1"/>
    <x v="1"/>
    <s v="CUST11204"/>
    <x v="1"/>
    <n v="48"/>
    <x v="0"/>
    <x v="1"/>
    <x v="1"/>
    <x v="1"/>
    <n v="1"/>
    <n v="6427"/>
    <n v="0"/>
    <n v="6427"/>
    <n v="0"/>
    <n v="6427"/>
  </r>
  <r>
    <x v="2"/>
    <x v="2"/>
    <s v="CUST67365"/>
    <x v="1"/>
    <n v="31"/>
    <x v="1"/>
    <x v="2"/>
    <x v="2"/>
    <x v="0"/>
    <n v="3"/>
    <n v="2854"/>
    <n v="0"/>
    <n v="8562"/>
    <n v="0"/>
    <n v="8562"/>
  </r>
  <r>
    <x v="3"/>
    <x v="3"/>
    <s v="CUST85161"/>
    <x v="0"/>
    <n v="49"/>
    <x v="0"/>
    <x v="3"/>
    <x v="0"/>
    <x v="2"/>
    <n v="1"/>
    <n v="4128"/>
    <n v="0"/>
    <n v="4128"/>
    <n v="0"/>
    <n v="4128"/>
  </r>
  <r>
    <x v="4"/>
    <x v="4"/>
    <s v="CUST65272"/>
    <x v="0"/>
    <n v="53"/>
    <x v="0"/>
    <x v="4"/>
    <x v="3"/>
    <x v="1"/>
    <n v="1"/>
    <n v="7246"/>
    <n v="0"/>
    <n v="7246"/>
    <n v="0"/>
    <n v="7246"/>
  </r>
  <r>
    <x v="5"/>
    <x v="5"/>
    <s v="CUST37063"/>
    <x v="0"/>
    <n v="41"/>
    <x v="2"/>
    <x v="0"/>
    <x v="4"/>
    <x v="2"/>
    <n v="6"/>
    <n v="6008"/>
    <n v="0"/>
    <n v="36048"/>
    <n v="0"/>
    <n v="36048"/>
  </r>
  <r>
    <x v="6"/>
    <x v="6"/>
    <s v="CUST70472"/>
    <x v="0"/>
    <n v="61"/>
    <x v="0"/>
    <x v="1"/>
    <x v="1"/>
    <x v="3"/>
    <n v="3"/>
    <n v="5311"/>
    <n v="0"/>
    <n v="15933"/>
    <n v="0"/>
    <n v="15933"/>
  </r>
  <r>
    <x v="7"/>
    <x v="7"/>
    <s v="CUST48573"/>
    <x v="0"/>
    <n v="51"/>
    <x v="0"/>
    <x v="3"/>
    <x v="4"/>
    <x v="0"/>
    <n v="6"/>
    <n v="1327"/>
    <n v="15"/>
    <n v="7962"/>
    <n v="1194.3"/>
    <n v="6767.7"/>
  </r>
  <r>
    <x v="8"/>
    <x v="8"/>
    <s v="CUST93081"/>
    <x v="0"/>
    <n v="52"/>
    <x v="0"/>
    <x v="0"/>
    <x v="1"/>
    <x v="2"/>
    <n v="6"/>
    <n v="5701"/>
    <n v="5"/>
    <n v="34206"/>
    <n v="1710.3"/>
    <n v="32495.7"/>
  </r>
  <r>
    <x v="9"/>
    <x v="9"/>
    <s v="CUST28272"/>
    <x v="0"/>
    <n v="62"/>
    <x v="0"/>
    <x v="0"/>
    <x v="0"/>
    <x v="1"/>
    <n v="2"/>
    <n v="4850"/>
    <n v="20"/>
    <n v="9700"/>
    <n v="1940"/>
    <n v="7760"/>
  </r>
  <r>
    <x v="10"/>
    <x v="10"/>
    <s v="CUST23131"/>
    <x v="0"/>
    <n v="62"/>
    <x v="0"/>
    <x v="0"/>
    <x v="4"/>
    <x v="0"/>
    <n v="4"/>
    <n v="4897"/>
    <n v="20"/>
    <n v="19588"/>
    <n v="3917.6"/>
    <n v="15670.4"/>
  </r>
  <r>
    <x v="11"/>
    <x v="11"/>
    <s v="CUST25674"/>
    <x v="1"/>
    <n v="39"/>
    <x v="2"/>
    <x v="0"/>
    <x v="1"/>
    <x v="2"/>
    <n v="2"/>
    <n v="5849"/>
    <n v="10"/>
    <n v="11698"/>
    <n v="1169.8"/>
    <n v="10528.2"/>
  </r>
  <r>
    <x v="12"/>
    <x v="12"/>
    <s v="CUST71098"/>
    <x v="1"/>
    <n v="41"/>
    <x v="2"/>
    <x v="1"/>
    <x v="5"/>
    <x v="1"/>
    <n v="4"/>
    <n v="7242"/>
    <n v="5"/>
    <n v="28968"/>
    <n v="1448.4"/>
    <n v="27519.599999999999"/>
  </r>
  <r>
    <x v="13"/>
    <x v="13"/>
    <s v="CUST56504"/>
    <x v="1"/>
    <n v="38"/>
    <x v="2"/>
    <x v="0"/>
    <x v="5"/>
    <x v="3"/>
    <n v="1"/>
    <n v="4162"/>
    <n v="0"/>
    <n v="4162"/>
    <n v="0"/>
    <n v="4162"/>
  </r>
  <r>
    <x v="14"/>
    <x v="14"/>
    <s v="CUST96090"/>
    <x v="0"/>
    <n v="24"/>
    <x v="3"/>
    <x v="3"/>
    <x v="5"/>
    <x v="1"/>
    <n v="5"/>
    <n v="3053"/>
    <n v="10"/>
    <n v="15265"/>
    <n v="1526.5"/>
    <n v="13738.5"/>
  </r>
  <r>
    <x v="15"/>
    <x v="15"/>
    <s v="CUST96623"/>
    <x v="0"/>
    <n v="62"/>
    <x v="0"/>
    <x v="0"/>
    <x v="3"/>
    <x v="3"/>
    <n v="5"/>
    <n v="1467"/>
    <n v="5"/>
    <n v="7335"/>
    <n v="366.75"/>
    <n v="6968.25"/>
  </r>
  <r>
    <x v="16"/>
    <x v="16"/>
    <s v="CUST40089"/>
    <x v="1"/>
    <n v="63"/>
    <x v="0"/>
    <x v="2"/>
    <x v="2"/>
    <x v="3"/>
    <n v="5"/>
    <n v="6367"/>
    <n v="5"/>
    <n v="31835"/>
    <n v="1591.75"/>
    <n v="30243.25"/>
  </r>
  <r>
    <x v="17"/>
    <x v="17"/>
    <s v="CUST68836"/>
    <x v="1"/>
    <n v="57"/>
    <x v="0"/>
    <x v="5"/>
    <x v="2"/>
    <x v="4"/>
    <n v="4"/>
    <n v="7817"/>
    <n v="5"/>
    <n v="31268"/>
    <n v="1563.4"/>
    <n v="29704.6"/>
  </r>
  <r>
    <x v="18"/>
    <x v="18"/>
    <s v="CUST25441"/>
    <x v="1"/>
    <n v="22"/>
    <x v="3"/>
    <x v="5"/>
    <x v="0"/>
    <x v="0"/>
    <n v="4"/>
    <n v="5533"/>
    <n v="5"/>
    <n v="22132"/>
    <n v="1106.5999999999999"/>
    <n v="21025.4"/>
  </r>
  <r>
    <x v="19"/>
    <x v="19"/>
    <s v="CUST88168"/>
    <x v="0"/>
    <n v="36"/>
    <x v="2"/>
    <x v="1"/>
    <x v="0"/>
    <x v="2"/>
    <n v="4"/>
    <n v="2150"/>
    <n v="15"/>
    <n v="8600"/>
    <n v="1290"/>
    <n v="7310"/>
  </r>
  <r>
    <x v="20"/>
    <x v="20"/>
    <s v="CUST67811"/>
    <x v="1"/>
    <n v="34"/>
    <x v="1"/>
    <x v="3"/>
    <x v="1"/>
    <x v="2"/>
    <n v="4"/>
    <n v="2857"/>
    <n v="0"/>
    <n v="11428"/>
    <n v="0"/>
    <n v="11428"/>
  </r>
  <r>
    <x v="21"/>
    <x v="21"/>
    <s v="CUST85549"/>
    <x v="1"/>
    <n v="41"/>
    <x v="2"/>
    <x v="2"/>
    <x v="4"/>
    <x v="1"/>
    <n v="7"/>
    <n v="1320"/>
    <n v="0"/>
    <n v="9240"/>
    <n v="0"/>
    <n v="9240"/>
  </r>
  <r>
    <x v="22"/>
    <x v="22"/>
    <s v="CUST13633"/>
    <x v="1"/>
    <n v="31"/>
    <x v="1"/>
    <x v="4"/>
    <x v="1"/>
    <x v="4"/>
    <n v="4"/>
    <n v="4387"/>
    <n v="0"/>
    <n v="17548"/>
    <n v="0"/>
    <n v="17548"/>
  </r>
  <r>
    <x v="23"/>
    <x v="23"/>
    <s v="CUST89336"/>
    <x v="1"/>
    <n v="58"/>
    <x v="0"/>
    <x v="5"/>
    <x v="0"/>
    <x v="2"/>
    <n v="5"/>
    <n v="5904"/>
    <n v="0"/>
    <n v="29520"/>
    <n v="0"/>
    <n v="29520"/>
  </r>
  <r>
    <x v="24"/>
    <x v="24"/>
    <s v="CUST78137"/>
    <x v="1"/>
    <n v="31"/>
    <x v="1"/>
    <x v="1"/>
    <x v="4"/>
    <x v="1"/>
    <n v="1"/>
    <n v="7927"/>
    <n v="5"/>
    <n v="7927"/>
    <n v="396.35"/>
    <n v="7530.65"/>
  </r>
  <r>
    <x v="25"/>
    <x v="25"/>
    <s v="CUST29196"/>
    <x v="0"/>
    <n v="21"/>
    <x v="3"/>
    <x v="2"/>
    <x v="0"/>
    <x v="2"/>
    <n v="5"/>
    <n v="896"/>
    <n v="0"/>
    <n v="4480"/>
    <n v="0"/>
    <n v="4480"/>
  </r>
  <r>
    <x v="26"/>
    <x v="26"/>
    <s v="CUST21852"/>
    <x v="0"/>
    <n v="46"/>
    <x v="0"/>
    <x v="4"/>
    <x v="2"/>
    <x v="3"/>
    <n v="7"/>
    <n v="783"/>
    <n v="15"/>
    <n v="5481"/>
    <n v="822.15"/>
    <n v="4658.8500000000004"/>
  </r>
  <r>
    <x v="27"/>
    <x v="27"/>
    <s v="CUST85351"/>
    <x v="1"/>
    <n v="60"/>
    <x v="0"/>
    <x v="2"/>
    <x v="0"/>
    <x v="2"/>
    <n v="5"/>
    <n v="7964"/>
    <n v="0"/>
    <n v="39820"/>
    <n v="0"/>
    <n v="39820"/>
  </r>
  <r>
    <x v="28"/>
    <x v="28"/>
    <s v="CUST36924"/>
    <x v="1"/>
    <n v="49"/>
    <x v="0"/>
    <x v="2"/>
    <x v="1"/>
    <x v="4"/>
    <n v="3"/>
    <n v="5916"/>
    <n v="0"/>
    <n v="17748"/>
    <n v="0"/>
    <n v="17748"/>
  </r>
  <r>
    <x v="29"/>
    <x v="29"/>
    <s v="CUST41906"/>
    <x v="1"/>
    <n v="36"/>
    <x v="2"/>
    <x v="3"/>
    <x v="3"/>
    <x v="3"/>
    <n v="6"/>
    <n v="6943"/>
    <n v="10"/>
    <n v="41658"/>
    <n v="4165.8"/>
    <n v="37492.199999999997"/>
  </r>
  <r>
    <x v="30"/>
    <x v="30"/>
    <s v="CUST64312"/>
    <x v="0"/>
    <n v="27"/>
    <x v="1"/>
    <x v="0"/>
    <x v="0"/>
    <x v="0"/>
    <n v="5"/>
    <n v="1937"/>
    <n v="0"/>
    <n v="9685"/>
    <n v="0"/>
    <n v="9685"/>
  </r>
  <r>
    <x v="31"/>
    <x v="31"/>
    <s v="CUST92838"/>
    <x v="1"/>
    <n v="26"/>
    <x v="1"/>
    <x v="4"/>
    <x v="3"/>
    <x v="3"/>
    <n v="2"/>
    <n v="2015"/>
    <n v="15"/>
    <n v="4030"/>
    <n v="604.5"/>
    <n v="3425.5"/>
  </r>
  <r>
    <x v="32"/>
    <x v="32"/>
    <s v="CUST58262"/>
    <x v="0"/>
    <n v="54"/>
    <x v="0"/>
    <x v="5"/>
    <x v="5"/>
    <x v="0"/>
    <n v="2"/>
    <n v="3271"/>
    <n v="0"/>
    <n v="6542"/>
    <n v="0"/>
    <n v="6542"/>
  </r>
  <r>
    <x v="33"/>
    <x v="33"/>
    <s v="CUST67244"/>
    <x v="0"/>
    <n v="24"/>
    <x v="3"/>
    <x v="1"/>
    <x v="1"/>
    <x v="4"/>
    <n v="4"/>
    <n v="2951"/>
    <n v="0"/>
    <n v="11804"/>
    <n v="0"/>
    <n v="11804"/>
  </r>
  <r>
    <x v="34"/>
    <x v="34"/>
    <s v="CUST97189"/>
    <x v="1"/>
    <n v="55"/>
    <x v="0"/>
    <x v="1"/>
    <x v="0"/>
    <x v="0"/>
    <n v="5"/>
    <n v="7194"/>
    <n v="0"/>
    <n v="35970"/>
    <n v="0"/>
    <n v="35970"/>
  </r>
  <r>
    <x v="35"/>
    <x v="35"/>
    <s v="CUST35977"/>
    <x v="1"/>
    <n v="26"/>
    <x v="1"/>
    <x v="5"/>
    <x v="0"/>
    <x v="2"/>
    <n v="3"/>
    <n v="5944"/>
    <n v="10"/>
    <n v="17832"/>
    <n v="1783.2"/>
    <n v="16048.8"/>
  </r>
  <r>
    <x v="36"/>
    <x v="36"/>
    <s v="CUST19426"/>
    <x v="0"/>
    <n v="45"/>
    <x v="2"/>
    <x v="3"/>
    <x v="1"/>
    <x v="2"/>
    <n v="2"/>
    <n v="3040"/>
    <n v="5"/>
    <n v="6080"/>
    <n v="304"/>
    <n v="5776"/>
  </r>
  <r>
    <x v="37"/>
    <x v="37"/>
    <s v="CUST68815"/>
    <x v="1"/>
    <n v="30"/>
    <x v="1"/>
    <x v="3"/>
    <x v="1"/>
    <x v="0"/>
    <n v="7"/>
    <n v="7079"/>
    <n v="0"/>
    <n v="49553"/>
    <n v="0"/>
    <n v="49553"/>
  </r>
  <r>
    <x v="38"/>
    <x v="38"/>
    <s v="CUST54932"/>
    <x v="1"/>
    <n v="47"/>
    <x v="0"/>
    <x v="2"/>
    <x v="2"/>
    <x v="0"/>
    <n v="2"/>
    <n v="6015"/>
    <n v="0"/>
    <n v="12030"/>
    <n v="0"/>
    <n v="12030"/>
  </r>
  <r>
    <x v="39"/>
    <x v="39"/>
    <s v="CUST63512"/>
    <x v="0"/>
    <n v="49"/>
    <x v="0"/>
    <x v="1"/>
    <x v="1"/>
    <x v="0"/>
    <n v="7"/>
    <n v="6550"/>
    <n v="5"/>
    <n v="45850"/>
    <n v="2292.5"/>
    <n v="43557.5"/>
  </r>
  <r>
    <x v="40"/>
    <x v="40"/>
    <s v="CUST28684"/>
    <x v="0"/>
    <n v="63"/>
    <x v="0"/>
    <x v="2"/>
    <x v="0"/>
    <x v="4"/>
    <n v="4"/>
    <n v="6271"/>
    <n v="0"/>
    <n v="25084"/>
    <n v="0"/>
    <n v="25084"/>
  </r>
  <r>
    <x v="41"/>
    <x v="41"/>
    <s v="CUST81117"/>
    <x v="0"/>
    <n v="45"/>
    <x v="2"/>
    <x v="4"/>
    <x v="0"/>
    <x v="2"/>
    <n v="2"/>
    <n v="595"/>
    <n v="15"/>
    <n v="1190"/>
    <n v="178.5"/>
    <n v="1011.5"/>
  </r>
  <r>
    <x v="42"/>
    <x v="42"/>
    <s v="CUST90026"/>
    <x v="1"/>
    <n v="23"/>
    <x v="3"/>
    <x v="2"/>
    <x v="1"/>
    <x v="4"/>
    <n v="7"/>
    <n v="3747"/>
    <n v="0"/>
    <n v="26229"/>
    <n v="0"/>
    <n v="26229"/>
  </r>
  <r>
    <x v="43"/>
    <x v="43"/>
    <s v="CUST26933"/>
    <x v="0"/>
    <n v="23"/>
    <x v="3"/>
    <x v="1"/>
    <x v="3"/>
    <x v="4"/>
    <n v="7"/>
    <n v="3119"/>
    <n v="10"/>
    <n v="21833"/>
    <n v="2183.3000000000002"/>
    <n v="19649.7"/>
  </r>
  <r>
    <x v="44"/>
    <x v="44"/>
    <s v="CUST88438"/>
    <x v="0"/>
    <n v="25"/>
    <x v="3"/>
    <x v="2"/>
    <x v="1"/>
    <x v="0"/>
    <n v="5"/>
    <n v="4666"/>
    <n v="10"/>
    <n v="23330"/>
    <n v="2333"/>
    <n v="20997"/>
  </r>
  <r>
    <x v="45"/>
    <x v="45"/>
    <s v="CUST72930"/>
    <x v="1"/>
    <n v="46"/>
    <x v="0"/>
    <x v="1"/>
    <x v="4"/>
    <x v="2"/>
    <n v="5"/>
    <n v="7548"/>
    <n v="20"/>
    <n v="37740"/>
    <n v="7548"/>
    <n v="30192"/>
  </r>
  <r>
    <x v="46"/>
    <x v="46"/>
    <s v="CUST50691"/>
    <x v="0"/>
    <n v="44"/>
    <x v="2"/>
    <x v="0"/>
    <x v="3"/>
    <x v="4"/>
    <n v="3"/>
    <n v="5234"/>
    <n v="0"/>
    <n v="15702"/>
    <n v="0"/>
    <n v="15702"/>
  </r>
  <r>
    <x v="47"/>
    <x v="47"/>
    <s v="CUST30424"/>
    <x v="1"/>
    <n v="28"/>
    <x v="1"/>
    <x v="3"/>
    <x v="5"/>
    <x v="0"/>
    <n v="4"/>
    <n v="630"/>
    <n v="0"/>
    <n v="2520"/>
    <n v="0"/>
    <n v="2520"/>
  </r>
  <r>
    <x v="48"/>
    <x v="48"/>
    <s v="CUST69437"/>
    <x v="0"/>
    <n v="23"/>
    <x v="3"/>
    <x v="4"/>
    <x v="1"/>
    <x v="2"/>
    <n v="3"/>
    <n v="5627"/>
    <n v="10"/>
    <n v="16881"/>
    <n v="1688.1"/>
    <n v="15192.9"/>
  </r>
  <r>
    <x v="49"/>
    <x v="49"/>
    <s v="CUST62876"/>
    <x v="1"/>
    <n v="49"/>
    <x v="0"/>
    <x v="2"/>
    <x v="2"/>
    <x v="2"/>
    <n v="5"/>
    <n v="2204"/>
    <n v="0"/>
    <n v="11020"/>
    <n v="0"/>
    <n v="11020"/>
  </r>
  <r>
    <x v="50"/>
    <x v="50"/>
    <s v="CUST54717"/>
    <x v="1"/>
    <n v="52"/>
    <x v="0"/>
    <x v="0"/>
    <x v="1"/>
    <x v="4"/>
    <n v="4"/>
    <n v="6846"/>
    <n v="0"/>
    <n v="27384"/>
    <n v="0"/>
    <n v="27384"/>
  </r>
  <r>
    <x v="51"/>
    <x v="51"/>
    <s v="CUST28899"/>
    <x v="1"/>
    <n v="34"/>
    <x v="1"/>
    <x v="1"/>
    <x v="1"/>
    <x v="3"/>
    <n v="4"/>
    <n v="2104"/>
    <n v="10"/>
    <n v="8416"/>
    <n v="841.6"/>
    <n v="7574.4"/>
  </r>
  <r>
    <x v="52"/>
    <x v="18"/>
    <s v="CUST90975"/>
    <x v="0"/>
    <n v="36"/>
    <x v="2"/>
    <x v="4"/>
    <x v="1"/>
    <x v="3"/>
    <n v="2"/>
    <n v="5275"/>
    <n v="5"/>
    <n v="10550"/>
    <n v="527.5"/>
    <n v="10022.5"/>
  </r>
  <r>
    <x v="53"/>
    <x v="52"/>
    <s v="CUST42694"/>
    <x v="1"/>
    <n v="56"/>
    <x v="0"/>
    <x v="3"/>
    <x v="1"/>
    <x v="2"/>
    <n v="2"/>
    <n v="6403"/>
    <n v="5"/>
    <n v="12806"/>
    <n v="640.29999999999995"/>
    <n v="12165.7"/>
  </r>
  <r>
    <x v="54"/>
    <x v="53"/>
    <s v="CUST99780"/>
    <x v="1"/>
    <n v="20"/>
    <x v="3"/>
    <x v="5"/>
    <x v="0"/>
    <x v="4"/>
    <n v="5"/>
    <n v="6380"/>
    <n v="15"/>
    <n v="31900"/>
    <n v="4785"/>
    <n v="27115"/>
  </r>
  <r>
    <x v="55"/>
    <x v="54"/>
    <s v="CUST91425"/>
    <x v="0"/>
    <n v="45"/>
    <x v="2"/>
    <x v="2"/>
    <x v="0"/>
    <x v="2"/>
    <n v="1"/>
    <n v="7787"/>
    <n v="5"/>
    <n v="7787"/>
    <n v="389.35"/>
    <n v="7397.65"/>
  </r>
  <r>
    <x v="56"/>
    <x v="55"/>
    <s v="CUST87947"/>
    <x v="1"/>
    <n v="31"/>
    <x v="1"/>
    <x v="4"/>
    <x v="0"/>
    <x v="4"/>
    <n v="3"/>
    <n v="2841"/>
    <n v="10"/>
    <n v="8523"/>
    <n v="852.3"/>
    <n v="7670.7"/>
  </r>
  <r>
    <x v="57"/>
    <x v="56"/>
    <s v="CUST46719"/>
    <x v="1"/>
    <n v="53"/>
    <x v="0"/>
    <x v="4"/>
    <x v="3"/>
    <x v="2"/>
    <n v="2"/>
    <n v="3757"/>
    <n v="0"/>
    <n v="7514"/>
    <n v="0"/>
    <n v="7514"/>
  </r>
  <r>
    <x v="58"/>
    <x v="57"/>
    <s v="CUST30807"/>
    <x v="0"/>
    <n v="18"/>
    <x v="3"/>
    <x v="3"/>
    <x v="5"/>
    <x v="0"/>
    <n v="2"/>
    <n v="1959"/>
    <n v="5"/>
    <n v="3918"/>
    <n v="195.9"/>
    <n v="3722.1"/>
  </r>
  <r>
    <x v="59"/>
    <x v="4"/>
    <s v="CUST97127"/>
    <x v="1"/>
    <n v="18"/>
    <x v="3"/>
    <x v="0"/>
    <x v="4"/>
    <x v="0"/>
    <n v="4"/>
    <n v="7812"/>
    <n v="0"/>
    <n v="31248"/>
    <n v="0"/>
    <n v="31248"/>
  </r>
  <r>
    <x v="60"/>
    <x v="58"/>
    <s v="CUST60350"/>
    <x v="0"/>
    <n v="26"/>
    <x v="1"/>
    <x v="0"/>
    <x v="0"/>
    <x v="1"/>
    <n v="2"/>
    <n v="3199"/>
    <n v="10"/>
    <n v="6398"/>
    <n v="639.79999999999995"/>
    <n v="5758.2"/>
  </r>
  <r>
    <x v="61"/>
    <x v="57"/>
    <s v="CUST49642"/>
    <x v="0"/>
    <n v="43"/>
    <x v="2"/>
    <x v="4"/>
    <x v="5"/>
    <x v="1"/>
    <n v="3"/>
    <n v="5485"/>
    <n v="0"/>
    <n v="16455"/>
    <n v="0"/>
    <n v="16455"/>
  </r>
  <r>
    <x v="62"/>
    <x v="59"/>
    <s v="CUST57849"/>
    <x v="1"/>
    <n v="61"/>
    <x v="0"/>
    <x v="1"/>
    <x v="1"/>
    <x v="0"/>
    <n v="7"/>
    <n v="6949"/>
    <n v="0"/>
    <n v="48643"/>
    <n v="0"/>
    <n v="48643"/>
  </r>
  <r>
    <x v="63"/>
    <x v="60"/>
    <s v="CUST51821"/>
    <x v="1"/>
    <n v="63"/>
    <x v="0"/>
    <x v="4"/>
    <x v="2"/>
    <x v="4"/>
    <n v="2"/>
    <n v="5886"/>
    <n v="0"/>
    <n v="11772"/>
    <n v="0"/>
    <n v="11772"/>
  </r>
  <r>
    <x v="64"/>
    <x v="61"/>
    <s v="CUST15611"/>
    <x v="0"/>
    <n v="38"/>
    <x v="2"/>
    <x v="3"/>
    <x v="4"/>
    <x v="4"/>
    <n v="3"/>
    <n v="1569"/>
    <n v="10"/>
    <n v="4707"/>
    <n v="470.7"/>
    <n v="4236.3"/>
  </r>
  <r>
    <x v="65"/>
    <x v="62"/>
    <s v="CUST32118"/>
    <x v="1"/>
    <n v="61"/>
    <x v="0"/>
    <x v="1"/>
    <x v="1"/>
    <x v="0"/>
    <n v="3"/>
    <n v="3539"/>
    <n v="10"/>
    <n v="10617"/>
    <n v="1061.7"/>
    <n v="9555.2999999999993"/>
  </r>
  <r>
    <x v="66"/>
    <x v="63"/>
    <s v="CUST46278"/>
    <x v="1"/>
    <n v="57"/>
    <x v="0"/>
    <x v="4"/>
    <x v="4"/>
    <x v="1"/>
    <n v="4"/>
    <n v="2479"/>
    <n v="0"/>
    <n v="9916"/>
    <n v="0"/>
    <n v="9916"/>
  </r>
  <r>
    <x v="67"/>
    <x v="64"/>
    <s v="CUST52851"/>
    <x v="1"/>
    <n v="56"/>
    <x v="0"/>
    <x v="1"/>
    <x v="0"/>
    <x v="3"/>
    <n v="7"/>
    <n v="4369"/>
    <n v="5"/>
    <n v="30583"/>
    <n v="1529.15"/>
    <n v="29053.85"/>
  </r>
  <r>
    <x v="68"/>
    <x v="65"/>
    <s v="CUST73880"/>
    <x v="1"/>
    <n v="37"/>
    <x v="2"/>
    <x v="5"/>
    <x v="3"/>
    <x v="2"/>
    <n v="6"/>
    <n v="7261"/>
    <n v="10"/>
    <n v="43566"/>
    <n v="4356.6000000000004"/>
    <n v="39209.4"/>
  </r>
  <r>
    <x v="69"/>
    <x v="66"/>
    <s v="CUST43098"/>
    <x v="0"/>
    <n v="24"/>
    <x v="3"/>
    <x v="2"/>
    <x v="1"/>
    <x v="1"/>
    <n v="3"/>
    <n v="4291"/>
    <n v="0"/>
    <n v="12873"/>
    <n v="0"/>
    <n v="12873"/>
  </r>
  <r>
    <x v="70"/>
    <x v="67"/>
    <s v="CUST71331"/>
    <x v="1"/>
    <n v="20"/>
    <x v="3"/>
    <x v="0"/>
    <x v="5"/>
    <x v="2"/>
    <n v="7"/>
    <n v="7157"/>
    <n v="0"/>
    <n v="50099"/>
    <n v="0"/>
    <n v="50099"/>
  </r>
  <r>
    <x v="71"/>
    <x v="68"/>
    <s v="CUST25378"/>
    <x v="0"/>
    <n v="21"/>
    <x v="3"/>
    <x v="3"/>
    <x v="1"/>
    <x v="1"/>
    <n v="2"/>
    <n v="742"/>
    <n v="5"/>
    <n v="1484"/>
    <n v="74.2"/>
    <n v="1409.8"/>
  </r>
  <r>
    <x v="72"/>
    <x v="69"/>
    <s v="CUST32836"/>
    <x v="1"/>
    <n v="32"/>
    <x v="1"/>
    <x v="0"/>
    <x v="3"/>
    <x v="2"/>
    <n v="6"/>
    <n v="1610"/>
    <n v="0"/>
    <n v="9660"/>
    <n v="0"/>
    <n v="9660"/>
  </r>
  <r>
    <x v="73"/>
    <x v="70"/>
    <s v="CUST70588"/>
    <x v="0"/>
    <n v="35"/>
    <x v="1"/>
    <x v="2"/>
    <x v="1"/>
    <x v="1"/>
    <n v="6"/>
    <n v="6806"/>
    <n v="0"/>
    <n v="40836"/>
    <n v="0"/>
    <n v="40836"/>
  </r>
  <r>
    <x v="74"/>
    <x v="4"/>
    <s v="CUST50433"/>
    <x v="0"/>
    <n v="27"/>
    <x v="1"/>
    <x v="1"/>
    <x v="3"/>
    <x v="3"/>
    <n v="6"/>
    <n v="4809"/>
    <n v="10"/>
    <n v="28854"/>
    <n v="2885.4"/>
    <n v="25968.6"/>
  </r>
  <r>
    <x v="75"/>
    <x v="71"/>
    <s v="CUST57076"/>
    <x v="1"/>
    <n v="50"/>
    <x v="0"/>
    <x v="2"/>
    <x v="2"/>
    <x v="0"/>
    <n v="7"/>
    <n v="553"/>
    <n v="0"/>
    <n v="3871"/>
    <n v="0"/>
    <n v="3871"/>
  </r>
  <r>
    <x v="76"/>
    <x v="72"/>
    <s v="CUST95379"/>
    <x v="1"/>
    <n v="64"/>
    <x v="0"/>
    <x v="4"/>
    <x v="5"/>
    <x v="2"/>
    <n v="7"/>
    <n v="4691"/>
    <n v="0"/>
    <n v="32837"/>
    <n v="0"/>
    <n v="32837"/>
  </r>
  <r>
    <x v="77"/>
    <x v="73"/>
    <s v="CUST44252"/>
    <x v="1"/>
    <n v="58"/>
    <x v="0"/>
    <x v="5"/>
    <x v="0"/>
    <x v="4"/>
    <n v="6"/>
    <n v="3178"/>
    <n v="5"/>
    <n v="19068"/>
    <n v="953.4"/>
    <n v="18114.599999999999"/>
  </r>
  <r>
    <x v="78"/>
    <x v="45"/>
    <s v="CUST76347"/>
    <x v="0"/>
    <n v="23"/>
    <x v="3"/>
    <x v="2"/>
    <x v="5"/>
    <x v="2"/>
    <n v="4"/>
    <n v="7197"/>
    <n v="5"/>
    <n v="28788"/>
    <n v="1439.4"/>
    <n v="27348.6"/>
  </r>
  <r>
    <x v="79"/>
    <x v="74"/>
    <s v="CUST41707"/>
    <x v="0"/>
    <n v="37"/>
    <x v="2"/>
    <x v="0"/>
    <x v="2"/>
    <x v="2"/>
    <n v="2"/>
    <n v="1901"/>
    <n v="10"/>
    <n v="3802"/>
    <n v="380.2"/>
    <n v="3421.8"/>
  </r>
  <r>
    <x v="80"/>
    <x v="75"/>
    <s v="CUST76110"/>
    <x v="1"/>
    <n v="22"/>
    <x v="3"/>
    <x v="3"/>
    <x v="0"/>
    <x v="0"/>
    <n v="2"/>
    <n v="6119"/>
    <n v="0"/>
    <n v="12238"/>
    <n v="0"/>
    <n v="12238"/>
  </r>
  <r>
    <x v="81"/>
    <x v="76"/>
    <s v="CUST86112"/>
    <x v="1"/>
    <n v="64"/>
    <x v="0"/>
    <x v="0"/>
    <x v="2"/>
    <x v="1"/>
    <n v="3"/>
    <n v="1730"/>
    <n v="0"/>
    <n v="5190"/>
    <n v="0"/>
    <n v="5190"/>
  </r>
  <r>
    <x v="82"/>
    <x v="77"/>
    <s v="CUST18907"/>
    <x v="1"/>
    <n v="64"/>
    <x v="0"/>
    <x v="0"/>
    <x v="3"/>
    <x v="4"/>
    <n v="2"/>
    <n v="7750"/>
    <n v="0"/>
    <n v="15500"/>
    <n v="0"/>
    <n v="15500"/>
  </r>
  <r>
    <x v="83"/>
    <x v="78"/>
    <s v="CUST59183"/>
    <x v="0"/>
    <n v="62"/>
    <x v="0"/>
    <x v="5"/>
    <x v="2"/>
    <x v="0"/>
    <n v="3"/>
    <n v="5084"/>
    <n v="10"/>
    <n v="15252"/>
    <n v="1525.2"/>
    <n v="13726.8"/>
  </r>
  <r>
    <x v="84"/>
    <x v="79"/>
    <s v="CUST35382"/>
    <x v="1"/>
    <n v="52"/>
    <x v="0"/>
    <x v="2"/>
    <x v="1"/>
    <x v="0"/>
    <n v="2"/>
    <n v="4057"/>
    <n v="10"/>
    <n v="8114"/>
    <n v="811.4"/>
    <n v="7302.6"/>
  </r>
  <r>
    <x v="85"/>
    <x v="80"/>
    <s v="CUST48532"/>
    <x v="1"/>
    <n v="55"/>
    <x v="0"/>
    <x v="5"/>
    <x v="3"/>
    <x v="0"/>
    <n v="2"/>
    <n v="5376"/>
    <n v="5"/>
    <n v="10752"/>
    <n v="537.6"/>
    <n v="10214.4"/>
  </r>
  <r>
    <x v="86"/>
    <x v="81"/>
    <s v="CUST94954"/>
    <x v="0"/>
    <n v="59"/>
    <x v="0"/>
    <x v="4"/>
    <x v="1"/>
    <x v="1"/>
    <n v="2"/>
    <n v="2525"/>
    <n v="15"/>
    <n v="5050"/>
    <n v="757.5"/>
    <n v="4292.5"/>
  </r>
  <r>
    <x v="87"/>
    <x v="82"/>
    <s v="CUST43614"/>
    <x v="1"/>
    <n v="27"/>
    <x v="1"/>
    <x v="2"/>
    <x v="1"/>
    <x v="2"/>
    <n v="5"/>
    <n v="1982"/>
    <n v="0"/>
    <n v="9910"/>
    <n v="0"/>
    <n v="9910"/>
  </r>
  <r>
    <x v="88"/>
    <x v="83"/>
    <s v="CUST64776"/>
    <x v="0"/>
    <n v="32"/>
    <x v="1"/>
    <x v="1"/>
    <x v="0"/>
    <x v="3"/>
    <n v="1"/>
    <n v="1579"/>
    <n v="5"/>
    <n v="1579"/>
    <n v="78.95"/>
    <n v="1500.05"/>
  </r>
  <r>
    <x v="89"/>
    <x v="84"/>
    <s v="CUST93347"/>
    <x v="0"/>
    <n v="40"/>
    <x v="2"/>
    <x v="5"/>
    <x v="3"/>
    <x v="4"/>
    <n v="3"/>
    <n v="7713"/>
    <n v="5"/>
    <n v="23139"/>
    <n v="1156.95"/>
    <n v="21982.05"/>
  </r>
  <r>
    <x v="90"/>
    <x v="85"/>
    <s v="CUST39699"/>
    <x v="0"/>
    <n v="20"/>
    <x v="3"/>
    <x v="1"/>
    <x v="0"/>
    <x v="1"/>
    <n v="2"/>
    <n v="3242"/>
    <n v="0"/>
    <n v="6484"/>
    <n v="0"/>
    <n v="6484"/>
  </r>
  <r>
    <x v="91"/>
    <x v="86"/>
    <s v="CUST23132"/>
    <x v="1"/>
    <n v="30"/>
    <x v="1"/>
    <x v="3"/>
    <x v="1"/>
    <x v="3"/>
    <n v="1"/>
    <n v="3211"/>
    <n v="20"/>
    <n v="3211"/>
    <n v="642.20000000000005"/>
    <n v="2568.8000000000002"/>
  </r>
  <r>
    <x v="92"/>
    <x v="87"/>
    <s v="CUST16066"/>
    <x v="0"/>
    <n v="21"/>
    <x v="3"/>
    <x v="1"/>
    <x v="2"/>
    <x v="1"/>
    <n v="4"/>
    <n v="3350"/>
    <n v="10"/>
    <n v="13400"/>
    <n v="1340"/>
    <n v="12060"/>
  </r>
  <r>
    <x v="93"/>
    <x v="88"/>
    <s v="CUST78678"/>
    <x v="1"/>
    <n v="59"/>
    <x v="0"/>
    <x v="3"/>
    <x v="1"/>
    <x v="2"/>
    <n v="6"/>
    <n v="4028"/>
    <n v="15"/>
    <n v="24168"/>
    <n v="3625.2"/>
    <n v="20542.8"/>
  </r>
  <r>
    <x v="94"/>
    <x v="89"/>
    <s v="CUST62233"/>
    <x v="0"/>
    <n v="48"/>
    <x v="0"/>
    <x v="3"/>
    <x v="0"/>
    <x v="1"/>
    <n v="5"/>
    <n v="4517"/>
    <n v="0"/>
    <n v="22585"/>
    <n v="0"/>
    <n v="22585"/>
  </r>
  <r>
    <x v="95"/>
    <x v="90"/>
    <s v="CUST35709"/>
    <x v="1"/>
    <n v="42"/>
    <x v="2"/>
    <x v="1"/>
    <x v="1"/>
    <x v="1"/>
    <n v="7"/>
    <n v="6957"/>
    <n v="0"/>
    <n v="48699"/>
    <n v="0"/>
    <n v="48699"/>
  </r>
  <r>
    <x v="96"/>
    <x v="91"/>
    <s v="CUST97579"/>
    <x v="1"/>
    <n v="53"/>
    <x v="0"/>
    <x v="3"/>
    <x v="1"/>
    <x v="2"/>
    <n v="2"/>
    <n v="6466"/>
    <n v="15"/>
    <n v="12932"/>
    <n v="1939.8"/>
    <n v="10992.2"/>
  </r>
  <r>
    <x v="97"/>
    <x v="92"/>
    <s v="CUST73757"/>
    <x v="0"/>
    <n v="55"/>
    <x v="0"/>
    <x v="4"/>
    <x v="1"/>
    <x v="4"/>
    <n v="6"/>
    <n v="5981"/>
    <n v="0"/>
    <n v="35886"/>
    <n v="0"/>
    <n v="35886"/>
  </r>
  <r>
    <x v="98"/>
    <x v="93"/>
    <s v="CUST29319"/>
    <x v="0"/>
    <n v="36"/>
    <x v="2"/>
    <x v="3"/>
    <x v="3"/>
    <x v="2"/>
    <n v="5"/>
    <n v="7296"/>
    <n v="15"/>
    <n v="36480"/>
    <n v="5472"/>
    <n v="31008"/>
  </r>
  <r>
    <x v="99"/>
    <x v="85"/>
    <s v="CUST90806"/>
    <x v="1"/>
    <n v="35"/>
    <x v="1"/>
    <x v="2"/>
    <x v="1"/>
    <x v="3"/>
    <n v="7"/>
    <n v="6530"/>
    <n v="0"/>
    <n v="45710"/>
    <n v="0"/>
    <n v="45710"/>
  </r>
  <r>
    <x v="100"/>
    <x v="94"/>
    <s v="CUST77151"/>
    <x v="1"/>
    <n v="59"/>
    <x v="0"/>
    <x v="5"/>
    <x v="2"/>
    <x v="1"/>
    <n v="1"/>
    <n v="1142"/>
    <n v="15"/>
    <n v="1142"/>
    <n v="171.3"/>
    <n v="970.7"/>
  </r>
  <r>
    <x v="101"/>
    <x v="95"/>
    <s v="CUST31612"/>
    <x v="0"/>
    <n v="62"/>
    <x v="0"/>
    <x v="2"/>
    <x v="4"/>
    <x v="3"/>
    <n v="3"/>
    <n v="4309"/>
    <n v="10"/>
    <n v="12927"/>
    <n v="1292.7"/>
    <n v="11634.3"/>
  </r>
  <r>
    <x v="102"/>
    <x v="96"/>
    <s v="CUST71905"/>
    <x v="1"/>
    <n v="22"/>
    <x v="3"/>
    <x v="0"/>
    <x v="1"/>
    <x v="4"/>
    <n v="3"/>
    <n v="954"/>
    <n v="10"/>
    <n v="2862"/>
    <n v="286.2"/>
    <n v="2575.8000000000002"/>
  </r>
  <r>
    <x v="103"/>
    <x v="55"/>
    <s v="CUST63125"/>
    <x v="1"/>
    <n v="42"/>
    <x v="2"/>
    <x v="4"/>
    <x v="5"/>
    <x v="0"/>
    <n v="1"/>
    <n v="5221"/>
    <n v="10"/>
    <n v="5221"/>
    <n v="522.1"/>
    <n v="4698.8999999999996"/>
  </r>
  <r>
    <x v="104"/>
    <x v="24"/>
    <s v="CUST87560"/>
    <x v="1"/>
    <n v="53"/>
    <x v="0"/>
    <x v="5"/>
    <x v="3"/>
    <x v="1"/>
    <n v="3"/>
    <n v="1818"/>
    <n v="15"/>
    <n v="5454"/>
    <n v="818.1"/>
    <n v="4635.8999999999996"/>
  </r>
  <r>
    <x v="105"/>
    <x v="97"/>
    <s v="CUST28572"/>
    <x v="0"/>
    <n v="44"/>
    <x v="2"/>
    <x v="3"/>
    <x v="0"/>
    <x v="1"/>
    <n v="7"/>
    <n v="6904"/>
    <n v="10"/>
    <n v="48328"/>
    <n v="4832.8"/>
    <n v="43495.199999999997"/>
  </r>
  <r>
    <x v="106"/>
    <x v="98"/>
    <s v="CUST72888"/>
    <x v="1"/>
    <n v="46"/>
    <x v="0"/>
    <x v="1"/>
    <x v="1"/>
    <x v="1"/>
    <n v="7"/>
    <n v="7982"/>
    <n v="15"/>
    <n v="55874"/>
    <n v="8381.1"/>
    <n v="47492.9"/>
  </r>
  <r>
    <x v="107"/>
    <x v="99"/>
    <s v="CUST55439"/>
    <x v="1"/>
    <n v="52"/>
    <x v="0"/>
    <x v="0"/>
    <x v="4"/>
    <x v="0"/>
    <n v="1"/>
    <n v="3909"/>
    <n v="5"/>
    <n v="3909"/>
    <n v="195.45"/>
    <n v="3713.55"/>
  </r>
  <r>
    <x v="108"/>
    <x v="100"/>
    <s v="CUST66905"/>
    <x v="0"/>
    <n v="41"/>
    <x v="2"/>
    <x v="3"/>
    <x v="2"/>
    <x v="0"/>
    <n v="2"/>
    <n v="4844"/>
    <n v="10"/>
    <n v="9688"/>
    <n v="968.8"/>
    <n v="8719.2000000000007"/>
  </r>
  <r>
    <x v="109"/>
    <x v="101"/>
    <s v="CUST98222"/>
    <x v="0"/>
    <n v="21"/>
    <x v="3"/>
    <x v="2"/>
    <x v="0"/>
    <x v="3"/>
    <n v="1"/>
    <n v="3367"/>
    <n v="5"/>
    <n v="3367"/>
    <n v="168.35"/>
    <n v="3198.65"/>
  </r>
  <r>
    <x v="110"/>
    <x v="102"/>
    <s v="CUST53578"/>
    <x v="1"/>
    <n v="58"/>
    <x v="0"/>
    <x v="0"/>
    <x v="0"/>
    <x v="0"/>
    <n v="3"/>
    <n v="5275"/>
    <n v="0"/>
    <n v="15825"/>
    <n v="0"/>
    <n v="15825"/>
  </r>
  <r>
    <x v="111"/>
    <x v="103"/>
    <s v="CUST27522"/>
    <x v="1"/>
    <n v="32"/>
    <x v="1"/>
    <x v="0"/>
    <x v="0"/>
    <x v="3"/>
    <n v="7"/>
    <n v="5439"/>
    <n v="10"/>
    <n v="38073"/>
    <n v="3807.3"/>
    <n v="34265.699999999997"/>
  </r>
  <r>
    <x v="112"/>
    <x v="104"/>
    <s v="CUST44107"/>
    <x v="1"/>
    <n v="57"/>
    <x v="0"/>
    <x v="0"/>
    <x v="4"/>
    <x v="1"/>
    <n v="1"/>
    <n v="6101"/>
    <n v="0"/>
    <n v="6101"/>
    <n v="0"/>
    <n v="6101"/>
  </r>
  <r>
    <x v="113"/>
    <x v="105"/>
    <s v="CUST98311"/>
    <x v="1"/>
    <n v="36"/>
    <x v="2"/>
    <x v="3"/>
    <x v="0"/>
    <x v="1"/>
    <n v="2"/>
    <n v="3129"/>
    <n v="15"/>
    <n v="6258"/>
    <n v="938.7"/>
    <n v="5319.3"/>
  </r>
  <r>
    <x v="114"/>
    <x v="106"/>
    <s v="CUST35236"/>
    <x v="0"/>
    <n v="60"/>
    <x v="0"/>
    <x v="4"/>
    <x v="3"/>
    <x v="3"/>
    <n v="5"/>
    <n v="4093"/>
    <n v="10"/>
    <n v="20465"/>
    <n v="2046.5"/>
    <n v="18418.5"/>
  </r>
  <r>
    <x v="115"/>
    <x v="107"/>
    <s v="CUST82294"/>
    <x v="1"/>
    <n v="23"/>
    <x v="3"/>
    <x v="4"/>
    <x v="5"/>
    <x v="1"/>
    <n v="6"/>
    <n v="1330"/>
    <n v="5"/>
    <n v="7980"/>
    <n v="399"/>
    <n v="7581"/>
  </r>
  <r>
    <x v="116"/>
    <x v="108"/>
    <s v="CUST13103"/>
    <x v="0"/>
    <n v="28"/>
    <x v="1"/>
    <x v="3"/>
    <x v="4"/>
    <x v="0"/>
    <n v="1"/>
    <n v="3898"/>
    <n v="15"/>
    <n v="3898"/>
    <n v="584.70000000000005"/>
    <n v="3313.3"/>
  </r>
  <r>
    <x v="117"/>
    <x v="109"/>
    <s v="CUST80540"/>
    <x v="0"/>
    <n v="39"/>
    <x v="2"/>
    <x v="4"/>
    <x v="5"/>
    <x v="3"/>
    <n v="3"/>
    <n v="1830"/>
    <n v="0"/>
    <n v="5490"/>
    <n v="0"/>
    <n v="5490"/>
  </r>
  <r>
    <x v="118"/>
    <x v="110"/>
    <s v="CUST72340"/>
    <x v="1"/>
    <n v="18"/>
    <x v="3"/>
    <x v="0"/>
    <x v="1"/>
    <x v="2"/>
    <n v="3"/>
    <n v="6044"/>
    <n v="0"/>
    <n v="18132"/>
    <n v="0"/>
    <n v="18132"/>
  </r>
  <r>
    <x v="119"/>
    <x v="111"/>
    <s v="CUST33044"/>
    <x v="0"/>
    <n v="63"/>
    <x v="0"/>
    <x v="5"/>
    <x v="0"/>
    <x v="0"/>
    <n v="6"/>
    <n v="397"/>
    <n v="15"/>
    <n v="2382"/>
    <n v="357.3"/>
    <n v="2024.7"/>
  </r>
  <r>
    <x v="120"/>
    <x v="112"/>
    <s v="CUST89291"/>
    <x v="1"/>
    <n v="23"/>
    <x v="3"/>
    <x v="3"/>
    <x v="4"/>
    <x v="0"/>
    <n v="3"/>
    <n v="6024"/>
    <n v="10"/>
    <n v="18072"/>
    <n v="1807.2"/>
    <n v="16264.8"/>
  </r>
  <r>
    <x v="121"/>
    <x v="76"/>
    <s v="CUST20516"/>
    <x v="0"/>
    <n v="24"/>
    <x v="3"/>
    <x v="0"/>
    <x v="0"/>
    <x v="3"/>
    <n v="5"/>
    <n v="5036"/>
    <n v="5"/>
    <n v="25180"/>
    <n v="1259"/>
    <n v="23921"/>
  </r>
  <r>
    <x v="122"/>
    <x v="113"/>
    <s v="CUST14345"/>
    <x v="1"/>
    <n v="28"/>
    <x v="1"/>
    <x v="5"/>
    <x v="5"/>
    <x v="4"/>
    <n v="5"/>
    <n v="929"/>
    <n v="0"/>
    <n v="4645"/>
    <n v="0"/>
    <n v="4645"/>
  </r>
  <r>
    <x v="123"/>
    <x v="45"/>
    <s v="CUST88252"/>
    <x v="1"/>
    <n v="41"/>
    <x v="2"/>
    <x v="4"/>
    <x v="3"/>
    <x v="1"/>
    <n v="2"/>
    <n v="3348"/>
    <n v="10"/>
    <n v="6696"/>
    <n v="669.6"/>
    <n v="6026.4"/>
  </r>
  <r>
    <x v="124"/>
    <x v="114"/>
    <s v="CUST44820"/>
    <x v="0"/>
    <n v="34"/>
    <x v="1"/>
    <x v="1"/>
    <x v="4"/>
    <x v="2"/>
    <n v="5"/>
    <n v="4576"/>
    <n v="20"/>
    <n v="22880"/>
    <n v="4576"/>
    <n v="18304"/>
  </r>
  <r>
    <x v="125"/>
    <x v="115"/>
    <s v="CUST19717"/>
    <x v="1"/>
    <n v="53"/>
    <x v="0"/>
    <x v="1"/>
    <x v="1"/>
    <x v="3"/>
    <n v="1"/>
    <n v="1686"/>
    <n v="0"/>
    <n v="1686"/>
    <n v="0"/>
    <n v="1686"/>
  </r>
  <r>
    <x v="126"/>
    <x v="116"/>
    <s v="CUST90895"/>
    <x v="0"/>
    <n v="29"/>
    <x v="1"/>
    <x v="4"/>
    <x v="0"/>
    <x v="4"/>
    <n v="4"/>
    <n v="2288"/>
    <n v="15"/>
    <n v="9152"/>
    <n v="1372.8"/>
    <n v="7779.2"/>
  </r>
  <r>
    <x v="127"/>
    <x v="117"/>
    <s v="CUST17270"/>
    <x v="1"/>
    <n v="49"/>
    <x v="0"/>
    <x v="0"/>
    <x v="0"/>
    <x v="0"/>
    <n v="1"/>
    <n v="879"/>
    <n v="15"/>
    <n v="879"/>
    <n v="131.85"/>
    <n v="747.15"/>
  </r>
  <r>
    <x v="128"/>
    <x v="118"/>
    <s v="CUST32134"/>
    <x v="1"/>
    <n v="28"/>
    <x v="1"/>
    <x v="4"/>
    <x v="1"/>
    <x v="0"/>
    <n v="6"/>
    <n v="2656"/>
    <n v="15"/>
    <n v="15936"/>
    <n v="2390.4"/>
    <n v="13545.6"/>
  </r>
  <r>
    <x v="129"/>
    <x v="119"/>
    <s v="CUST53819"/>
    <x v="1"/>
    <n v="43"/>
    <x v="2"/>
    <x v="3"/>
    <x v="0"/>
    <x v="0"/>
    <n v="1"/>
    <n v="2775"/>
    <n v="20"/>
    <n v="2775"/>
    <n v="555"/>
    <n v="2220"/>
  </r>
  <r>
    <x v="130"/>
    <x v="120"/>
    <s v="CUST94232"/>
    <x v="0"/>
    <n v="55"/>
    <x v="0"/>
    <x v="5"/>
    <x v="5"/>
    <x v="3"/>
    <n v="6"/>
    <n v="2237"/>
    <n v="0"/>
    <n v="13422"/>
    <n v="0"/>
    <n v="13422"/>
  </r>
  <r>
    <x v="131"/>
    <x v="121"/>
    <s v="CUST79754"/>
    <x v="1"/>
    <n v="49"/>
    <x v="0"/>
    <x v="3"/>
    <x v="5"/>
    <x v="1"/>
    <n v="1"/>
    <n v="2449"/>
    <n v="10"/>
    <n v="2449"/>
    <n v="244.9"/>
    <n v="2204.1"/>
  </r>
  <r>
    <x v="132"/>
    <x v="122"/>
    <s v="CUST43054"/>
    <x v="1"/>
    <n v="44"/>
    <x v="2"/>
    <x v="1"/>
    <x v="1"/>
    <x v="0"/>
    <n v="6"/>
    <n v="5214"/>
    <n v="5"/>
    <n v="31284"/>
    <n v="1564.2"/>
    <n v="29719.8"/>
  </r>
  <r>
    <x v="133"/>
    <x v="123"/>
    <s v="CUST56791"/>
    <x v="0"/>
    <n v="38"/>
    <x v="2"/>
    <x v="3"/>
    <x v="5"/>
    <x v="1"/>
    <n v="2"/>
    <n v="5465"/>
    <n v="0"/>
    <n v="10930"/>
    <n v="0"/>
    <n v="10930"/>
  </r>
  <r>
    <x v="134"/>
    <x v="124"/>
    <s v="CUST40173"/>
    <x v="1"/>
    <n v="33"/>
    <x v="1"/>
    <x v="5"/>
    <x v="0"/>
    <x v="0"/>
    <n v="7"/>
    <n v="2289"/>
    <n v="0"/>
    <n v="16023"/>
    <n v="0"/>
    <n v="16023"/>
  </r>
  <r>
    <x v="135"/>
    <x v="125"/>
    <s v="CUST89652"/>
    <x v="1"/>
    <n v="54"/>
    <x v="0"/>
    <x v="4"/>
    <x v="1"/>
    <x v="0"/>
    <n v="1"/>
    <n v="2008"/>
    <n v="0"/>
    <n v="2008"/>
    <n v="0"/>
    <n v="2008"/>
  </r>
  <r>
    <x v="136"/>
    <x v="55"/>
    <s v="CUST18170"/>
    <x v="0"/>
    <n v="24"/>
    <x v="3"/>
    <x v="0"/>
    <x v="1"/>
    <x v="3"/>
    <n v="6"/>
    <n v="6523"/>
    <n v="15"/>
    <n v="39138"/>
    <n v="5870.7"/>
    <n v="33267.300000000003"/>
  </r>
  <r>
    <x v="137"/>
    <x v="82"/>
    <s v="CUST32610"/>
    <x v="1"/>
    <n v="40"/>
    <x v="2"/>
    <x v="0"/>
    <x v="0"/>
    <x v="2"/>
    <n v="6"/>
    <n v="7656"/>
    <n v="5"/>
    <n v="45936"/>
    <n v="2296.8000000000002"/>
    <n v="43639.199999999997"/>
  </r>
  <r>
    <x v="138"/>
    <x v="126"/>
    <s v="CUST54041"/>
    <x v="0"/>
    <n v="36"/>
    <x v="2"/>
    <x v="1"/>
    <x v="3"/>
    <x v="4"/>
    <n v="3"/>
    <n v="177"/>
    <n v="0"/>
    <n v="531"/>
    <n v="0"/>
    <n v="531"/>
  </r>
  <r>
    <x v="139"/>
    <x v="127"/>
    <s v="CUST62946"/>
    <x v="0"/>
    <n v="42"/>
    <x v="2"/>
    <x v="2"/>
    <x v="5"/>
    <x v="2"/>
    <n v="1"/>
    <n v="5661"/>
    <n v="5"/>
    <n v="5661"/>
    <n v="283.05"/>
    <n v="5377.95"/>
  </r>
  <r>
    <x v="140"/>
    <x v="128"/>
    <s v="CUST48272"/>
    <x v="0"/>
    <n v="46"/>
    <x v="0"/>
    <x v="5"/>
    <x v="0"/>
    <x v="0"/>
    <n v="6"/>
    <n v="4028"/>
    <n v="0"/>
    <n v="24168"/>
    <n v="0"/>
    <n v="24168"/>
  </r>
  <r>
    <x v="141"/>
    <x v="129"/>
    <s v="CUST52175"/>
    <x v="1"/>
    <n v="51"/>
    <x v="0"/>
    <x v="4"/>
    <x v="1"/>
    <x v="1"/>
    <n v="1"/>
    <n v="7453"/>
    <n v="5"/>
    <n v="7453"/>
    <n v="372.65"/>
    <n v="7080.35"/>
  </r>
  <r>
    <x v="142"/>
    <x v="130"/>
    <s v="CUST59505"/>
    <x v="1"/>
    <n v="54"/>
    <x v="0"/>
    <x v="2"/>
    <x v="3"/>
    <x v="2"/>
    <n v="7"/>
    <n v="7561"/>
    <n v="10"/>
    <n v="52927"/>
    <n v="5292.7"/>
    <n v="47634.3"/>
  </r>
  <r>
    <x v="143"/>
    <x v="131"/>
    <s v="CUST14393"/>
    <x v="1"/>
    <n v="56"/>
    <x v="0"/>
    <x v="5"/>
    <x v="5"/>
    <x v="3"/>
    <n v="4"/>
    <n v="6238"/>
    <n v="15"/>
    <n v="24952"/>
    <n v="3742.8"/>
    <n v="21209.200000000001"/>
  </r>
  <r>
    <x v="144"/>
    <x v="132"/>
    <s v="CUST10014"/>
    <x v="1"/>
    <n v="24"/>
    <x v="3"/>
    <x v="3"/>
    <x v="0"/>
    <x v="4"/>
    <n v="6"/>
    <n v="6237"/>
    <n v="0"/>
    <n v="37422"/>
    <n v="0"/>
    <n v="37422"/>
  </r>
  <r>
    <x v="145"/>
    <x v="133"/>
    <s v="CUST66116"/>
    <x v="0"/>
    <n v="31"/>
    <x v="1"/>
    <x v="1"/>
    <x v="1"/>
    <x v="1"/>
    <n v="2"/>
    <n v="6082"/>
    <n v="0"/>
    <n v="12164"/>
    <n v="0"/>
    <n v="12164"/>
  </r>
  <r>
    <x v="146"/>
    <x v="134"/>
    <s v="CUST97913"/>
    <x v="0"/>
    <n v="23"/>
    <x v="3"/>
    <x v="0"/>
    <x v="0"/>
    <x v="3"/>
    <n v="5"/>
    <n v="6773"/>
    <n v="5"/>
    <n v="33865"/>
    <n v="1693.25"/>
    <n v="32171.75"/>
  </r>
  <r>
    <x v="147"/>
    <x v="135"/>
    <s v="CUST81308"/>
    <x v="1"/>
    <n v="36"/>
    <x v="2"/>
    <x v="3"/>
    <x v="0"/>
    <x v="1"/>
    <n v="5"/>
    <n v="1902"/>
    <n v="15"/>
    <n v="9510"/>
    <n v="1426.5"/>
    <n v="8083.5"/>
  </r>
  <r>
    <x v="148"/>
    <x v="28"/>
    <s v="CUST10447"/>
    <x v="0"/>
    <n v="41"/>
    <x v="2"/>
    <x v="1"/>
    <x v="5"/>
    <x v="4"/>
    <n v="6"/>
    <n v="2874"/>
    <n v="0"/>
    <n v="17244"/>
    <n v="0"/>
    <n v="17244"/>
  </r>
  <r>
    <x v="149"/>
    <x v="136"/>
    <s v="CUST53036"/>
    <x v="1"/>
    <n v="36"/>
    <x v="2"/>
    <x v="3"/>
    <x v="1"/>
    <x v="0"/>
    <n v="7"/>
    <n v="2103"/>
    <n v="15"/>
    <n v="14721"/>
    <n v="2208.15"/>
    <n v="12512.85"/>
  </r>
  <r>
    <x v="150"/>
    <x v="137"/>
    <s v="CUST50352"/>
    <x v="0"/>
    <n v="32"/>
    <x v="1"/>
    <x v="0"/>
    <x v="4"/>
    <x v="4"/>
    <n v="3"/>
    <n v="4249"/>
    <n v="15"/>
    <n v="12747"/>
    <n v="1912.05"/>
    <n v="10834.95"/>
  </r>
  <r>
    <x v="151"/>
    <x v="138"/>
    <s v="CUST45013"/>
    <x v="1"/>
    <n v="23"/>
    <x v="3"/>
    <x v="3"/>
    <x v="0"/>
    <x v="1"/>
    <n v="4"/>
    <n v="7928"/>
    <n v="5"/>
    <n v="31712"/>
    <n v="1585.6"/>
    <n v="30126.400000000001"/>
  </r>
  <r>
    <x v="152"/>
    <x v="132"/>
    <s v="CUST32692"/>
    <x v="1"/>
    <n v="49"/>
    <x v="0"/>
    <x v="5"/>
    <x v="4"/>
    <x v="3"/>
    <n v="5"/>
    <n v="5757"/>
    <n v="0"/>
    <n v="28785"/>
    <n v="0"/>
    <n v="28785"/>
  </r>
  <r>
    <x v="153"/>
    <x v="139"/>
    <s v="CUST61564"/>
    <x v="1"/>
    <n v="56"/>
    <x v="0"/>
    <x v="4"/>
    <x v="0"/>
    <x v="2"/>
    <n v="6"/>
    <n v="5837"/>
    <n v="0"/>
    <n v="35022"/>
    <n v="0"/>
    <n v="35022"/>
  </r>
  <r>
    <x v="154"/>
    <x v="140"/>
    <s v="CUST66156"/>
    <x v="1"/>
    <n v="21"/>
    <x v="3"/>
    <x v="0"/>
    <x v="2"/>
    <x v="0"/>
    <n v="7"/>
    <n v="7473"/>
    <n v="0"/>
    <n v="52311"/>
    <n v="0"/>
    <n v="52311"/>
  </r>
  <r>
    <x v="155"/>
    <x v="141"/>
    <s v="CUST34673"/>
    <x v="1"/>
    <n v="57"/>
    <x v="0"/>
    <x v="0"/>
    <x v="3"/>
    <x v="4"/>
    <n v="6"/>
    <n v="7387"/>
    <n v="5"/>
    <n v="44322"/>
    <n v="2216.1"/>
    <n v="42105.9"/>
  </r>
  <r>
    <x v="156"/>
    <x v="142"/>
    <s v="CUST13167"/>
    <x v="0"/>
    <n v="59"/>
    <x v="0"/>
    <x v="3"/>
    <x v="3"/>
    <x v="4"/>
    <n v="7"/>
    <n v="678"/>
    <n v="0"/>
    <n v="4746"/>
    <n v="0"/>
    <n v="4746"/>
  </r>
  <r>
    <x v="157"/>
    <x v="43"/>
    <s v="CUST21377"/>
    <x v="1"/>
    <n v="45"/>
    <x v="2"/>
    <x v="3"/>
    <x v="0"/>
    <x v="4"/>
    <n v="1"/>
    <n v="5316"/>
    <n v="15"/>
    <n v="5316"/>
    <n v="797.4"/>
    <n v="4518.6000000000004"/>
  </r>
  <r>
    <x v="158"/>
    <x v="81"/>
    <s v="CUST45715"/>
    <x v="0"/>
    <n v="47"/>
    <x v="0"/>
    <x v="4"/>
    <x v="4"/>
    <x v="4"/>
    <n v="4"/>
    <n v="1557"/>
    <n v="0"/>
    <n v="6228"/>
    <n v="0"/>
    <n v="6228"/>
  </r>
  <r>
    <x v="159"/>
    <x v="143"/>
    <s v="CUST98309"/>
    <x v="1"/>
    <n v="59"/>
    <x v="0"/>
    <x v="5"/>
    <x v="1"/>
    <x v="3"/>
    <n v="2"/>
    <n v="4744"/>
    <n v="5"/>
    <n v="9488"/>
    <n v="474.4"/>
    <n v="9013.6"/>
  </r>
  <r>
    <x v="160"/>
    <x v="144"/>
    <s v="CUST46048"/>
    <x v="1"/>
    <n v="51"/>
    <x v="0"/>
    <x v="3"/>
    <x v="2"/>
    <x v="1"/>
    <n v="1"/>
    <n v="5150"/>
    <n v="15"/>
    <n v="5150"/>
    <n v="772.5"/>
    <n v="4377.5"/>
  </r>
  <r>
    <x v="161"/>
    <x v="145"/>
    <s v="CUST32895"/>
    <x v="0"/>
    <n v="29"/>
    <x v="1"/>
    <x v="0"/>
    <x v="3"/>
    <x v="0"/>
    <n v="1"/>
    <n v="6656"/>
    <n v="0"/>
    <n v="6656"/>
    <n v="0"/>
    <n v="6656"/>
  </r>
  <r>
    <x v="162"/>
    <x v="146"/>
    <s v="CUST17189"/>
    <x v="0"/>
    <n v="59"/>
    <x v="0"/>
    <x v="5"/>
    <x v="2"/>
    <x v="4"/>
    <n v="5"/>
    <n v="3013"/>
    <n v="10"/>
    <n v="15065"/>
    <n v="1506.5"/>
    <n v="13558.5"/>
  </r>
  <r>
    <x v="163"/>
    <x v="147"/>
    <s v="CUST84307"/>
    <x v="0"/>
    <n v="60"/>
    <x v="0"/>
    <x v="1"/>
    <x v="1"/>
    <x v="0"/>
    <n v="3"/>
    <n v="1255"/>
    <n v="10"/>
    <n v="3765"/>
    <n v="376.5"/>
    <n v="3388.5"/>
  </r>
  <r>
    <x v="164"/>
    <x v="148"/>
    <s v="CUST38520"/>
    <x v="1"/>
    <n v="45"/>
    <x v="2"/>
    <x v="4"/>
    <x v="1"/>
    <x v="2"/>
    <n v="1"/>
    <n v="7310"/>
    <n v="10"/>
    <n v="7310"/>
    <n v="731"/>
    <n v="6579"/>
  </r>
  <r>
    <x v="165"/>
    <x v="149"/>
    <s v="CUST39141"/>
    <x v="1"/>
    <n v="46"/>
    <x v="0"/>
    <x v="0"/>
    <x v="3"/>
    <x v="3"/>
    <n v="5"/>
    <n v="6346"/>
    <n v="5"/>
    <n v="31730"/>
    <n v="1586.5"/>
    <n v="30143.5"/>
  </r>
  <r>
    <x v="166"/>
    <x v="126"/>
    <s v="CUST13206"/>
    <x v="0"/>
    <n v="32"/>
    <x v="1"/>
    <x v="1"/>
    <x v="1"/>
    <x v="4"/>
    <n v="4"/>
    <n v="6620"/>
    <n v="0"/>
    <n v="26480"/>
    <n v="0"/>
    <n v="26480"/>
  </r>
  <r>
    <x v="167"/>
    <x v="9"/>
    <s v="CUST74573"/>
    <x v="1"/>
    <n v="49"/>
    <x v="0"/>
    <x v="4"/>
    <x v="2"/>
    <x v="2"/>
    <n v="1"/>
    <n v="3410"/>
    <n v="10"/>
    <n v="3410"/>
    <n v="341"/>
    <n v="3069"/>
  </r>
  <r>
    <x v="168"/>
    <x v="148"/>
    <s v="CUST22883"/>
    <x v="0"/>
    <n v="34"/>
    <x v="1"/>
    <x v="0"/>
    <x v="0"/>
    <x v="3"/>
    <n v="1"/>
    <n v="2083"/>
    <n v="0"/>
    <n v="2083"/>
    <n v="0"/>
    <n v="2083"/>
  </r>
  <r>
    <x v="169"/>
    <x v="150"/>
    <s v="CUST67145"/>
    <x v="0"/>
    <n v="18"/>
    <x v="3"/>
    <x v="3"/>
    <x v="1"/>
    <x v="2"/>
    <n v="1"/>
    <n v="2454"/>
    <n v="20"/>
    <n v="2454"/>
    <n v="490.8"/>
    <n v="1963.2"/>
  </r>
  <r>
    <x v="170"/>
    <x v="31"/>
    <s v="CUST54160"/>
    <x v="0"/>
    <n v="45"/>
    <x v="2"/>
    <x v="4"/>
    <x v="0"/>
    <x v="1"/>
    <n v="4"/>
    <n v="6273"/>
    <n v="15"/>
    <n v="25092"/>
    <n v="3763.8"/>
    <n v="21328.2"/>
  </r>
  <r>
    <x v="171"/>
    <x v="151"/>
    <s v="CUST87915"/>
    <x v="1"/>
    <n v="19"/>
    <x v="3"/>
    <x v="5"/>
    <x v="4"/>
    <x v="4"/>
    <n v="7"/>
    <n v="638"/>
    <n v="15"/>
    <n v="4466"/>
    <n v="669.9"/>
    <n v="3796.1"/>
  </r>
  <r>
    <x v="172"/>
    <x v="28"/>
    <s v="CUST46112"/>
    <x v="1"/>
    <n v="42"/>
    <x v="2"/>
    <x v="4"/>
    <x v="0"/>
    <x v="0"/>
    <n v="5"/>
    <n v="2496"/>
    <n v="15"/>
    <n v="12480"/>
    <n v="1872"/>
    <n v="10608"/>
  </r>
  <r>
    <x v="173"/>
    <x v="140"/>
    <s v="CUST95604"/>
    <x v="1"/>
    <n v="63"/>
    <x v="0"/>
    <x v="5"/>
    <x v="0"/>
    <x v="1"/>
    <n v="1"/>
    <n v="2586"/>
    <n v="0"/>
    <n v="2586"/>
    <n v="0"/>
    <n v="2586"/>
  </r>
  <r>
    <x v="174"/>
    <x v="152"/>
    <s v="CUST26081"/>
    <x v="0"/>
    <n v="30"/>
    <x v="1"/>
    <x v="1"/>
    <x v="0"/>
    <x v="4"/>
    <n v="4"/>
    <n v="1022"/>
    <n v="0"/>
    <n v="4088"/>
    <n v="0"/>
    <n v="4088"/>
  </r>
  <r>
    <x v="175"/>
    <x v="153"/>
    <s v="CUST61667"/>
    <x v="1"/>
    <n v="21"/>
    <x v="3"/>
    <x v="4"/>
    <x v="0"/>
    <x v="1"/>
    <n v="7"/>
    <n v="7294"/>
    <n v="0"/>
    <n v="51058"/>
    <n v="0"/>
    <n v="51058"/>
  </r>
  <r>
    <x v="176"/>
    <x v="154"/>
    <s v="CUST79233"/>
    <x v="0"/>
    <n v="35"/>
    <x v="1"/>
    <x v="4"/>
    <x v="3"/>
    <x v="1"/>
    <n v="4"/>
    <n v="6866"/>
    <n v="0"/>
    <n v="27464"/>
    <n v="0"/>
    <n v="27464"/>
  </r>
  <r>
    <x v="177"/>
    <x v="155"/>
    <s v="CUST85595"/>
    <x v="0"/>
    <n v="57"/>
    <x v="0"/>
    <x v="4"/>
    <x v="2"/>
    <x v="3"/>
    <n v="5"/>
    <n v="6793"/>
    <n v="5"/>
    <n v="33965"/>
    <n v="1698.25"/>
    <n v="32266.75"/>
  </r>
  <r>
    <x v="178"/>
    <x v="156"/>
    <s v="CUST72739"/>
    <x v="1"/>
    <n v="61"/>
    <x v="0"/>
    <x v="1"/>
    <x v="0"/>
    <x v="4"/>
    <n v="1"/>
    <n v="6682"/>
    <n v="10"/>
    <n v="6682"/>
    <n v="668.2"/>
    <n v="6013.8"/>
  </r>
  <r>
    <x v="179"/>
    <x v="157"/>
    <s v="CUST73265"/>
    <x v="0"/>
    <n v="61"/>
    <x v="0"/>
    <x v="1"/>
    <x v="2"/>
    <x v="3"/>
    <n v="1"/>
    <n v="316"/>
    <n v="0"/>
    <n v="316"/>
    <n v="0"/>
    <n v="316"/>
  </r>
  <r>
    <x v="180"/>
    <x v="158"/>
    <s v="CUST72356"/>
    <x v="1"/>
    <n v="45"/>
    <x v="2"/>
    <x v="3"/>
    <x v="3"/>
    <x v="3"/>
    <n v="5"/>
    <n v="5133"/>
    <n v="10"/>
    <n v="25665"/>
    <n v="2566.5"/>
    <n v="23098.5"/>
  </r>
  <r>
    <x v="181"/>
    <x v="159"/>
    <s v="CUST55271"/>
    <x v="0"/>
    <n v="20"/>
    <x v="3"/>
    <x v="0"/>
    <x v="0"/>
    <x v="0"/>
    <n v="6"/>
    <n v="6235"/>
    <n v="15"/>
    <n v="37410"/>
    <n v="5611.5"/>
    <n v="31798.5"/>
  </r>
  <r>
    <x v="182"/>
    <x v="113"/>
    <s v="CUST22003"/>
    <x v="1"/>
    <n v="37"/>
    <x v="2"/>
    <x v="0"/>
    <x v="5"/>
    <x v="4"/>
    <n v="4"/>
    <n v="6819"/>
    <n v="20"/>
    <n v="27276"/>
    <n v="5455.2"/>
    <n v="21820.799999999999"/>
  </r>
  <r>
    <x v="183"/>
    <x v="147"/>
    <s v="CUST75565"/>
    <x v="0"/>
    <n v="25"/>
    <x v="3"/>
    <x v="1"/>
    <x v="1"/>
    <x v="3"/>
    <n v="3"/>
    <n v="1049"/>
    <n v="15"/>
    <n v="3147"/>
    <n v="472.05"/>
    <n v="2674.95"/>
  </r>
  <r>
    <x v="184"/>
    <x v="160"/>
    <s v="CUST64083"/>
    <x v="1"/>
    <n v="27"/>
    <x v="1"/>
    <x v="3"/>
    <x v="1"/>
    <x v="2"/>
    <n v="5"/>
    <n v="3151"/>
    <n v="10"/>
    <n v="15755"/>
    <n v="1575.5"/>
    <n v="14179.5"/>
  </r>
  <r>
    <x v="185"/>
    <x v="161"/>
    <s v="CUST71998"/>
    <x v="1"/>
    <n v="48"/>
    <x v="0"/>
    <x v="1"/>
    <x v="4"/>
    <x v="4"/>
    <n v="4"/>
    <n v="6742"/>
    <n v="0"/>
    <n v="26968"/>
    <n v="0"/>
    <n v="26968"/>
  </r>
  <r>
    <x v="186"/>
    <x v="162"/>
    <s v="CUST39357"/>
    <x v="1"/>
    <n v="32"/>
    <x v="1"/>
    <x v="0"/>
    <x v="4"/>
    <x v="2"/>
    <n v="4"/>
    <n v="5615"/>
    <n v="10"/>
    <n v="22460"/>
    <n v="2246"/>
    <n v="20214"/>
  </r>
  <r>
    <x v="187"/>
    <x v="163"/>
    <s v="CUST32685"/>
    <x v="1"/>
    <n v="19"/>
    <x v="3"/>
    <x v="5"/>
    <x v="4"/>
    <x v="0"/>
    <n v="4"/>
    <n v="957"/>
    <n v="5"/>
    <n v="3828"/>
    <n v="191.4"/>
    <n v="3636.6"/>
  </r>
  <r>
    <x v="188"/>
    <x v="164"/>
    <s v="CUST96190"/>
    <x v="1"/>
    <n v="29"/>
    <x v="1"/>
    <x v="5"/>
    <x v="1"/>
    <x v="3"/>
    <n v="7"/>
    <n v="1940"/>
    <n v="0"/>
    <n v="13580"/>
    <n v="0"/>
    <n v="13580"/>
  </r>
  <r>
    <x v="189"/>
    <x v="165"/>
    <s v="CUST72776"/>
    <x v="0"/>
    <n v="47"/>
    <x v="0"/>
    <x v="1"/>
    <x v="3"/>
    <x v="2"/>
    <n v="5"/>
    <n v="7454"/>
    <n v="0"/>
    <n v="37270"/>
    <n v="0"/>
    <n v="37270"/>
  </r>
  <r>
    <x v="190"/>
    <x v="166"/>
    <s v="CUST34958"/>
    <x v="0"/>
    <n v="27"/>
    <x v="1"/>
    <x v="1"/>
    <x v="5"/>
    <x v="3"/>
    <n v="7"/>
    <n v="2348"/>
    <n v="10"/>
    <n v="16436"/>
    <n v="1643.6"/>
    <n v="14792.4"/>
  </r>
  <r>
    <x v="191"/>
    <x v="167"/>
    <s v="CUST62393"/>
    <x v="1"/>
    <n v="47"/>
    <x v="0"/>
    <x v="2"/>
    <x v="3"/>
    <x v="4"/>
    <n v="1"/>
    <n v="7418"/>
    <n v="0"/>
    <n v="7418"/>
    <n v="0"/>
    <n v="7418"/>
  </r>
  <r>
    <x v="192"/>
    <x v="168"/>
    <s v="CUST61384"/>
    <x v="0"/>
    <n v="56"/>
    <x v="0"/>
    <x v="2"/>
    <x v="5"/>
    <x v="3"/>
    <n v="3"/>
    <n v="7049"/>
    <n v="0"/>
    <n v="21147"/>
    <n v="0"/>
    <n v="21147"/>
  </r>
  <r>
    <x v="193"/>
    <x v="169"/>
    <s v="CUST25445"/>
    <x v="0"/>
    <n v="49"/>
    <x v="0"/>
    <x v="0"/>
    <x v="3"/>
    <x v="4"/>
    <n v="1"/>
    <n v="6475"/>
    <n v="10"/>
    <n v="6475"/>
    <n v="647.5"/>
    <n v="5827.5"/>
  </r>
  <r>
    <x v="194"/>
    <x v="57"/>
    <s v="CUST96075"/>
    <x v="0"/>
    <n v="48"/>
    <x v="0"/>
    <x v="4"/>
    <x v="4"/>
    <x v="4"/>
    <n v="2"/>
    <n v="4214"/>
    <n v="10"/>
    <n v="8428"/>
    <n v="842.8"/>
    <n v="7585.2"/>
  </r>
  <r>
    <x v="195"/>
    <x v="170"/>
    <s v="CUST61254"/>
    <x v="1"/>
    <n v="25"/>
    <x v="3"/>
    <x v="2"/>
    <x v="0"/>
    <x v="3"/>
    <n v="1"/>
    <n v="2953"/>
    <n v="15"/>
    <n v="2953"/>
    <n v="442.95"/>
    <n v="2510.0500000000002"/>
  </r>
  <r>
    <x v="196"/>
    <x v="171"/>
    <s v="CUST85247"/>
    <x v="0"/>
    <n v="51"/>
    <x v="0"/>
    <x v="2"/>
    <x v="0"/>
    <x v="4"/>
    <n v="3"/>
    <n v="2308"/>
    <n v="0"/>
    <n v="6924"/>
    <n v="0"/>
    <n v="6924"/>
  </r>
  <r>
    <x v="197"/>
    <x v="172"/>
    <s v="CUST95681"/>
    <x v="0"/>
    <n v="50"/>
    <x v="0"/>
    <x v="0"/>
    <x v="1"/>
    <x v="3"/>
    <n v="1"/>
    <n v="6017"/>
    <n v="15"/>
    <n v="6017"/>
    <n v="902.55"/>
    <n v="5114.45"/>
  </r>
  <r>
    <x v="198"/>
    <x v="7"/>
    <s v="CUST37146"/>
    <x v="0"/>
    <n v="34"/>
    <x v="1"/>
    <x v="5"/>
    <x v="3"/>
    <x v="0"/>
    <n v="3"/>
    <n v="3786"/>
    <n v="0"/>
    <n v="11358"/>
    <n v="0"/>
    <n v="11358"/>
  </r>
  <r>
    <x v="199"/>
    <x v="173"/>
    <s v="CUST63919"/>
    <x v="1"/>
    <n v="36"/>
    <x v="2"/>
    <x v="3"/>
    <x v="5"/>
    <x v="1"/>
    <n v="7"/>
    <n v="6047"/>
    <n v="20"/>
    <n v="42329"/>
    <n v="8465.7999999999993"/>
    <n v="33863.199999999997"/>
  </r>
  <r>
    <x v="200"/>
    <x v="174"/>
    <s v="CUST28306"/>
    <x v="1"/>
    <n v="36"/>
    <x v="2"/>
    <x v="1"/>
    <x v="2"/>
    <x v="1"/>
    <n v="2"/>
    <n v="3579"/>
    <n v="5"/>
    <n v="7158"/>
    <n v="357.9"/>
    <n v="6800.1"/>
  </r>
  <r>
    <x v="201"/>
    <x v="175"/>
    <s v="CUST71700"/>
    <x v="1"/>
    <n v="19"/>
    <x v="3"/>
    <x v="5"/>
    <x v="1"/>
    <x v="1"/>
    <n v="1"/>
    <n v="5090"/>
    <n v="5"/>
    <n v="5090"/>
    <n v="254.5"/>
    <n v="4835.5"/>
  </r>
  <r>
    <x v="202"/>
    <x v="176"/>
    <s v="CUST79709"/>
    <x v="1"/>
    <n v="20"/>
    <x v="3"/>
    <x v="0"/>
    <x v="1"/>
    <x v="3"/>
    <n v="2"/>
    <n v="1066"/>
    <n v="0"/>
    <n v="2132"/>
    <n v="0"/>
    <n v="2132"/>
  </r>
  <r>
    <x v="203"/>
    <x v="177"/>
    <s v="CUST65220"/>
    <x v="0"/>
    <n v="48"/>
    <x v="0"/>
    <x v="2"/>
    <x v="2"/>
    <x v="4"/>
    <n v="6"/>
    <n v="1094"/>
    <n v="0"/>
    <n v="6564"/>
    <n v="0"/>
    <n v="6564"/>
  </r>
  <r>
    <x v="204"/>
    <x v="178"/>
    <s v="CUST36861"/>
    <x v="1"/>
    <n v="27"/>
    <x v="1"/>
    <x v="1"/>
    <x v="5"/>
    <x v="1"/>
    <n v="3"/>
    <n v="1407"/>
    <n v="15"/>
    <n v="4221"/>
    <n v="633.15"/>
    <n v="3587.85"/>
  </r>
  <r>
    <x v="205"/>
    <x v="50"/>
    <s v="CUST81961"/>
    <x v="0"/>
    <n v="46"/>
    <x v="0"/>
    <x v="3"/>
    <x v="4"/>
    <x v="2"/>
    <n v="2"/>
    <n v="1447"/>
    <n v="10"/>
    <n v="2894"/>
    <n v="289.39999999999998"/>
    <n v="2604.6"/>
  </r>
  <r>
    <x v="206"/>
    <x v="24"/>
    <s v="CUST53323"/>
    <x v="1"/>
    <n v="59"/>
    <x v="0"/>
    <x v="2"/>
    <x v="0"/>
    <x v="0"/>
    <n v="1"/>
    <n v="2942"/>
    <n v="0"/>
    <n v="2942"/>
    <n v="0"/>
    <n v="2942"/>
  </r>
  <r>
    <x v="207"/>
    <x v="179"/>
    <s v="CUST92337"/>
    <x v="1"/>
    <n v="41"/>
    <x v="2"/>
    <x v="5"/>
    <x v="2"/>
    <x v="1"/>
    <n v="1"/>
    <n v="7687"/>
    <n v="5"/>
    <n v="7687"/>
    <n v="384.35"/>
    <n v="7302.65"/>
  </r>
  <r>
    <x v="208"/>
    <x v="180"/>
    <s v="CUST58915"/>
    <x v="1"/>
    <n v="37"/>
    <x v="2"/>
    <x v="5"/>
    <x v="2"/>
    <x v="0"/>
    <n v="4"/>
    <n v="6444"/>
    <n v="0"/>
    <n v="25776"/>
    <n v="0"/>
    <n v="25776"/>
  </r>
  <r>
    <x v="209"/>
    <x v="181"/>
    <s v="CUST14136"/>
    <x v="0"/>
    <n v="51"/>
    <x v="0"/>
    <x v="0"/>
    <x v="5"/>
    <x v="2"/>
    <n v="4"/>
    <n v="1451"/>
    <n v="0"/>
    <n v="5804"/>
    <n v="0"/>
    <n v="5804"/>
  </r>
  <r>
    <x v="210"/>
    <x v="182"/>
    <s v="CUST67190"/>
    <x v="0"/>
    <n v="43"/>
    <x v="2"/>
    <x v="4"/>
    <x v="2"/>
    <x v="3"/>
    <n v="2"/>
    <n v="2862"/>
    <n v="0"/>
    <n v="5724"/>
    <n v="0"/>
    <n v="5724"/>
  </r>
  <r>
    <x v="211"/>
    <x v="183"/>
    <s v="CUST38428"/>
    <x v="1"/>
    <n v="28"/>
    <x v="1"/>
    <x v="4"/>
    <x v="5"/>
    <x v="0"/>
    <n v="3"/>
    <n v="7417"/>
    <n v="15"/>
    <n v="22251"/>
    <n v="3337.65"/>
    <n v="18913.349999999999"/>
  </r>
  <r>
    <x v="212"/>
    <x v="184"/>
    <s v="CUST53007"/>
    <x v="1"/>
    <n v="56"/>
    <x v="0"/>
    <x v="0"/>
    <x v="5"/>
    <x v="0"/>
    <n v="4"/>
    <n v="1346"/>
    <n v="10"/>
    <n v="5384"/>
    <n v="538.4"/>
    <n v="4845.6000000000004"/>
  </r>
  <r>
    <x v="213"/>
    <x v="185"/>
    <s v="CUST58912"/>
    <x v="1"/>
    <n v="31"/>
    <x v="1"/>
    <x v="0"/>
    <x v="0"/>
    <x v="0"/>
    <n v="4"/>
    <n v="2000"/>
    <n v="0"/>
    <n v="8000"/>
    <n v="0"/>
    <n v="8000"/>
  </r>
  <r>
    <x v="214"/>
    <x v="186"/>
    <s v="CUST81741"/>
    <x v="1"/>
    <n v="39"/>
    <x v="2"/>
    <x v="1"/>
    <x v="5"/>
    <x v="1"/>
    <n v="7"/>
    <n v="5982"/>
    <n v="0"/>
    <n v="41874"/>
    <n v="0"/>
    <n v="41874"/>
  </r>
  <r>
    <x v="215"/>
    <x v="187"/>
    <s v="CUST53836"/>
    <x v="0"/>
    <n v="33"/>
    <x v="1"/>
    <x v="5"/>
    <x v="0"/>
    <x v="3"/>
    <n v="5"/>
    <n v="2208"/>
    <n v="0"/>
    <n v="11040"/>
    <n v="0"/>
    <n v="11040"/>
  </r>
  <r>
    <x v="216"/>
    <x v="188"/>
    <s v="CUST91546"/>
    <x v="0"/>
    <n v="34"/>
    <x v="1"/>
    <x v="3"/>
    <x v="3"/>
    <x v="3"/>
    <n v="2"/>
    <n v="178"/>
    <n v="5"/>
    <n v="356"/>
    <n v="17.8"/>
    <n v="338.2"/>
  </r>
  <r>
    <x v="217"/>
    <x v="189"/>
    <s v="CUST33617"/>
    <x v="1"/>
    <n v="56"/>
    <x v="0"/>
    <x v="0"/>
    <x v="1"/>
    <x v="2"/>
    <n v="5"/>
    <n v="2803"/>
    <n v="0"/>
    <n v="14015"/>
    <n v="0"/>
    <n v="14015"/>
  </r>
  <r>
    <x v="218"/>
    <x v="190"/>
    <s v="CUST31475"/>
    <x v="0"/>
    <n v="38"/>
    <x v="2"/>
    <x v="1"/>
    <x v="1"/>
    <x v="2"/>
    <n v="4"/>
    <n v="1877"/>
    <n v="0"/>
    <n v="7508"/>
    <n v="0"/>
    <n v="7508"/>
  </r>
  <r>
    <x v="219"/>
    <x v="191"/>
    <s v="CUST24889"/>
    <x v="0"/>
    <n v="37"/>
    <x v="2"/>
    <x v="1"/>
    <x v="1"/>
    <x v="2"/>
    <n v="2"/>
    <n v="6876"/>
    <n v="5"/>
    <n v="13752"/>
    <n v="687.6"/>
    <n v="13064.4"/>
  </r>
  <r>
    <x v="220"/>
    <x v="118"/>
    <s v="CUST28480"/>
    <x v="0"/>
    <n v="23"/>
    <x v="3"/>
    <x v="3"/>
    <x v="0"/>
    <x v="1"/>
    <n v="5"/>
    <n v="1936"/>
    <n v="5"/>
    <n v="9680"/>
    <n v="484"/>
    <n v="9196"/>
  </r>
  <r>
    <x v="221"/>
    <x v="13"/>
    <s v="CUST40489"/>
    <x v="0"/>
    <n v="47"/>
    <x v="0"/>
    <x v="5"/>
    <x v="0"/>
    <x v="3"/>
    <n v="1"/>
    <n v="4793"/>
    <n v="0"/>
    <n v="4793"/>
    <n v="0"/>
    <n v="4793"/>
  </r>
  <r>
    <x v="222"/>
    <x v="192"/>
    <s v="CUST94400"/>
    <x v="1"/>
    <n v="62"/>
    <x v="0"/>
    <x v="5"/>
    <x v="2"/>
    <x v="2"/>
    <n v="6"/>
    <n v="7422"/>
    <n v="10"/>
    <n v="44532"/>
    <n v="4453.2"/>
    <n v="40078.800000000003"/>
  </r>
  <r>
    <x v="223"/>
    <x v="165"/>
    <s v="CUST93268"/>
    <x v="0"/>
    <n v="22"/>
    <x v="3"/>
    <x v="0"/>
    <x v="2"/>
    <x v="2"/>
    <n v="7"/>
    <n v="4159"/>
    <n v="15"/>
    <n v="29113"/>
    <n v="4366.95"/>
    <n v="24746.05"/>
  </r>
  <r>
    <x v="224"/>
    <x v="97"/>
    <s v="CUST51025"/>
    <x v="0"/>
    <n v="44"/>
    <x v="2"/>
    <x v="5"/>
    <x v="1"/>
    <x v="3"/>
    <n v="6"/>
    <n v="7205"/>
    <n v="0"/>
    <n v="43230"/>
    <n v="0"/>
    <n v="43230"/>
  </r>
  <r>
    <x v="225"/>
    <x v="53"/>
    <s v="CUST43555"/>
    <x v="1"/>
    <n v="45"/>
    <x v="2"/>
    <x v="2"/>
    <x v="4"/>
    <x v="0"/>
    <n v="4"/>
    <n v="1106"/>
    <n v="0"/>
    <n v="4424"/>
    <n v="0"/>
    <n v="4424"/>
  </r>
  <r>
    <x v="226"/>
    <x v="99"/>
    <s v="CUST66731"/>
    <x v="0"/>
    <n v="27"/>
    <x v="1"/>
    <x v="4"/>
    <x v="0"/>
    <x v="2"/>
    <n v="3"/>
    <n v="3041"/>
    <n v="0"/>
    <n v="9123"/>
    <n v="0"/>
    <n v="9123"/>
  </r>
  <r>
    <x v="227"/>
    <x v="193"/>
    <s v="CUST12230"/>
    <x v="1"/>
    <n v="40"/>
    <x v="2"/>
    <x v="5"/>
    <x v="2"/>
    <x v="0"/>
    <n v="4"/>
    <n v="3332"/>
    <n v="0"/>
    <n v="13328"/>
    <n v="0"/>
    <n v="13328"/>
  </r>
  <r>
    <x v="228"/>
    <x v="178"/>
    <s v="CUST47331"/>
    <x v="1"/>
    <n v="45"/>
    <x v="2"/>
    <x v="0"/>
    <x v="1"/>
    <x v="2"/>
    <n v="4"/>
    <n v="7113"/>
    <n v="15"/>
    <n v="28452"/>
    <n v="4267.8"/>
    <n v="24184.2"/>
  </r>
  <r>
    <x v="229"/>
    <x v="194"/>
    <s v="CUST90776"/>
    <x v="1"/>
    <n v="61"/>
    <x v="0"/>
    <x v="1"/>
    <x v="1"/>
    <x v="4"/>
    <n v="4"/>
    <n v="7511"/>
    <n v="0"/>
    <n v="30044"/>
    <n v="0"/>
    <n v="30044"/>
  </r>
  <r>
    <x v="230"/>
    <x v="195"/>
    <s v="CUST42525"/>
    <x v="1"/>
    <n v="54"/>
    <x v="0"/>
    <x v="3"/>
    <x v="2"/>
    <x v="0"/>
    <n v="7"/>
    <n v="5582"/>
    <n v="0"/>
    <n v="39074"/>
    <n v="0"/>
    <n v="39074"/>
  </r>
  <r>
    <x v="231"/>
    <x v="163"/>
    <s v="CUST38478"/>
    <x v="1"/>
    <n v="63"/>
    <x v="0"/>
    <x v="5"/>
    <x v="2"/>
    <x v="0"/>
    <n v="3"/>
    <n v="5288"/>
    <n v="10"/>
    <n v="15864"/>
    <n v="1586.4"/>
    <n v="14277.6"/>
  </r>
  <r>
    <x v="232"/>
    <x v="5"/>
    <s v="CUST59616"/>
    <x v="1"/>
    <n v="41"/>
    <x v="2"/>
    <x v="5"/>
    <x v="0"/>
    <x v="4"/>
    <n v="7"/>
    <n v="7090"/>
    <n v="10"/>
    <n v="49630"/>
    <n v="4963"/>
    <n v="44667"/>
  </r>
  <r>
    <x v="233"/>
    <x v="196"/>
    <s v="CUST35013"/>
    <x v="0"/>
    <n v="21"/>
    <x v="3"/>
    <x v="1"/>
    <x v="1"/>
    <x v="0"/>
    <n v="6"/>
    <n v="2138"/>
    <n v="10"/>
    <n v="12828"/>
    <n v="1282.8"/>
    <n v="11545.2"/>
  </r>
  <r>
    <x v="234"/>
    <x v="197"/>
    <s v="CUST42654"/>
    <x v="0"/>
    <n v="52"/>
    <x v="0"/>
    <x v="1"/>
    <x v="3"/>
    <x v="2"/>
    <n v="2"/>
    <n v="6040"/>
    <n v="20"/>
    <n v="12080"/>
    <n v="2416"/>
    <n v="9664"/>
  </r>
  <r>
    <x v="235"/>
    <x v="198"/>
    <s v="CUST58009"/>
    <x v="0"/>
    <n v="32"/>
    <x v="1"/>
    <x v="5"/>
    <x v="5"/>
    <x v="0"/>
    <n v="4"/>
    <n v="4891"/>
    <n v="15"/>
    <n v="19564"/>
    <n v="2934.6"/>
    <n v="16629.400000000001"/>
  </r>
  <r>
    <x v="236"/>
    <x v="199"/>
    <s v="CUST83179"/>
    <x v="0"/>
    <n v="44"/>
    <x v="2"/>
    <x v="2"/>
    <x v="0"/>
    <x v="4"/>
    <n v="4"/>
    <n v="7827"/>
    <n v="10"/>
    <n v="31308"/>
    <n v="3130.8"/>
    <n v="28177.200000000001"/>
  </r>
  <r>
    <x v="237"/>
    <x v="200"/>
    <s v="CUST34475"/>
    <x v="0"/>
    <n v="36"/>
    <x v="2"/>
    <x v="3"/>
    <x v="4"/>
    <x v="2"/>
    <n v="6"/>
    <n v="6545"/>
    <n v="0"/>
    <n v="39270"/>
    <n v="0"/>
    <n v="39270"/>
  </r>
  <r>
    <x v="238"/>
    <x v="192"/>
    <s v="CUST45090"/>
    <x v="1"/>
    <n v="64"/>
    <x v="0"/>
    <x v="3"/>
    <x v="0"/>
    <x v="4"/>
    <n v="5"/>
    <n v="2444"/>
    <n v="15"/>
    <n v="12220"/>
    <n v="1833"/>
    <n v="10387"/>
  </r>
  <r>
    <x v="239"/>
    <x v="201"/>
    <s v="CUST75392"/>
    <x v="0"/>
    <n v="36"/>
    <x v="2"/>
    <x v="1"/>
    <x v="1"/>
    <x v="3"/>
    <n v="2"/>
    <n v="2750"/>
    <n v="10"/>
    <n v="5500"/>
    <n v="550"/>
    <n v="4950"/>
  </r>
  <r>
    <x v="240"/>
    <x v="61"/>
    <s v="CUST88001"/>
    <x v="0"/>
    <n v="49"/>
    <x v="0"/>
    <x v="4"/>
    <x v="1"/>
    <x v="3"/>
    <n v="2"/>
    <n v="7067"/>
    <n v="0"/>
    <n v="14134"/>
    <n v="0"/>
    <n v="14134"/>
  </r>
  <r>
    <x v="241"/>
    <x v="129"/>
    <s v="CUST22709"/>
    <x v="0"/>
    <n v="33"/>
    <x v="1"/>
    <x v="4"/>
    <x v="3"/>
    <x v="0"/>
    <n v="3"/>
    <n v="3354"/>
    <n v="15"/>
    <n v="10062"/>
    <n v="1509.3"/>
    <n v="8552.7000000000007"/>
  </r>
  <r>
    <x v="242"/>
    <x v="16"/>
    <s v="CUST92391"/>
    <x v="1"/>
    <n v="41"/>
    <x v="2"/>
    <x v="4"/>
    <x v="3"/>
    <x v="3"/>
    <n v="1"/>
    <n v="1844"/>
    <n v="0"/>
    <n v="1844"/>
    <n v="0"/>
    <n v="1844"/>
  </r>
  <r>
    <x v="243"/>
    <x v="140"/>
    <s v="CUST31974"/>
    <x v="0"/>
    <n v="42"/>
    <x v="2"/>
    <x v="2"/>
    <x v="2"/>
    <x v="0"/>
    <n v="3"/>
    <n v="2417"/>
    <n v="0"/>
    <n v="7251"/>
    <n v="0"/>
    <n v="7251"/>
  </r>
  <r>
    <x v="244"/>
    <x v="202"/>
    <s v="CUST25392"/>
    <x v="1"/>
    <n v="31"/>
    <x v="1"/>
    <x v="5"/>
    <x v="4"/>
    <x v="1"/>
    <n v="2"/>
    <n v="5289"/>
    <n v="5"/>
    <n v="10578"/>
    <n v="528.9"/>
    <n v="10049.1"/>
  </r>
  <r>
    <x v="245"/>
    <x v="203"/>
    <s v="CUST50674"/>
    <x v="1"/>
    <n v="59"/>
    <x v="0"/>
    <x v="5"/>
    <x v="1"/>
    <x v="3"/>
    <n v="4"/>
    <n v="6773"/>
    <n v="20"/>
    <n v="27092"/>
    <n v="5418.4"/>
    <n v="21673.599999999999"/>
  </r>
  <r>
    <x v="246"/>
    <x v="204"/>
    <s v="CUST51440"/>
    <x v="0"/>
    <n v="41"/>
    <x v="2"/>
    <x v="3"/>
    <x v="2"/>
    <x v="0"/>
    <n v="1"/>
    <n v="4594"/>
    <n v="0"/>
    <n v="4594"/>
    <n v="0"/>
    <n v="4594"/>
  </r>
  <r>
    <x v="247"/>
    <x v="205"/>
    <s v="CUST42775"/>
    <x v="1"/>
    <n v="51"/>
    <x v="0"/>
    <x v="1"/>
    <x v="1"/>
    <x v="4"/>
    <n v="3"/>
    <n v="3808"/>
    <n v="20"/>
    <n v="11424"/>
    <n v="2284.8000000000002"/>
    <n v="9139.2000000000007"/>
  </r>
  <r>
    <x v="248"/>
    <x v="183"/>
    <s v="CUST43821"/>
    <x v="0"/>
    <n v="63"/>
    <x v="0"/>
    <x v="1"/>
    <x v="0"/>
    <x v="1"/>
    <n v="5"/>
    <n v="1991"/>
    <n v="5"/>
    <n v="9955"/>
    <n v="497.75"/>
    <n v="9457.25"/>
  </r>
  <r>
    <x v="249"/>
    <x v="127"/>
    <s v="CUST47503"/>
    <x v="1"/>
    <n v="55"/>
    <x v="0"/>
    <x v="0"/>
    <x v="5"/>
    <x v="3"/>
    <n v="6"/>
    <n v="6580"/>
    <n v="0"/>
    <n v="39480"/>
    <n v="0"/>
    <n v="39480"/>
  </r>
  <r>
    <x v="250"/>
    <x v="43"/>
    <s v="CUST44095"/>
    <x v="1"/>
    <n v="29"/>
    <x v="1"/>
    <x v="5"/>
    <x v="4"/>
    <x v="0"/>
    <n v="2"/>
    <n v="4593"/>
    <n v="10"/>
    <n v="9186"/>
    <n v="918.6"/>
    <n v="8267.4"/>
  </r>
  <r>
    <x v="251"/>
    <x v="206"/>
    <s v="CUST94554"/>
    <x v="0"/>
    <n v="55"/>
    <x v="0"/>
    <x v="3"/>
    <x v="0"/>
    <x v="4"/>
    <n v="5"/>
    <n v="2965"/>
    <n v="15"/>
    <n v="14825"/>
    <n v="2223.75"/>
    <n v="12601.25"/>
  </r>
  <r>
    <x v="252"/>
    <x v="207"/>
    <s v="CUST33282"/>
    <x v="0"/>
    <n v="57"/>
    <x v="0"/>
    <x v="4"/>
    <x v="3"/>
    <x v="2"/>
    <n v="6"/>
    <n v="6507"/>
    <n v="0"/>
    <n v="39042"/>
    <n v="0"/>
    <n v="39042"/>
  </r>
  <r>
    <x v="253"/>
    <x v="208"/>
    <s v="CUST80387"/>
    <x v="1"/>
    <n v="52"/>
    <x v="0"/>
    <x v="5"/>
    <x v="2"/>
    <x v="2"/>
    <n v="5"/>
    <n v="1890"/>
    <n v="20"/>
    <n v="9450"/>
    <n v="1890"/>
    <n v="7560"/>
  </r>
  <r>
    <x v="254"/>
    <x v="209"/>
    <s v="CUST44584"/>
    <x v="0"/>
    <n v="20"/>
    <x v="3"/>
    <x v="0"/>
    <x v="4"/>
    <x v="2"/>
    <n v="3"/>
    <n v="7850"/>
    <n v="15"/>
    <n v="23550"/>
    <n v="3532.5"/>
    <n v="20017.5"/>
  </r>
  <r>
    <x v="255"/>
    <x v="210"/>
    <s v="CUST23923"/>
    <x v="1"/>
    <n v="61"/>
    <x v="0"/>
    <x v="5"/>
    <x v="0"/>
    <x v="0"/>
    <n v="1"/>
    <n v="658"/>
    <n v="0"/>
    <n v="658"/>
    <n v="0"/>
    <n v="658"/>
  </r>
  <r>
    <x v="256"/>
    <x v="211"/>
    <s v="CUST71991"/>
    <x v="0"/>
    <n v="32"/>
    <x v="1"/>
    <x v="0"/>
    <x v="2"/>
    <x v="4"/>
    <n v="7"/>
    <n v="825"/>
    <n v="15"/>
    <n v="5775"/>
    <n v="866.25"/>
    <n v="4908.75"/>
  </r>
  <r>
    <x v="257"/>
    <x v="212"/>
    <s v="CUST83982"/>
    <x v="0"/>
    <n v="23"/>
    <x v="3"/>
    <x v="2"/>
    <x v="4"/>
    <x v="4"/>
    <n v="4"/>
    <n v="300"/>
    <n v="0"/>
    <n v="1200"/>
    <n v="0"/>
    <n v="1200"/>
  </r>
  <r>
    <x v="258"/>
    <x v="213"/>
    <s v="CUST97976"/>
    <x v="0"/>
    <n v="50"/>
    <x v="0"/>
    <x v="5"/>
    <x v="2"/>
    <x v="2"/>
    <n v="7"/>
    <n v="6683"/>
    <n v="0"/>
    <n v="46781"/>
    <n v="0"/>
    <n v="46781"/>
  </r>
  <r>
    <x v="259"/>
    <x v="214"/>
    <s v="CUST21403"/>
    <x v="1"/>
    <n v="54"/>
    <x v="0"/>
    <x v="3"/>
    <x v="0"/>
    <x v="3"/>
    <n v="6"/>
    <n v="985"/>
    <n v="5"/>
    <n v="5910"/>
    <n v="295.5"/>
    <n v="5614.5"/>
  </r>
  <r>
    <x v="260"/>
    <x v="215"/>
    <s v="CUST93570"/>
    <x v="0"/>
    <n v="47"/>
    <x v="0"/>
    <x v="5"/>
    <x v="3"/>
    <x v="3"/>
    <n v="2"/>
    <n v="4163"/>
    <n v="0"/>
    <n v="8326"/>
    <n v="0"/>
    <n v="8326"/>
  </r>
  <r>
    <x v="261"/>
    <x v="216"/>
    <s v="CUST21237"/>
    <x v="0"/>
    <n v="60"/>
    <x v="0"/>
    <x v="0"/>
    <x v="1"/>
    <x v="4"/>
    <n v="4"/>
    <n v="3099"/>
    <n v="10"/>
    <n v="12396"/>
    <n v="1239.5999999999999"/>
    <n v="11156.4"/>
  </r>
  <r>
    <x v="262"/>
    <x v="217"/>
    <s v="CUST81518"/>
    <x v="1"/>
    <n v="64"/>
    <x v="0"/>
    <x v="4"/>
    <x v="4"/>
    <x v="1"/>
    <n v="3"/>
    <n v="803"/>
    <n v="10"/>
    <n v="2409"/>
    <n v="240.9"/>
    <n v="2168.1"/>
  </r>
  <r>
    <x v="263"/>
    <x v="82"/>
    <s v="CUST98523"/>
    <x v="0"/>
    <n v="45"/>
    <x v="2"/>
    <x v="4"/>
    <x v="1"/>
    <x v="2"/>
    <n v="7"/>
    <n v="7851"/>
    <n v="5"/>
    <n v="54957"/>
    <n v="2747.85"/>
    <n v="52209.15"/>
  </r>
  <r>
    <x v="264"/>
    <x v="24"/>
    <s v="CUST30446"/>
    <x v="0"/>
    <n v="54"/>
    <x v="0"/>
    <x v="0"/>
    <x v="2"/>
    <x v="0"/>
    <n v="4"/>
    <n v="5531"/>
    <n v="15"/>
    <n v="22124"/>
    <n v="3318.6"/>
    <n v="18805.400000000001"/>
  </r>
  <r>
    <x v="265"/>
    <x v="218"/>
    <s v="CUST50921"/>
    <x v="1"/>
    <n v="27"/>
    <x v="1"/>
    <x v="4"/>
    <x v="1"/>
    <x v="3"/>
    <n v="2"/>
    <n v="6207"/>
    <n v="0"/>
    <n v="12414"/>
    <n v="0"/>
    <n v="12414"/>
  </r>
  <r>
    <x v="266"/>
    <x v="79"/>
    <s v="CUST31075"/>
    <x v="1"/>
    <n v="59"/>
    <x v="0"/>
    <x v="5"/>
    <x v="5"/>
    <x v="1"/>
    <n v="1"/>
    <n v="7225"/>
    <n v="0"/>
    <n v="7225"/>
    <n v="0"/>
    <n v="7225"/>
  </r>
  <r>
    <x v="267"/>
    <x v="219"/>
    <s v="CUST74097"/>
    <x v="1"/>
    <n v="64"/>
    <x v="0"/>
    <x v="1"/>
    <x v="2"/>
    <x v="0"/>
    <n v="6"/>
    <n v="3792"/>
    <n v="0"/>
    <n v="22752"/>
    <n v="0"/>
    <n v="22752"/>
  </r>
  <r>
    <x v="268"/>
    <x v="220"/>
    <s v="CUST64836"/>
    <x v="0"/>
    <n v="36"/>
    <x v="2"/>
    <x v="4"/>
    <x v="0"/>
    <x v="1"/>
    <n v="5"/>
    <n v="7899"/>
    <n v="5"/>
    <n v="39495"/>
    <n v="1974.75"/>
    <n v="37520.25"/>
  </r>
  <r>
    <x v="269"/>
    <x v="215"/>
    <s v="CUST72013"/>
    <x v="0"/>
    <n v="36"/>
    <x v="2"/>
    <x v="1"/>
    <x v="0"/>
    <x v="0"/>
    <n v="1"/>
    <n v="1473"/>
    <n v="0"/>
    <n v="1473"/>
    <n v="0"/>
    <n v="1473"/>
  </r>
  <r>
    <x v="270"/>
    <x v="55"/>
    <s v="CUST39054"/>
    <x v="1"/>
    <n v="46"/>
    <x v="0"/>
    <x v="2"/>
    <x v="1"/>
    <x v="1"/>
    <n v="4"/>
    <n v="6980"/>
    <n v="15"/>
    <n v="27920"/>
    <n v="4188"/>
    <n v="23732"/>
  </r>
  <r>
    <x v="271"/>
    <x v="221"/>
    <s v="CUST69603"/>
    <x v="1"/>
    <n v="61"/>
    <x v="0"/>
    <x v="0"/>
    <x v="2"/>
    <x v="0"/>
    <n v="2"/>
    <n v="7038"/>
    <n v="0"/>
    <n v="14076"/>
    <n v="0"/>
    <n v="14076"/>
  </r>
  <r>
    <x v="272"/>
    <x v="214"/>
    <s v="CUST61377"/>
    <x v="1"/>
    <n v="54"/>
    <x v="0"/>
    <x v="3"/>
    <x v="2"/>
    <x v="2"/>
    <n v="3"/>
    <n v="4666"/>
    <n v="5"/>
    <n v="13998"/>
    <n v="699.9"/>
    <n v="13298.1"/>
  </r>
  <r>
    <x v="273"/>
    <x v="222"/>
    <s v="CUST53162"/>
    <x v="0"/>
    <n v="49"/>
    <x v="0"/>
    <x v="0"/>
    <x v="4"/>
    <x v="3"/>
    <n v="4"/>
    <n v="5360"/>
    <n v="0"/>
    <n v="21440"/>
    <n v="0"/>
    <n v="21440"/>
  </r>
  <r>
    <x v="274"/>
    <x v="135"/>
    <s v="CUST81424"/>
    <x v="1"/>
    <n v="58"/>
    <x v="0"/>
    <x v="1"/>
    <x v="3"/>
    <x v="1"/>
    <n v="3"/>
    <n v="1353"/>
    <n v="15"/>
    <n v="4059"/>
    <n v="608.85"/>
    <n v="3450.15"/>
  </r>
  <r>
    <x v="275"/>
    <x v="117"/>
    <s v="CUST31002"/>
    <x v="0"/>
    <n v="35"/>
    <x v="1"/>
    <x v="3"/>
    <x v="1"/>
    <x v="1"/>
    <n v="2"/>
    <n v="6874"/>
    <n v="5"/>
    <n v="13748"/>
    <n v="687.4"/>
    <n v="13060.6"/>
  </r>
  <r>
    <x v="276"/>
    <x v="223"/>
    <s v="CUST60668"/>
    <x v="0"/>
    <n v="56"/>
    <x v="0"/>
    <x v="5"/>
    <x v="0"/>
    <x v="3"/>
    <n v="3"/>
    <n v="6195"/>
    <n v="0"/>
    <n v="18585"/>
    <n v="0"/>
    <n v="18585"/>
  </r>
  <r>
    <x v="277"/>
    <x v="224"/>
    <s v="CUST33598"/>
    <x v="0"/>
    <n v="54"/>
    <x v="0"/>
    <x v="2"/>
    <x v="1"/>
    <x v="4"/>
    <n v="1"/>
    <n v="5398"/>
    <n v="10"/>
    <n v="5398"/>
    <n v="539.79999999999995"/>
    <n v="4858.2"/>
  </r>
  <r>
    <x v="278"/>
    <x v="225"/>
    <s v="CUST53498"/>
    <x v="1"/>
    <n v="18"/>
    <x v="3"/>
    <x v="1"/>
    <x v="3"/>
    <x v="4"/>
    <n v="2"/>
    <n v="4572"/>
    <n v="5"/>
    <n v="9144"/>
    <n v="457.2"/>
    <n v="8686.7999999999993"/>
  </r>
  <r>
    <x v="279"/>
    <x v="43"/>
    <s v="CUST62618"/>
    <x v="1"/>
    <n v="20"/>
    <x v="3"/>
    <x v="0"/>
    <x v="2"/>
    <x v="0"/>
    <n v="4"/>
    <n v="2236"/>
    <n v="15"/>
    <n v="8944"/>
    <n v="1341.6"/>
    <n v="7602.4"/>
  </r>
  <r>
    <x v="280"/>
    <x v="226"/>
    <s v="CUST12770"/>
    <x v="1"/>
    <n v="53"/>
    <x v="0"/>
    <x v="2"/>
    <x v="2"/>
    <x v="4"/>
    <n v="4"/>
    <n v="5696"/>
    <n v="10"/>
    <n v="22784"/>
    <n v="2278.4"/>
    <n v="20505.599999999999"/>
  </r>
  <r>
    <x v="281"/>
    <x v="16"/>
    <s v="CUST31043"/>
    <x v="1"/>
    <n v="25"/>
    <x v="3"/>
    <x v="4"/>
    <x v="3"/>
    <x v="1"/>
    <n v="4"/>
    <n v="5514"/>
    <n v="20"/>
    <n v="22056"/>
    <n v="4411.2"/>
    <n v="17644.8"/>
  </r>
  <r>
    <x v="282"/>
    <x v="227"/>
    <s v="CUST92874"/>
    <x v="0"/>
    <n v="36"/>
    <x v="2"/>
    <x v="3"/>
    <x v="1"/>
    <x v="0"/>
    <n v="4"/>
    <n v="1847"/>
    <n v="15"/>
    <n v="7388"/>
    <n v="1108.2"/>
    <n v="6279.8"/>
  </r>
  <r>
    <x v="283"/>
    <x v="228"/>
    <s v="CUST20078"/>
    <x v="1"/>
    <n v="52"/>
    <x v="0"/>
    <x v="4"/>
    <x v="0"/>
    <x v="2"/>
    <n v="7"/>
    <n v="2857"/>
    <n v="0"/>
    <n v="19999"/>
    <n v="0"/>
    <n v="19999"/>
  </r>
  <r>
    <x v="284"/>
    <x v="229"/>
    <s v="CUST44775"/>
    <x v="1"/>
    <n v="26"/>
    <x v="1"/>
    <x v="4"/>
    <x v="1"/>
    <x v="4"/>
    <n v="2"/>
    <n v="7250"/>
    <n v="0"/>
    <n v="14500"/>
    <n v="0"/>
    <n v="14500"/>
  </r>
  <r>
    <x v="285"/>
    <x v="230"/>
    <s v="CUST31536"/>
    <x v="1"/>
    <n v="43"/>
    <x v="2"/>
    <x v="0"/>
    <x v="2"/>
    <x v="1"/>
    <n v="2"/>
    <n v="1407"/>
    <n v="0"/>
    <n v="2814"/>
    <n v="0"/>
    <n v="2814"/>
  </r>
  <r>
    <x v="286"/>
    <x v="231"/>
    <s v="CUST18412"/>
    <x v="1"/>
    <n v="64"/>
    <x v="0"/>
    <x v="2"/>
    <x v="0"/>
    <x v="1"/>
    <n v="4"/>
    <n v="6839"/>
    <n v="0"/>
    <n v="27356"/>
    <n v="0"/>
    <n v="27356"/>
  </r>
  <r>
    <x v="287"/>
    <x v="232"/>
    <s v="CUST35912"/>
    <x v="1"/>
    <n v="20"/>
    <x v="3"/>
    <x v="3"/>
    <x v="1"/>
    <x v="1"/>
    <n v="7"/>
    <n v="7689"/>
    <n v="10"/>
    <n v="53823"/>
    <n v="5382.3"/>
    <n v="48440.7"/>
  </r>
  <r>
    <x v="288"/>
    <x v="233"/>
    <s v="CUST20886"/>
    <x v="0"/>
    <n v="39"/>
    <x v="2"/>
    <x v="2"/>
    <x v="3"/>
    <x v="2"/>
    <n v="1"/>
    <n v="5335"/>
    <n v="0"/>
    <n v="5335"/>
    <n v="0"/>
    <n v="5335"/>
  </r>
  <r>
    <x v="289"/>
    <x v="234"/>
    <s v="CUST15184"/>
    <x v="1"/>
    <n v="38"/>
    <x v="2"/>
    <x v="5"/>
    <x v="4"/>
    <x v="2"/>
    <n v="3"/>
    <n v="903"/>
    <n v="0"/>
    <n v="2709"/>
    <n v="0"/>
    <n v="2709"/>
  </r>
  <r>
    <x v="290"/>
    <x v="36"/>
    <s v="CUST53762"/>
    <x v="1"/>
    <n v="28"/>
    <x v="1"/>
    <x v="3"/>
    <x v="5"/>
    <x v="2"/>
    <n v="2"/>
    <n v="6632"/>
    <n v="0"/>
    <n v="13264"/>
    <n v="0"/>
    <n v="13264"/>
  </r>
  <r>
    <x v="291"/>
    <x v="209"/>
    <s v="CUST37402"/>
    <x v="0"/>
    <n v="46"/>
    <x v="0"/>
    <x v="1"/>
    <x v="5"/>
    <x v="0"/>
    <n v="2"/>
    <n v="2094"/>
    <n v="0"/>
    <n v="4188"/>
    <n v="0"/>
    <n v="4188"/>
  </r>
  <r>
    <x v="292"/>
    <x v="223"/>
    <s v="CUST98708"/>
    <x v="1"/>
    <n v="26"/>
    <x v="1"/>
    <x v="4"/>
    <x v="1"/>
    <x v="4"/>
    <n v="4"/>
    <n v="4675"/>
    <n v="15"/>
    <n v="18700"/>
    <n v="2805"/>
    <n v="15895"/>
  </r>
  <r>
    <x v="293"/>
    <x v="235"/>
    <s v="CUST45940"/>
    <x v="1"/>
    <n v="28"/>
    <x v="1"/>
    <x v="0"/>
    <x v="5"/>
    <x v="0"/>
    <n v="1"/>
    <n v="5666"/>
    <n v="0"/>
    <n v="5666"/>
    <n v="0"/>
    <n v="5666"/>
  </r>
  <r>
    <x v="294"/>
    <x v="191"/>
    <s v="CUST76535"/>
    <x v="1"/>
    <n v="25"/>
    <x v="3"/>
    <x v="5"/>
    <x v="3"/>
    <x v="3"/>
    <n v="1"/>
    <n v="7731"/>
    <n v="0"/>
    <n v="7731"/>
    <n v="0"/>
    <n v="7731"/>
  </r>
  <r>
    <x v="295"/>
    <x v="236"/>
    <s v="CUST94100"/>
    <x v="0"/>
    <n v="37"/>
    <x v="2"/>
    <x v="2"/>
    <x v="0"/>
    <x v="4"/>
    <n v="2"/>
    <n v="364"/>
    <n v="10"/>
    <n v="728"/>
    <n v="72.8"/>
    <n v="655.20000000000005"/>
  </r>
  <r>
    <x v="296"/>
    <x v="171"/>
    <s v="CUST34063"/>
    <x v="1"/>
    <n v="41"/>
    <x v="2"/>
    <x v="1"/>
    <x v="1"/>
    <x v="4"/>
    <n v="7"/>
    <n v="3866"/>
    <n v="15"/>
    <n v="27062"/>
    <n v="4059.3"/>
    <n v="23002.7"/>
  </r>
  <r>
    <x v="297"/>
    <x v="237"/>
    <s v="CUST90978"/>
    <x v="1"/>
    <n v="21"/>
    <x v="3"/>
    <x v="3"/>
    <x v="2"/>
    <x v="0"/>
    <n v="6"/>
    <n v="6724"/>
    <n v="10"/>
    <n v="40344"/>
    <n v="4034.4"/>
    <n v="36309.599999999999"/>
  </r>
  <r>
    <x v="298"/>
    <x v="238"/>
    <s v="CUST63127"/>
    <x v="0"/>
    <n v="36"/>
    <x v="2"/>
    <x v="5"/>
    <x v="3"/>
    <x v="2"/>
    <n v="6"/>
    <n v="5740"/>
    <n v="0"/>
    <n v="34440"/>
    <n v="0"/>
    <n v="34440"/>
  </r>
  <r>
    <x v="299"/>
    <x v="239"/>
    <s v="CUST19484"/>
    <x v="1"/>
    <n v="28"/>
    <x v="1"/>
    <x v="1"/>
    <x v="1"/>
    <x v="1"/>
    <n v="5"/>
    <n v="5100"/>
    <n v="15"/>
    <n v="25500"/>
    <n v="3825"/>
    <n v="21675"/>
  </r>
  <r>
    <x v="300"/>
    <x v="106"/>
    <s v="CUST52479"/>
    <x v="1"/>
    <n v="56"/>
    <x v="0"/>
    <x v="3"/>
    <x v="0"/>
    <x v="2"/>
    <n v="7"/>
    <n v="5202"/>
    <n v="0"/>
    <n v="36414"/>
    <n v="0"/>
    <n v="36414"/>
  </r>
  <r>
    <x v="301"/>
    <x v="240"/>
    <s v="CUST63132"/>
    <x v="1"/>
    <n v="46"/>
    <x v="0"/>
    <x v="0"/>
    <x v="3"/>
    <x v="3"/>
    <n v="5"/>
    <n v="5788"/>
    <n v="15"/>
    <n v="28940"/>
    <n v="4341"/>
    <n v="24599"/>
  </r>
  <r>
    <x v="302"/>
    <x v="241"/>
    <s v="CUST51324"/>
    <x v="0"/>
    <n v="60"/>
    <x v="0"/>
    <x v="3"/>
    <x v="5"/>
    <x v="4"/>
    <n v="3"/>
    <n v="6552"/>
    <n v="5"/>
    <n v="19656"/>
    <n v="982.8"/>
    <n v="18673.2"/>
  </r>
  <r>
    <x v="303"/>
    <x v="242"/>
    <s v="CUST31119"/>
    <x v="0"/>
    <n v="47"/>
    <x v="0"/>
    <x v="4"/>
    <x v="0"/>
    <x v="0"/>
    <n v="3"/>
    <n v="4560"/>
    <n v="0"/>
    <n v="13680"/>
    <n v="0"/>
    <n v="13680"/>
  </r>
  <r>
    <x v="304"/>
    <x v="243"/>
    <s v="CUST15909"/>
    <x v="0"/>
    <n v="54"/>
    <x v="0"/>
    <x v="2"/>
    <x v="1"/>
    <x v="3"/>
    <n v="2"/>
    <n v="4664"/>
    <n v="0"/>
    <n v="9328"/>
    <n v="0"/>
    <n v="9328"/>
  </r>
  <r>
    <x v="305"/>
    <x v="152"/>
    <s v="CUST57019"/>
    <x v="1"/>
    <n v="21"/>
    <x v="3"/>
    <x v="0"/>
    <x v="1"/>
    <x v="2"/>
    <n v="2"/>
    <n v="7335"/>
    <n v="15"/>
    <n v="14670"/>
    <n v="2200.5"/>
    <n v="12469.5"/>
  </r>
  <r>
    <x v="306"/>
    <x v="244"/>
    <s v="CUST45814"/>
    <x v="0"/>
    <n v="23"/>
    <x v="3"/>
    <x v="5"/>
    <x v="0"/>
    <x v="3"/>
    <n v="4"/>
    <n v="4778"/>
    <n v="0"/>
    <n v="19112"/>
    <n v="0"/>
    <n v="19112"/>
  </r>
  <r>
    <x v="307"/>
    <x v="245"/>
    <s v="CUST77743"/>
    <x v="1"/>
    <n v="57"/>
    <x v="0"/>
    <x v="0"/>
    <x v="3"/>
    <x v="1"/>
    <n v="1"/>
    <n v="5497"/>
    <n v="0"/>
    <n v="5497"/>
    <n v="0"/>
    <n v="5497"/>
  </r>
  <r>
    <x v="308"/>
    <x v="246"/>
    <s v="CUST93008"/>
    <x v="1"/>
    <n v="23"/>
    <x v="3"/>
    <x v="5"/>
    <x v="0"/>
    <x v="2"/>
    <n v="3"/>
    <n v="850"/>
    <n v="15"/>
    <n v="2550"/>
    <n v="382.5"/>
    <n v="2167.5"/>
  </r>
  <r>
    <x v="309"/>
    <x v="247"/>
    <s v="CUST32349"/>
    <x v="0"/>
    <n v="58"/>
    <x v="0"/>
    <x v="3"/>
    <x v="0"/>
    <x v="4"/>
    <n v="1"/>
    <n v="5429"/>
    <n v="5"/>
    <n v="5429"/>
    <n v="271.45"/>
    <n v="5157.55"/>
  </r>
  <r>
    <x v="310"/>
    <x v="248"/>
    <s v="CUST19792"/>
    <x v="1"/>
    <n v="34"/>
    <x v="1"/>
    <x v="2"/>
    <x v="1"/>
    <x v="2"/>
    <n v="3"/>
    <n v="2948"/>
    <n v="15"/>
    <n v="8844"/>
    <n v="1326.6"/>
    <n v="7517.4"/>
  </r>
  <r>
    <x v="311"/>
    <x v="249"/>
    <s v="CUST20921"/>
    <x v="0"/>
    <n v="28"/>
    <x v="1"/>
    <x v="1"/>
    <x v="1"/>
    <x v="2"/>
    <n v="2"/>
    <n v="7838"/>
    <n v="0"/>
    <n v="15676"/>
    <n v="0"/>
    <n v="15676"/>
  </r>
  <r>
    <x v="312"/>
    <x v="250"/>
    <s v="CUST65926"/>
    <x v="0"/>
    <n v="42"/>
    <x v="2"/>
    <x v="1"/>
    <x v="4"/>
    <x v="0"/>
    <n v="3"/>
    <n v="2020"/>
    <n v="20"/>
    <n v="6060"/>
    <n v="1212"/>
    <n v="4848"/>
  </r>
  <r>
    <x v="313"/>
    <x v="251"/>
    <s v="CUST27546"/>
    <x v="1"/>
    <n v="36"/>
    <x v="2"/>
    <x v="5"/>
    <x v="4"/>
    <x v="0"/>
    <n v="4"/>
    <n v="2281"/>
    <n v="5"/>
    <n v="9124"/>
    <n v="456.2"/>
    <n v="8667.7999999999993"/>
  </r>
  <r>
    <x v="314"/>
    <x v="252"/>
    <s v="CUST20079"/>
    <x v="0"/>
    <n v="45"/>
    <x v="2"/>
    <x v="3"/>
    <x v="1"/>
    <x v="1"/>
    <n v="1"/>
    <n v="1498"/>
    <n v="5"/>
    <n v="1498"/>
    <n v="74.900000000000006"/>
    <n v="1423.1"/>
  </r>
  <r>
    <x v="315"/>
    <x v="253"/>
    <s v="CUST25513"/>
    <x v="0"/>
    <n v="59"/>
    <x v="0"/>
    <x v="1"/>
    <x v="0"/>
    <x v="1"/>
    <n v="2"/>
    <n v="4819"/>
    <n v="0"/>
    <n v="9638"/>
    <n v="0"/>
    <n v="9638"/>
  </r>
  <r>
    <x v="316"/>
    <x v="254"/>
    <s v="CUST87417"/>
    <x v="1"/>
    <n v="56"/>
    <x v="0"/>
    <x v="2"/>
    <x v="0"/>
    <x v="4"/>
    <n v="3"/>
    <n v="2174"/>
    <n v="0"/>
    <n v="6522"/>
    <n v="0"/>
    <n v="6522"/>
  </r>
  <r>
    <x v="317"/>
    <x v="255"/>
    <s v="CUST55962"/>
    <x v="1"/>
    <n v="63"/>
    <x v="0"/>
    <x v="1"/>
    <x v="5"/>
    <x v="1"/>
    <n v="3"/>
    <n v="7109"/>
    <n v="15"/>
    <n v="21327"/>
    <n v="3199.05"/>
    <n v="18127.95"/>
  </r>
  <r>
    <x v="318"/>
    <x v="83"/>
    <s v="CUST38881"/>
    <x v="1"/>
    <n v="38"/>
    <x v="2"/>
    <x v="3"/>
    <x v="4"/>
    <x v="2"/>
    <n v="4"/>
    <n v="5670"/>
    <n v="0"/>
    <n v="22680"/>
    <n v="0"/>
    <n v="22680"/>
  </r>
  <r>
    <x v="319"/>
    <x v="256"/>
    <s v="CUST75740"/>
    <x v="0"/>
    <n v="18"/>
    <x v="3"/>
    <x v="3"/>
    <x v="0"/>
    <x v="3"/>
    <n v="6"/>
    <n v="7132"/>
    <n v="0"/>
    <n v="42792"/>
    <n v="0"/>
    <n v="42792"/>
  </r>
  <r>
    <x v="320"/>
    <x v="138"/>
    <s v="CUST49085"/>
    <x v="0"/>
    <n v="61"/>
    <x v="0"/>
    <x v="0"/>
    <x v="0"/>
    <x v="2"/>
    <n v="4"/>
    <n v="2457"/>
    <n v="0"/>
    <n v="9828"/>
    <n v="0"/>
    <n v="9828"/>
  </r>
  <r>
    <x v="321"/>
    <x v="257"/>
    <s v="CUST60961"/>
    <x v="1"/>
    <n v="19"/>
    <x v="3"/>
    <x v="5"/>
    <x v="4"/>
    <x v="1"/>
    <n v="4"/>
    <n v="6498"/>
    <n v="0"/>
    <n v="25992"/>
    <n v="0"/>
    <n v="25992"/>
  </r>
  <r>
    <x v="322"/>
    <x v="258"/>
    <s v="CUST96793"/>
    <x v="0"/>
    <n v="57"/>
    <x v="0"/>
    <x v="2"/>
    <x v="1"/>
    <x v="4"/>
    <n v="4"/>
    <n v="445"/>
    <n v="0"/>
    <n v="1780"/>
    <n v="0"/>
    <n v="1780"/>
  </r>
  <r>
    <x v="323"/>
    <x v="259"/>
    <s v="CUST58702"/>
    <x v="1"/>
    <n v="51"/>
    <x v="0"/>
    <x v="1"/>
    <x v="4"/>
    <x v="0"/>
    <n v="1"/>
    <n v="2612"/>
    <n v="5"/>
    <n v="2612"/>
    <n v="130.6"/>
    <n v="2481.4"/>
  </r>
  <r>
    <x v="324"/>
    <x v="260"/>
    <s v="CUST66549"/>
    <x v="1"/>
    <n v="46"/>
    <x v="0"/>
    <x v="4"/>
    <x v="5"/>
    <x v="0"/>
    <n v="2"/>
    <n v="4653"/>
    <n v="10"/>
    <n v="9306"/>
    <n v="930.6"/>
    <n v="8375.4"/>
  </r>
  <r>
    <x v="325"/>
    <x v="88"/>
    <s v="CUST37813"/>
    <x v="1"/>
    <n v="44"/>
    <x v="2"/>
    <x v="1"/>
    <x v="0"/>
    <x v="4"/>
    <n v="2"/>
    <n v="6812"/>
    <n v="0"/>
    <n v="13624"/>
    <n v="0"/>
    <n v="13624"/>
  </r>
  <r>
    <x v="326"/>
    <x v="261"/>
    <s v="CUST34864"/>
    <x v="1"/>
    <n v="52"/>
    <x v="0"/>
    <x v="4"/>
    <x v="0"/>
    <x v="2"/>
    <n v="5"/>
    <n v="3788"/>
    <n v="0"/>
    <n v="18940"/>
    <n v="0"/>
    <n v="18940"/>
  </r>
  <r>
    <x v="327"/>
    <x v="250"/>
    <s v="CUST60328"/>
    <x v="0"/>
    <n v="37"/>
    <x v="2"/>
    <x v="0"/>
    <x v="3"/>
    <x v="3"/>
    <n v="7"/>
    <n v="4369"/>
    <n v="20"/>
    <n v="30583"/>
    <n v="6116.6"/>
    <n v="24466.400000000001"/>
  </r>
  <r>
    <x v="328"/>
    <x v="213"/>
    <s v="CUST51901"/>
    <x v="0"/>
    <n v="33"/>
    <x v="1"/>
    <x v="3"/>
    <x v="5"/>
    <x v="2"/>
    <n v="4"/>
    <n v="2513"/>
    <n v="20"/>
    <n v="10052"/>
    <n v="2010.4"/>
    <n v="8041.6"/>
  </r>
  <r>
    <x v="329"/>
    <x v="111"/>
    <s v="CUST72462"/>
    <x v="1"/>
    <n v="21"/>
    <x v="3"/>
    <x v="3"/>
    <x v="4"/>
    <x v="2"/>
    <n v="4"/>
    <n v="5579"/>
    <n v="10"/>
    <n v="22316"/>
    <n v="2231.6"/>
    <n v="20084.400000000001"/>
  </r>
  <r>
    <x v="330"/>
    <x v="262"/>
    <s v="CUST79577"/>
    <x v="1"/>
    <n v="38"/>
    <x v="2"/>
    <x v="1"/>
    <x v="0"/>
    <x v="0"/>
    <n v="6"/>
    <n v="197"/>
    <n v="15"/>
    <n v="1182"/>
    <n v="177.3"/>
    <n v="1004.7"/>
  </r>
  <r>
    <x v="331"/>
    <x v="263"/>
    <s v="CUST78454"/>
    <x v="0"/>
    <n v="50"/>
    <x v="0"/>
    <x v="0"/>
    <x v="1"/>
    <x v="1"/>
    <n v="1"/>
    <n v="5827"/>
    <n v="0"/>
    <n v="5827"/>
    <n v="0"/>
    <n v="5827"/>
  </r>
  <r>
    <x v="332"/>
    <x v="11"/>
    <s v="CUST55102"/>
    <x v="1"/>
    <n v="23"/>
    <x v="3"/>
    <x v="3"/>
    <x v="5"/>
    <x v="2"/>
    <n v="6"/>
    <n v="2351"/>
    <n v="10"/>
    <n v="14106"/>
    <n v="1410.6"/>
    <n v="12695.4"/>
  </r>
  <r>
    <x v="333"/>
    <x v="27"/>
    <s v="CUST86857"/>
    <x v="0"/>
    <n v="60"/>
    <x v="0"/>
    <x v="1"/>
    <x v="1"/>
    <x v="2"/>
    <n v="5"/>
    <n v="6019"/>
    <n v="10"/>
    <n v="30095"/>
    <n v="3009.5"/>
    <n v="27085.5"/>
  </r>
  <r>
    <x v="334"/>
    <x v="264"/>
    <s v="CUST65799"/>
    <x v="0"/>
    <n v="23"/>
    <x v="3"/>
    <x v="5"/>
    <x v="3"/>
    <x v="2"/>
    <n v="4"/>
    <n v="1180"/>
    <n v="5"/>
    <n v="4720"/>
    <n v="236"/>
    <n v="4484"/>
  </r>
  <r>
    <x v="335"/>
    <x v="265"/>
    <s v="CUST72297"/>
    <x v="0"/>
    <n v="61"/>
    <x v="0"/>
    <x v="4"/>
    <x v="3"/>
    <x v="4"/>
    <n v="5"/>
    <n v="588"/>
    <n v="0"/>
    <n v="2940"/>
    <n v="0"/>
    <n v="2940"/>
  </r>
  <r>
    <x v="336"/>
    <x v="266"/>
    <s v="CUST60791"/>
    <x v="0"/>
    <n v="44"/>
    <x v="2"/>
    <x v="1"/>
    <x v="5"/>
    <x v="1"/>
    <n v="6"/>
    <n v="5766"/>
    <n v="0"/>
    <n v="34596"/>
    <n v="0"/>
    <n v="34596"/>
  </r>
  <r>
    <x v="337"/>
    <x v="39"/>
    <s v="CUST98440"/>
    <x v="0"/>
    <n v="19"/>
    <x v="3"/>
    <x v="4"/>
    <x v="0"/>
    <x v="2"/>
    <n v="3"/>
    <n v="5610"/>
    <n v="15"/>
    <n v="16830"/>
    <n v="2524.5"/>
    <n v="14305.5"/>
  </r>
  <r>
    <x v="338"/>
    <x v="267"/>
    <s v="CUST89562"/>
    <x v="1"/>
    <n v="40"/>
    <x v="2"/>
    <x v="4"/>
    <x v="4"/>
    <x v="4"/>
    <n v="7"/>
    <n v="4554"/>
    <n v="0"/>
    <n v="31878"/>
    <n v="0"/>
    <n v="31878"/>
  </r>
  <r>
    <x v="339"/>
    <x v="268"/>
    <s v="CUST82849"/>
    <x v="0"/>
    <n v="37"/>
    <x v="2"/>
    <x v="4"/>
    <x v="1"/>
    <x v="4"/>
    <n v="7"/>
    <n v="1228"/>
    <n v="5"/>
    <n v="8596"/>
    <n v="429.8"/>
    <n v="8166.2"/>
  </r>
  <r>
    <x v="340"/>
    <x v="269"/>
    <s v="CUST64092"/>
    <x v="0"/>
    <n v="58"/>
    <x v="0"/>
    <x v="0"/>
    <x v="5"/>
    <x v="2"/>
    <n v="2"/>
    <n v="7279"/>
    <n v="5"/>
    <n v="14558"/>
    <n v="727.9"/>
    <n v="13830.1"/>
  </r>
  <r>
    <x v="341"/>
    <x v="270"/>
    <s v="CUST26865"/>
    <x v="0"/>
    <n v="26"/>
    <x v="1"/>
    <x v="4"/>
    <x v="1"/>
    <x v="4"/>
    <n v="4"/>
    <n v="4123"/>
    <n v="0"/>
    <n v="16492"/>
    <n v="0"/>
    <n v="16492"/>
  </r>
  <r>
    <x v="342"/>
    <x v="271"/>
    <s v="CUST79645"/>
    <x v="1"/>
    <n v="24"/>
    <x v="3"/>
    <x v="4"/>
    <x v="2"/>
    <x v="2"/>
    <n v="4"/>
    <n v="7149"/>
    <n v="0"/>
    <n v="28596"/>
    <n v="0"/>
    <n v="28596"/>
  </r>
  <r>
    <x v="343"/>
    <x v="272"/>
    <s v="CUST21670"/>
    <x v="1"/>
    <n v="32"/>
    <x v="1"/>
    <x v="4"/>
    <x v="1"/>
    <x v="0"/>
    <n v="2"/>
    <n v="2373"/>
    <n v="5"/>
    <n v="4746"/>
    <n v="237.3"/>
    <n v="4508.7"/>
  </r>
  <r>
    <x v="344"/>
    <x v="273"/>
    <s v="CUST48503"/>
    <x v="0"/>
    <n v="32"/>
    <x v="1"/>
    <x v="5"/>
    <x v="2"/>
    <x v="4"/>
    <n v="7"/>
    <n v="5347"/>
    <n v="0"/>
    <n v="37429"/>
    <n v="0"/>
    <n v="37429"/>
  </r>
  <r>
    <x v="345"/>
    <x v="86"/>
    <s v="CUST79056"/>
    <x v="0"/>
    <n v="58"/>
    <x v="0"/>
    <x v="0"/>
    <x v="0"/>
    <x v="1"/>
    <n v="6"/>
    <n v="6906"/>
    <n v="15"/>
    <n v="41436"/>
    <n v="6215.4"/>
    <n v="35220.6"/>
  </r>
  <r>
    <x v="346"/>
    <x v="274"/>
    <s v="CUST31462"/>
    <x v="1"/>
    <n v="64"/>
    <x v="0"/>
    <x v="0"/>
    <x v="1"/>
    <x v="4"/>
    <n v="5"/>
    <n v="501"/>
    <n v="0"/>
    <n v="2505"/>
    <n v="0"/>
    <n v="2505"/>
  </r>
  <r>
    <x v="347"/>
    <x v="275"/>
    <s v="CUST60029"/>
    <x v="0"/>
    <n v="55"/>
    <x v="0"/>
    <x v="5"/>
    <x v="2"/>
    <x v="1"/>
    <n v="5"/>
    <n v="3995"/>
    <n v="10"/>
    <n v="19975"/>
    <n v="1997.5"/>
    <n v="17977.5"/>
  </r>
  <r>
    <x v="348"/>
    <x v="276"/>
    <s v="CUST25425"/>
    <x v="1"/>
    <n v="44"/>
    <x v="2"/>
    <x v="3"/>
    <x v="0"/>
    <x v="3"/>
    <n v="7"/>
    <n v="5730"/>
    <n v="0"/>
    <n v="40110"/>
    <n v="0"/>
    <n v="40110"/>
  </r>
  <r>
    <x v="349"/>
    <x v="277"/>
    <s v="CUST11964"/>
    <x v="1"/>
    <n v="21"/>
    <x v="3"/>
    <x v="1"/>
    <x v="3"/>
    <x v="3"/>
    <n v="7"/>
    <n v="3719"/>
    <n v="5"/>
    <n v="26033"/>
    <n v="1301.6500000000001"/>
    <n v="24731.35"/>
  </r>
  <r>
    <x v="350"/>
    <x v="278"/>
    <s v="CUST68970"/>
    <x v="0"/>
    <n v="38"/>
    <x v="2"/>
    <x v="2"/>
    <x v="0"/>
    <x v="0"/>
    <n v="7"/>
    <n v="4978"/>
    <n v="15"/>
    <n v="34846"/>
    <n v="5226.8999999999996"/>
    <n v="29619.1"/>
  </r>
  <r>
    <x v="351"/>
    <x v="279"/>
    <s v="CUST49803"/>
    <x v="0"/>
    <n v="46"/>
    <x v="0"/>
    <x v="4"/>
    <x v="1"/>
    <x v="3"/>
    <n v="7"/>
    <n v="2742"/>
    <n v="20"/>
    <n v="19194"/>
    <n v="3838.8"/>
    <n v="15355.2"/>
  </r>
  <r>
    <x v="352"/>
    <x v="280"/>
    <s v="CUST56505"/>
    <x v="1"/>
    <n v="26"/>
    <x v="1"/>
    <x v="5"/>
    <x v="1"/>
    <x v="0"/>
    <n v="5"/>
    <n v="2074"/>
    <n v="15"/>
    <n v="10370"/>
    <n v="1555.5"/>
    <n v="8814.5"/>
  </r>
  <r>
    <x v="353"/>
    <x v="281"/>
    <s v="CUST15791"/>
    <x v="1"/>
    <n v="26"/>
    <x v="1"/>
    <x v="0"/>
    <x v="0"/>
    <x v="4"/>
    <n v="2"/>
    <n v="6347"/>
    <n v="5"/>
    <n v="12694"/>
    <n v="634.70000000000005"/>
    <n v="12059.3"/>
  </r>
  <r>
    <x v="354"/>
    <x v="282"/>
    <s v="CUST36092"/>
    <x v="1"/>
    <n v="43"/>
    <x v="2"/>
    <x v="5"/>
    <x v="4"/>
    <x v="4"/>
    <n v="4"/>
    <n v="7087"/>
    <n v="10"/>
    <n v="28348"/>
    <n v="2834.8"/>
    <n v="25513.200000000001"/>
  </r>
  <r>
    <x v="355"/>
    <x v="187"/>
    <s v="CUST46080"/>
    <x v="0"/>
    <n v="24"/>
    <x v="3"/>
    <x v="3"/>
    <x v="1"/>
    <x v="2"/>
    <n v="4"/>
    <n v="6296"/>
    <n v="10"/>
    <n v="25184"/>
    <n v="2518.4"/>
    <n v="22665.599999999999"/>
  </r>
  <r>
    <x v="356"/>
    <x v="283"/>
    <s v="CUST99524"/>
    <x v="1"/>
    <n v="51"/>
    <x v="0"/>
    <x v="3"/>
    <x v="0"/>
    <x v="0"/>
    <n v="2"/>
    <n v="4430"/>
    <n v="0"/>
    <n v="8860"/>
    <n v="0"/>
    <n v="8860"/>
  </r>
  <r>
    <x v="357"/>
    <x v="284"/>
    <s v="CUST35799"/>
    <x v="1"/>
    <n v="26"/>
    <x v="1"/>
    <x v="3"/>
    <x v="0"/>
    <x v="2"/>
    <n v="7"/>
    <n v="7808"/>
    <n v="10"/>
    <n v="54656"/>
    <n v="5465.6"/>
    <n v="49190.400000000001"/>
  </r>
  <r>
    <x v="358"/>
    <x v="285"/>
    <s v="CUST22794"/>
    <x v="0"/>
    <n v="25"/>
    <x v="3"/>
    <x v="5"/>
    <x v="3"/>
    <x v="1"/>
    <n v="1"/>
    <n v="2997"/>
    <n v="10"/>
    <n v="2997"/>
    <n v="299.7"/>
    <n v="2697.3"/>
  </r>
  <r>
    <x v="359"/>
    <x v="286"/>
    <s v="CUST71223"/>
    <x v="1"/>
    <n v="37"/>
    <x v="2"/>
    <x v="2"/>
    <x v="1"/>
    <x v="0"/>
    <n v="6"/>
    <n v="2252"/>
    <n v="0"/>
    <n v="13512"/>
    <n v="0"/>
    <n v="13512"/>
  </r>
  <r>
    <x v="360"/>
    <x v="287"/>
    <s v="CUST85335"/>
    <x v="0"/>
    <n v="54"/>
    <x v="0"/>
    <x v="5"/>
    <x v="1"/>
    <x v="4"/>
    <n v="6"/>
    <n v="7093"/>
    <n v="0"/>
    <n v="42558"/>
    <n v="0"/>
    <n v="42558"/>
  </r>
  <r>
    <x v="361"/>
    <x v="288"/>
    <s v="CUST63773"/>
    <x v="0"/>
    <n v="57"/>
    <x v="0"/>
    <x v="4"/>
    <x v="5"/>
    <x v="3"/>
    <n v="7"/>
    <n v="3850"/>
    <n v="0"/>
    <n v="26950"/>
    <n v="0"/>
    <n v="26950"/>
  </r>
  <r>
    <x v="362"/>
    <x v="289"/>
    <s v="CUST49260"/>
    <x v="0"/>
    <n v="47"/>
    <x v="0"/>
    <x v="3"/>
    <x v="4"/>
    <x v="0"/>
    <n v="5"/>
    <n v="5007"/>
    <n v="5"/>
    <n v="25035"/>
    <n v="1251.75"/>
    <n v="23783.25"/>
  </r>
  <r>
    <x v="363"/>
    <x v="290"/>
    <s v="CUST21623"/>
    <x v="0"/>
    <n v="58"/>
    <x v="0"/>
    <x v="2"/>
    <x v="0"/>
    <x v="1"/>
    <n v="5"/>
    <n v="3794"/>
    <n v="15"/>
    <n v="18970"/>
    <n v="2845.5"/>
    <n v="16124.5"/>
  </r>
  <r>
    <x v="364"/>
    <x v="291"/>
    <s v="CUST23512"/>
    <x v="0"/>
    <n v="47"/>
    <x v="0"/>
    <x v="4"/>
    <x v="0"/>
    <x v="4"/>
    <n v="4"/>
    <n v="3208"/>
    <n v="0"/>
    <n v="12832"/>
    <n v="0"/>
    <n v="12832"/>
  </r>
  <r>
    <x v="365"/>
    <x v="292"/>
    <s v="CUST23397"/>
    <x v="1"/>
    <n v="18"/>
    <x v="3"/>
    <x v="4"/>
    <x v="0"/>
    <x v="2"/>
    <n v="6"/>
    <n v="4414"/>
    <n v="10"/>
    <n v="26484"/>
    <n v="2648.4"/>
    <n v="23835.599999999999"/>
  </r>
  <r>
    <x v="366"/>
    <x v="293"/>
    <s v="CUST85786"/>
    <x v="0"/>
    <n v="26"/>
    <x v="1"/>
    <x v="5"/>
    <x v="5"/>
    <x v="2"/>
    <n v="7"/>
    <n v="3430"/>
    <n v="5"/>
    <n v="24010"/>
    <n v="1200.5"/>
    <n v="22809.5"/>
  </r>
  <r>
    <x v="367"/>
    <x v="294"/>
    <s v="CUST42622"/>
    <x v="0"/>
    <n v="48"/>
    <x v="0"/>
    <x v="0"/>
    <x v="5"/>
    <x v="4"/>
    <n v="2"/>
    <n v="7092"/>
    <n v="5"/>
    <n v="14184"/>
    <n v="709.2"/>
    <n v="13474.8"/>
  </r>
  <r>
    <x v="368"/>
    <x v="295"/>
    <s v="CUST59100"/>
    <x v="1"/>
    <n v="26"/>
    <x v="1"/>
    <x v="4"/>
    <x v="3"/>
    <x v="3"/>
    <n v="7"/>
    <n v="967"/>
    <n v="5"/>
    <n v="6769"/>
    <n v="338.45"/>
    <n v="6430.55"/>
  </r>
  <r>
    <x v="369"/>
    <x v="296"/>
    <s v="CUST33955"/>
    <x v="0"/>
    <n v="29"/>
    <x v="1"/>
    <x v="3"/>
    <x v="0"/>
    <x v="0"/>
    <n v="5"/>
    <n v="5194"/>
    <n v="0"/>
    <n v="25970"/>
    <n v="0"/>
    <n v="25970"/>
  </r>
  <r>
    <x v="370"/>
    <x v="297"/>
    <s v="CUST24657"/>
    <x v="1"/>
    <n v="58"/>
    <x v="0"/>
    <x v="4"/>
    <x v="0"/>
    <x v="2"/>
    <n v="5"/>
    <n v="1260"/>
    <n v="20"/>
    <n v="6300"/>
    <n v="1260"/>
    <n v="5040"/>
  </r>
  <r>
    <x v="371"/>
    <x v="298"/>
    <s v="CUST14209"/>
    <x v="0"/>
    <n v="55"/>
    <x v="0"/>
    <x v="2"/>
    <x v="2"/>
    <x v="4"/>
    <n v="4"/>
    <n v="7173"/>
    <n v="0"/>
    <n v="28692"/>
    <n v="0"/>
    <n v="28692"/>
  </r>
  <r>
    <x v="372"/>
    <x v="90"/>
    <s v="CUST94791"/>
    <x v="0"/>
    <n v="61"/>
    <x v="0"/>
    <x v="5"/>
    <x v="5"/>
    <x v="2"/>
    <n v="1"/>
    <n v="7501"/>
    <n v="0"/>
    <n v="7501"/>
    <n v="0"/>
    <n v="7501"/>
  </r>
  <r>
    <x v="373"/>
    <x v="299"/>
    <s v="CUST90036"/>
    <x v="0"/>
    <n v="43"/>
    <x v="2"/>
    <x v="5"/>
    <x v="5"/>
    <x v="2"/>
    <n v="1"/>
    <n v="5965"/>
    <n v="0"/>
    <n v="5965"/>
    <n v="0"/>
    <n v="5965"/>
  </r>
  <r>
    <x v="374"/>
    <x v="300"/>
    <s v="CUST71727"/>
    <x v="0"/>
    <n v="31"/>
    <x v="1"/>
    <x v="5"/>
    <x v="2"/>
    <x v="0"/>
    <n v="4"/>
    <n v="1987"/>
    <n v="15"/>
    <n v="7948"/>
    <n v="1192.2"/>
    <n v="6755.8"/>
  </r>
  <r>
    <x v="375"/>
    <x v="301"/>
    <s v="CUST29225"/>
    <x v="0"/>
    <n v="54"/>
    <x v="0"/>
    <x v="0"/>
    <x v="1"/>
    <x v="2"/>
    <n v="7"/>
    <n v="2973"/>
    <n v="0"/>
    <n v="20811"/>
    <n v="0"/>
    <n v="20811"/>
  </r>
  <r>
    <x v="376"/>
    <x v="302"/>
    <s v="CUST70104"/>
    <x v="0"/>
    <n v="32"/>
    <x v="1"/>
    <x v="2"/>
    <x v="0"/>
    <x v="1"/>
    <n v="1"/>
    <n v="5156"/>
    <n v="5"/>
    <n v="5156"/>
    <n v="257.8"/>
    <n v="4898.2"/>
  </r>
  <r>
    <x v="377"/>
    <x v="303"/>
    <s v="CUST69531"/>
    <x v="0"/>
    <n v="36"/>
    <x v="2"/>
    <x v="0"/>
    <x v="1"/>
    <x v="1"/>
    <n v="6"/>
    <n v="271"/>
    <n v="15"/>
    <n v="1626"/>
    <n v="243.9"/>
    <n v="1382.1"/>
  </r>
  <r>
    <x v="378"/>
    <x v="304"/>
    <s v="CUST89986"/>
    <x v="1"/>
    <n v="43"/>
    <x v="2"/>
    <x v="0"/>
    <x v="0"/>
    <x v="0"/>
    <n v="3"/>
    <n v="2500"/>
    <n v="0"/>
    <n v="7500"/>
    <n v="0"/>
    <n v="7500"/>
  </r>
  <r>
    <x v="379"/>
    <x v="274"/>
    <s v="CUST75600"/>
    <x v="0"/>
    <n v="33"/>
    <x v="1"/>
    <x v="1"/>
    <x v="4"/>
    <x v="1"/>
    <n v="3"/>
    <n v="4234"/>
    <n v="10"/>
    <n v="12702"/>
    <n v="1270.2"/>
    <n v="11431.8"/>
  </r>
  <r>
    <x v="380"/>
    <x v="305"/>
    <s v="CUST30864"/>
    <x v="0"/>
    <n v="20"/>
    <x v="3"/>
    <x v="2"/>
    <x v="4"/>
    <x v="4"/>
    <n v="4"/>
    <n v="1380"/>
    <n v="0"/>
    <n v="5520"/>
    <n v="0"/>
    <n v="5520"/>
  </r>
  <r>
    <x v="381"/>
    <x v="306"/>
    <s v="CUST17456"/>
    <x v="0"/>
    <n v="45"/>
    <x v="2"/>
    <x v="2"/>
    <x v="2"/>
    <x v="4"/>
    <n v="1"/>
    <n v="1889"/>
    <n v="10"/>
    <n v="1889"/>
    <n v="188.9"/>
    <n v="1700.1"/>
  </r>
  <r>
    <x v="382"/>
    <x v="280"/>
    <s v="CUST67546"/>
    <x v="0"/>
    <n v="26"/>
    <x v="1"/>
    <x v="3"/>
    <x v="4"/>
    <x v="4"/>
    <n v="5"/>
    <n v="616"/>
    <n v="20"/>
    <n v="3080"/>
    <n v="616"/>
    <n v="2464"/>
  </r>
  <r>
    <x v="383"/>
    <x v="36"/>
    <s v="CUST48831"/>
    <x v="0"/>
    <n v="21"/>
    <x v="3"/>
    <x v="2"/>
    <x v="2"/>
    <x v="0"/>
    <n v="4"/>
    <n v="534"/>
    <n v="15"/>
    <n v="2136"/>
    <n v="320.39999999999998"/>
    <n v="1815.6"/>
  </r>
  <r>
    <x v="384"/>
    <x v="307"/>
    <s v="CUST93662"/>
    <x v="1"/>
    <n v="32"/>
    <x v="1"/>
    <x v="2"/>
    <x v="2"/>
    <x v="4"/>
    <n v="6"/>
    <n v="1732"/>
    <n v="10"/>
    <n v="10392"/>
    <n v="1039.2"/>
    <n v="9352.7999999999993"/>
  </r>
  <r>
    <x v="385"/>
    <x v="308"/>
    <s v="CUST13932"/>
    <x v="0"/>
    <n v="18"/>
    <x v="3"/>
    <x v="4"/>
    <x v="3"/>
    <x v="1"/>
    <n v="4"/>
    <n v="948"/>
    <n v="15"/>
    <n v="3792"/>
    <n v="568.79999999999995"/>
    <n v="3223.2"/>
  </r>
  <r>
    <x v="386"/>
    <x v="309"/>
    <s v="CUST45628"/>
    <x v="0"/>
    <n v="31"/>
    <x v="1"/>
    <x v="3"/>
    <x v="1"/>
    <x v="1"/>
    <n v="2"/>
    <n v="2724"/>
    <n v="5"/>
    <n v="5448"/>
    <n v="272.39999999999998"/>
    <n v="5175.6000000000004"/>
  </r>
  <r>
    <x v="387"/>
    <x v="252"/>
    <s v="CUST63639"/>
    <x v="0"/>
    <n v="52"/>
    <x v="0"/>
    <x v="1"/>
    <x v="4"/>
    <x v="0"/>
    <n v="5"/>
    <n v="1200"/>
    <n v="0"/>
    <n v="6000"/>
    <n v="0"/>
    <n v="6000"/>
  </r>
  <r>
    <x v="388"/>
    <x v="310"/>
    <s v="CUST22265"/>
    <x v="0"/>
    <n v="25"/>
    <x v="3"/>
    <x v="2"/>
    <x v="2"/>
    <x v="0"/>
    <n v="6"/>
    <n v="5966"/>
    <n v="0"/>
    <n v="35796"/>
    <n v="0"/>
    <n v="35796"/>
  </r>
  <r>
    <x v="389"/>
    <x v="311"/>
    <s v="CUST47086"/>
    <x v="0"/>
    <n v="23"/>
    <x v="3"/>
    <x v="5"/>
    <x v="3"/>
    <x v="2"/>
    <n v="7"/>
    <n v="892"/>
    <n v="10"/>
    <n v="6244"/>
    <n v="624.4"/>
    <n v="5619.6"/>
  </r>
  <r>
    <x v="390"/>
    <x v="31"/>
    <s v="CUST73054"/>
    <x v="0"/>
    <n v="53"/>
    <x v="0"/>
    <x v="2"/>
    <x v="5"/>
    <x v="1"/>
    <n v="5"/>
    <n v="706"/>
    <n v="5"/>
    <n v="3530"/>
    <n v="176.5"/>
    <n v="3353.5"/>
  </r>
  <r>
    <x v="391"/>
    <x v="312"/>
    <s v="CUST29764"/>
    <x v="0"/>
    <n v="31"/>
    <x v="1"/>
    <x v="0"/>
    <x v="5"/>
    <x v="2"/>
    <n v="4"/>
    <n v="2742"/>
    <n v="0"/>
    <n v="10968"/>
    <n v="0"/>
    <n v="10968"/>
  </r>
  <r>
    <x v="392"/>
    <x v="39"/>
    <s v="CUST53643"/>
    <x v="0"/>
    <n v="55"/>
    <x v="0"/>
    <x v="1"/>
    <x v="2"/>
    <x v="3"/>
    <n v="4"/>
    <n v="7074"/>
    <n v="0"/>
    <n v="28296"/>
    <n v="0"/>
    <n v="28296"/>
  </r>
  <r>
    <x v="393"/>
    <x v="60"/>
    <s v="CUST50341"/>
    <x v="1"/>
    <n v="19"/>
    <x v="3"/>
    <x v="1"/>
    <x v="0"/>
    <x v="1"/>
    <n v="1"/>
    <n v="6066"/>
    <n v="0"/>
    <n v="6066"/>
    <n v="0"/>
    <n v="6066"/>
  </r>
  <r>
    <x v="394"/>
    <x v="313"/>
    <s v="CUST58647"/>
    <x v="1"/>
    <n v="52"/>
    <x v="0"/>
    <x v="4"/>
    <x v="1"/>
    <x v="3"/>
    <n v="5"/>
    <n v="298"/>
    <n v="10"/>
    <n v="1490"/>
    <n v="149"/>
    <n v="1341"/>
  </r>
  <r>
    <x v="395"/>
    <x v="314"/>
    <s v="CUST87160"/>
    <x v="0"/>
    <n v="62"/>
    <x v="0"/>
    <x v="0"/>
    <x v="1"/>
    <x v="4"/>
    <n v="4"/>
    <n v="287"/>
    <n v="5"/>
    <n v="1148"/>
    <n v="57.4"/>
    <n v="1090.5999999999999"/>
  </r>
  <r>
    <x v="396"/>
    <x v="115"/>
    <s v="CUST69395"/>
    <x v="0"/>
    <n v="19"/>
    <x v="3"/>
    <x v="2"/>
    <x v="1"/>
    <x v="2"/>
    <n v="4"/>
    <n v="5013"/>
    <n v="15"/>
    <n v="20052"/>
    <n v="3007.8"/>
    <n v="17044.2"/>
  </r>
  <r>
    <x v="397"/>
    <x v="315"/>
    <s v="CUST25548"/>
    <x v="0"/>
    <n v="41"/>
    <x v="2"/>
    <x v="2"/>
    <x v="1"/>
    <x v="0"/>
    <n v="2"/>
    <n v="5645"/>
    <n v="15"/>
    <n v="11290"/>
    <n v="1693.5"/>
    <n v="9596.5"/>
  </r>
  <r>
    <x v="398"/>
    <x v="316"/>
    <s v="CUST97586"/>
    <x v="0"/>
    <n v="44"/>
    <x v="2"/>
    <x v="3"/>
    <x v="2"/>
    <x v="4"/>
    <n v="1"/>
    <n v="1020"/>
    <n v="0"/>
    <n v="1020"/>
    <n v="0"/>
    <n v="1020"/>
  </r>
  <r>
    <x v="399"/>
    <x v="40"/>
    <s v="CUST55686"/>
    <x v="1"/>
    <n v="46"/>
    <x v="0"/>
    <x v="0"/>
    <x v="2"/>
    <x v="1"/>
    <n v="1"/>
    <n v="6421"/>
    <n v="15"/>
    <n v="6421"/>
    <n v="963.15"/>
    <n v="5457.85"/>
  </r>
  <r>
    <x v="400"/>
    <x v="60"/>
    <s v="CUST33072"/>
    <x v="1"/>
    <n v="33"/>
    <x v="1"/>
    <x v="4"/>
    <x v="0"/>
    <x v="4"/>
    <n v="2"/>
    <n v="5550"/>
    <n v="5"/>
    <n v="11100"/>
    <n v="555"/>
    <n v="10545"/>
  </r>
  <r>
    <x v="401"/>
    <x v="19"/>
    <s v="CUST73916"/>
    <x v="1"/>
    <n v="21"/>
    <x v="3"/>
    <x v="0"/>
    <x v="0"/>
    <x v="0"/>
    <n v="4"/>
    <n v="2543"/>
    <n v="0"/>
    <n v="10172"/>
    <n v="0"/>
    <n v="10172"/>
  </r>
  <r>
    <x v="402"/>
    <x v="211"/>
    <s v="CUST37217"/>
    <x v="1"/>
    <n v="63"/>
    <x v="0"/>
    <x v="4"/>
    <x v="4"/>
    <x v="3"/>
    <n v="4"/>
    <n v="7182"/>
    <n v="5"/>
    <n v="28728"/>
    <n v="1436.4"/>
    <n v="27291.599999999999"/>
  </r>
  <r>
    <x v="403"/>
    <x v="317"/>
    <s v="CUST31657"/>
    <x v="1"/>
    <n v="64"/>
    <x v="0"/>
    <x v="4"/>
    <x v="2"/>
    <x v="0"/>
    <n v="3"/>
    <n v="956"/>
    <n v="20"/>
    <n v="2868"/>
    <n v="573.6"/>
    <n v="2294.4"/>
  </r>
  <r>
    <x v="404"/>
    <x v="318"/>
    <s v="CUST66066"/>
    <x v="0"/>
    <n v="62"/>
    <x v="0"/>
    <x v="5"/>
    <x v="0"/>
    <x v="4"/>
    <n v="1"/>
    <n v="2340"/>
    <n v="15"/>
    <n v="2340"/>
    <n v="351"/>
    <n v="1989"/>
  </r>
  <r>
    <x v="405"/>
    <x v="78"/>
    <s v="CUST56643"/>
    <x v="0"/>
    <n v="19"/>
    <x v="3"/>
    <x v="3"/>
    <x v="2"/>
    <x v="2"/>
    <n v="5"/>
    <n v="2457"/>
    <n v="10"/>
    <n v="12285"/>
    <n v="1228.5"/>
    <n v="11056.5"/>
  </r>
  <r>
    <x v="406"/>
    <x v="319"/>
    <s v="CUST27258"/>
    <x v="0"/>
    <n v="57"/>
    <x v="0"/>
    <x v="0"/>
    <x v="2"/>
    <x v="1"/>
    <n v="7"/>
    <n v="2813"/>
    <n v="15"/>
    <n v="19691"/>
    <n v="2953.65"/>
    <n v="16737.349999999999"/>
  </r>
  <r>
    <x v="407"/>
    <x v="320"/>
    <s v="CUST72387"/>
    <x v="1"/>
    <n v="43"/>
    <x v="2"/>
    <x v="3"/>
    <x v="2"/>
    <x v="1"/>
    <n v="6"/>
    <n v="4756"/>
    <n v="5"/>
    <n v="28536"/>
    <n v="1426.8"/>
    <n v="27109.200000000001"/>
  </r>
  <r>
    <x v="408"/>
    <x v="321"/>
    <s v="CUST12576"/>
    <x v="1"/>
    <n v="52"/>
    <x v="0"/>
    <x v="2"/>
    <x v="0"/>
    <x v="4"/>
    <n v="6"/>
    <n v="2923"/>
    <n v="15"/>
    <n v="17538"/>
    <n v="2630.7"/>
    <n v="14907.3"/>
  </r>
  <r>
    <x v="409"/>
    <x v="200"/>
    <s v="CUST11321"/>
    <x v="1"/>
    <n v="39"/>
    <x v="2"/>
    <x v="4"/>
    <x v="4"/>
    <x v="4"/>
    <n v="2"/>
    <n v="7393"/>
    <n v="0"/>
    <n v="14786"/>
    <n v="0"/>
    <n v="14786"/>
  </r>
  <r>
    <x v="410"/>
    <x v="321"/>
    <s v="CUST36941"/>
    <x v="0"/>
    <n v="37"/>
    <x v="2"/>
    <x v="3"/>
    <x v="0"/>
    <x v="1"/>
    <n v="7"/>
    <n v="3117"/>
    <n v="0"/>
    <n v="21819"/>
    <n v="0"/>
    <n v="21819"/>
  </r>
  <r>
    <x v="411"/>
    <x v="115"/>
    <s v="CUST96128"/>
    <x v="0"/>
    <n v="30"/>
    <x v="1"/>
    <x v="4"/>
    <x v="3"/>
    <x v="4"/>
    <n v="4"/>
    <n v="6754"/>
    <n v="0"/>
    <n v="27016"/>
    <n v="0"/>
    <n v="27016"/>
  </r>
  <r>
    <x v="412"/>
    <x v="322"/>
    <s v="CUST16555"/>
    <x v="0"/>
    <n v="41"/>
    <x v="2"/>
    <x v="3"/>
    <x v="0"/>
    <x v="2"/>
    <n v="6"/>
    <n v="6534"/>
    <n v="15"/>
    <n v="39204"/>
    <n v="5880.6"/>
    <n v="33323.4"/>
  </r>
  <r>
    <x v="413"/>
    <x v="133"/>
    <s v="CUST74727"/>
    <x v="1"/>
    <n v="54"/>
    <x v="0"/>
    <x v="0"/>
    <x v="0"/>
    <x v="1"/>
    <n v="1"/>
    <n v="6919"/>
    <n v="5"/>
    <n v="6919"/>
    <n v="345.95"/>
    <n v="6573.05"/>
  </r>
  <r>
    <x v="414"/>
    <x v="323"/>
    <s v="CUST38226"/>
    <x v="0"/>
    <n v="35"/>
    <x v="1"/>
    <x v="0"/>
    <x v="0"/>
    <x v="3"/>
    <n v="3"/>
    <n v="3833"/>
    <n v="20"/>
    <n v="11499"/>
    <n v="2299.8000000000002"/>
    <n v="9199.2000000000007"/>
  </r>
  <r>
    <x v="415"/>
    <x v="324"/>
    <s v="CUST26189"/>
    <x v="0"/>
    <n v="59"/>
    <x v="0"/>
    <x v="2"/>
    <x v="4"/>
    <x v="4"/>
    <n v="1"/>
    <n v="5332"/>
    <n v="0"/>
    <n v="5332"/>
    <n v="0"/>
    <n v="5332"/>
  </r>
  <r>
    <x v="416"/>
    <x v="279"/>
    <s v="CUST86532"/>
    <x v="0"/>
    <n v="55"/>
    <x v="0"/>
    <x v="2"/>
    <x v="1"/>
    <x v="4"/>
    <n v="2"/>
    <n v="7891"/>
    <n v="0"/>
    <n v="15782"/>
    <n v="0"/>
    <n v="15782"/>
  </r>
  <r>
    <x v="417"/>
    <x v="287"/>
    <s v="CUST86996"/>
    <x v="1"/>
    <n v="58"/>
    <x v="0"/>
    <x v="4"/>
    <x v="2"/>
    <x v="2"/>
    <n v="2"/>
    <n v="2798"/>
    <n v="0"/>
    <n v="5596"/>
    <n v="0"/>
    <n v="5596"/>
  </r>
  <r>
    <x v="418"/>
    <x v="325"/>
    <s v="CUST39553"/>
    <x v="0"/>
    <n v="48"/>
    <x v="0"/>
    <x v="0"/>
    <x v="2"/>
    <x v="2"/>
    <n v="3"/>
    <n v="2059"/>
    <n v="0"/>
    <n v="6177"/>
    <n v="0"/>
    <n v="6177"/>
  </r>
  <r>
    <x v="419"/>
    <x v="326"/>
    <s v="CUST88776"/>
    <x v="0"/>
    <n v="31"/>
    <x v="1"/>
    <x v="0"/>
    <x v="3"/>
    <x v="3"/>
    <n v="6"/>
    <n v="5323"/>
    <n v="15"/>
    <n v="31938"/>
    <n v="4790.7"/>
    <n v="27147.3"/>
  </r>
  <r>
    <x v="420"/>
    <x v="327"/>
    <s v="CUST14018"/>
    <x v="0"/>
    <n v="20"/>
    <x v="3"/>
    <x v="5"/>
    <x v="0"/>
    <x v="0"/>
    <n v="3"/>
    <n v="4370"/>
    <n v="0"/>
    <n v="13110"/>
    <n v="0"/>
    <n v="13110"/>
  </r>
  <r>
    <x v="421"/>
    <x v="328"/>
    <s v="CUST91414"/>
    <x v="1"/>
    <n v="42"/>
    <x v="2"/>
    <x v="3"/>
    <x v="1"/>
    <x v="3"/>
    <n v="1"/>
    <n v="585"/>
    <n v="0"/>
    <n v="585"/>
    <n v="0"/>
    <n v="585"/>
  </r>
  <r>
    <x v="422"/>
    <x v="266"/>
    <s v="CUST41224"/>
    <x v="0"/>
    <n v="51"/>
    <x v="0"/>
    <x v="1"/>
    <x v="4"/>
    <x v="4"/>
    <n v="3"/>
    <n v="6760"/>
    <n v="20"/>
    <n v="20280"/>
    <n v="4056"/>
    <n v="16224"/>
  </r>
  <r>
    <x v="423"/>
    <x v="244"/>
    <s v="CUST12618"/>
    <x v="0"/>
    <n v="21"/>
    <x v="3"/>
    <x v="4"/>
    <x v="5"/>
    <x v="3"/>
    <n v="2"/>
    <n v="5646"/>
    <n v="15"/>
    <n v="11292"/>
    <n v="1693.8"/>
    <n v="9598.2000000000007"/>
  </r>
  <r>
    <x v="424"/>
    <x v="329"/>
    <s v="CUST78900"/>
    <x v="1"/>
    <n v="33"/>
    <x v="1"/>
    <x v="1"/>
    <x v="0"/>
    <x v="1"/>
    <n v="5"/>
    <n v="5502"/>
    <n v="5"/>
    <n v="27510"/>
    <n v="1375.5"/>
    <n v="26134.5"/>
  </r>
  <r>
    <x v="425"/>
    <x v="330"/>
    <s v="CUST28320"/>
    <x v="0"/>
    <n v="58"/>
    <x v="0"/>
    <x v="2"/>
    <x v="5"/>
    <x v="1"/>
    <n v="5"/>
    <n v="2861"/>
    <n v="5"/>
    <n v="14305"/>
    <n v="715.25"/>
    <n v="13589.75"/>
  </r>
  <r>
    <x v="426"/>
    <x v="168"/>
    <s v="CUST97801"/>
    <x v="1"/>
    <n v="19"/>
    <x v="3"/>
    <x v="4"/>
    <x v="3"/>
    <x v="1"/>
    <n v="5"/>
    <n v="4986"/>
    <n v="15"/>
    <n v="24930"/>
    <n v="3739.5"/>
    <n v="21190.5"/>
  </r>
  <r>
    <x v="427"/>
    <x v="331"/>
    <s v="CUST89663"/>
    <x v="1"/>
    <n v="55"/>
    <x v="0"/>
    <x v="2"/>
    <x v="1"/>
    <x v="4"/>
    <n v="3"/>
    <n v="5418"/>
    <n v="0"/>
    <n v="16254"/>
    <n v="0"/>
    <n v="16254"/>
  </r>
  <r>
    <x v="428"/>
    <x v="332"/>
    <s v="CUST73511"/>
    <x v="0"/>
    <n v="39"/>
    <x v="2"/>
    <x v="2"/>
    <x v="2"/>
    <x v="4"/>
    <n v="3"/>
    <n v="324"/>
    <n v="0"/>
    <n v="972"/>
    <n v="0"/>
    <n v="972"/>
  </r>
  <r>
    <x v="429"/>
    <x v="23"/>
    <s v="CUST79726"/>
    <x v="0"/>
    <n v="64"/>
    <x v="0"/>
    <x v="1"/>
    <x v="5"/>
    <x v="2"/>
    <n v="2"/>
    <n v="6098"/>
    <n v="0"/>
    <n v="12196"/>
    <n v="0"/>
    <n v="12196"/>
  </r>
  <r>
    <x v="430"/>
    <x v="333"/>
    <s v="CUST26779"/>
    <x v="1"/>
    <n v="18"/>
    <x v="3"/>
    <x v="4"/>
    <x v="1"/>
    <x v="1"/>
    <n v="5"/>
    <n v="4685"/>
    <n v="0"/>
    <n v="23425"/>
    <n v="0"/>
    <n v="23425"/>
  </r>
  <r>
    <x v="431"/>
    <x v="334"/>
    <s v="CUST18453"/>
    <x v="1"/>
    <n v="31"/>
    <x v="1"/>
    <x v="2"/>
    <x v="1"/>
    <x v="0"/>
    <n v="6"/>
    <n v="4567"/>
    <n v="0"/>
    <n v="27402"/>
    <n v="0"/>
    <n v="27402"/>
  </r>
  <r>
    <x v="432"/>
    <x v="134"/>
    <s v="CUST57979"/>
    <x v="1"/>
    <n v="35"/>
    <x v="1"/>
    <x v="4"/>
    <x v="5"/>
    <x v="0"/>
    <n v="4"/>
    <n v="2757"/>
    <n v="0"/>
    <n v="11028"/>
    <n v="0"/>
    <n v="11028"/>
  </r>
  <r>
    <x v="433"/>
    <x v="335"/>
    <s v="CUST41001"/>
    <x v="1"/>
    <n v="52"/>
    <x v="0"/>
    <x v="1"/>
    <x v="3"/>
    <x v="3"/>
    <n v="2"/>
    <n v="5064"/>
    <n v="0"/>
    <n v="10128"/>
    <n v="0"/>
    <n v="10128"/>
  </r>
  <r>
    <x v="434"/>
    <x v="336"/>
    <s v="CUST66707"/>
    <x v="1"/>
    <n v="21"/>
    <x v="3"/>
    <x v="3"/>
    <x v="2"/>
    <x v="4"/>
    <n v="3"/>
    <n v="4312"/>
    <n v="5"/>
    <n v="12936"/>
    <n v="646.79999999999995"/>
    <n v="12289.2"/>
  </r>
  <r>
    <x v="435"/>
    <x v="186"/>
    <s v="CUST24335"/>
    <x v="1"/>
    <n v="62"/>
    <x v="0"/>
    <x v="5"/>
    <x v="1"/>
    <x v="2"/>
    <n v="7"/>
    <n v="5887"/>
    <n v="0"/>
    <n v="41209"/>
    <n v="0"/>
    <n v="41209"/>
  </r>
  <r>
    <x v="436"/>
    <x v="214"/>
    <s v="CUST66362"/>
    <x v="0"/>
    <n v="20"/>
    <x v="3"/>
    <x v="0"/>
    <x v="5"/>
    <x v="0"/>
    <n v="1"/>
    <n v="2853"/>
    <n v="5"/>
    <n v="2853"/>
    <n v="142.65"/>
    <n v="2710.35"/>
  </r>
  <r>
    <x v="437"/>
    <x v="337"/>
    <s v="CUST90189"/>
    <x v="0"/>
    <n v="51"/>
    <x v="0"/>
    <x v="0"/>
    <x v="1"/>
    <x v="0"/>
    <n v="4"/>
    <n v="3099"/>
    <n v="10"/>
    <n v="12396"/>
    <n v="1239.5999999999999"/>
    <n v="11156.4"/>
  </r>
  <r>
    <x v="438"/>
    <x v="338"/>
    <s v="CUST84247"/>
    <x v="1"/>
    <n v="59"/>
    <x v="0"/>
    <x v="3"/>
    <x v="0"/>
    <x v="3"/>
    <n v="1"/>
    <n v="1600"/>
    <n v="10"/>
    <n v="1600"/>
    <n v="160"/>
    <n v="1440"/>
  </r>
  <r>
    <x v="439"/>
    <x v="339"/>
    <s v="CUST92949"/>
    <x v="0"/>
    <n v="43"/>
    <x v="2"/>
    <x v="0"/>
    <x v="2"/>
    <x v="0"/>
    <n v="2"/>
    <n v="6249"/>
    <n v="20"/>
    <n v="12498"/>
    <n v="2499.6"/>
    <n v="9998.4"/>
  </r>
  <r>
    <x v="440"/>
    <x v="340"/>
    <s v="CUST70928"/>
    <x v="1"/>
    <n v="35"/>
    <x v="1"/>
    <x v="4"/>
    <x v="0"/>
    <x v="1"/>
    <n v="6"/>
    <n v="4691"/>
    <n v="10"/>
    <n v="28146"/>
    <n v="2814.6"/>
    <n v="25331.4"/>
  </r>
  <r>
    <x v="441"/>
    <x v="341"/>
    <s v="CUST77320"/>
    <x v="0"/>
    <n v="20"/>
    <x v="3"/>
    <x v="3"/>
    <x v="5"/>
    <x v="2"/>
    <n v="2"/>
    <n v="4858"/>
    <n v="0"/>
    <n v="9716"/>
    <n v="0"/>
    <n v="9716"/>
  </r>
  <r>
    <x v="442"/>
    <x v="94"/>
    <s v="CUST14256"/>
    <x v="0"/>
    <n v="42"/>
    <x v="2"/>
    <x v="4"/>
    <x v="1"/>
    <x v="4"/>
    <n v="4"/>
    <n v="1643"/>
    <n v="5"/>
    <n v="6572"/>
    <n v="328.6"/>
    <n v="6243.4"/>
  </r>
  <r>
    <x v="443"/>
    <x v="342"/>
    <s v="CUST13962"/>
    <x v="1"/>
    <n v="26"/>
    <x v="1"/>
    <x v="5"/>
    <x v="2"/>
    <x v="0"/>
    <n v="4"/>
    <n v="4417"/>
    <n v="15"/>
    <n v="17668"/>
    <n v="2650.2"/>
    <n v="15017.8"/>
  </r>
  <r>
    <x v="444"/>
    <x v="343"/>
    <s v="CUST39965"/>
    <x v="1"/>
    <n v="57"/>
    <x v="0"/>
    <x v="1"/>
    <x v="1"/>
    <x v="4"/>
    <n v="7"/>
    <n v="2592"/>
    <n v="10"/>
    <n v="18144"/>
    <n v="1814.4"/>
    <n v="16329.6"/>
  </r>
  <r>
    <x v="445"/>
    <x v="185"/>
    <s v="CUST48763"/>
    <x v="1"/>
    <n v="64"/>
    <x v="0"/>
    <x v="5"/>
    <x v="5"/>
    <x v="0"/>
    <n v="5"/>
    <n v="2460"/>
    <n v="15"/>
    <n v="12300"/>
    <n v="1845"/>
    <n v="10455"/>
  </r>
  <r>
    <x v="446"/>
    <x v="47"/>
    <s v="CUST39043"/>
    <x v="0"/>
    <n v="22"/>
    <x v="3"/>
    <x v="1"/>
    <x v="3"/>
    <x v="0"/>
    <n v="6"/>
    <n v="4847"/>
    <n v="5"/>
    <n v="29082"/>
    <n v="1454.1"/>
    <n v="27627.9"/>
  </r>
  <r>
    <x v="447"/>
    <x v="344"/>
    <s v="CUST96314"/>
    <x v="0"/>
    <n v="33"/>
    <x v="1"/>
    <x v="1"/>
    <x v="1"/>
    <x v="4"/>
    <n v="6"/>
    <n v="4927"/>
    <n v="0"/>
    <n v="29562"/>
    <n v="0"/>
    <n v="29562"/>
  </r>
  <r>
    <x v="448"/>
    <x v="345"/>
    <s v="CUST99692"/>
    <x v="1"/>
    <n v="46"/>
    <x v="0"/>
    <x v="3"/>
    <x v="2"/>
    <x v="2"/>
    <n v="1"/>
    <n v="4483"/>
    <n v="0"/>
    <n v="4483"/>
    <n v="0"/>
    <n v="4483"/>
  </r>
  <r>
    <x v="449"/>
    <x v="346"/>
    <s v="CUST39488"/>
    <x v="0"/>
    <n v="22"/>
    <x v="3"/>
    <x v="2"/>
    <x v="4"/>
    <x v="3"/>
    <n v="4"/>
    <n v="4872"/>
    <n v="0"/>
    <n v="19488"/>
    <n v="0"/>
    <n v="19488"/>
  </r>
  <r>
    <x v="450"/>
    <x v="347"/>
    <s v="CUST30596"/>
    <x v="1"/>
    <n v="62"/>
    <x v="0"/>
    <x v="2"/>
    <x v="2"/>
    <x v="3"/>
    <n v="1"/>
    <n v="4191"/>
    <n v="5"/>
    <n v="4191"/>
    <n v="209.55"/>
    <n v="3981.45"/>
  </r>
  <r>
    <x v="451"/>
    <x v="199"/>
    <s v="CUST62906"/>
    <x v="1"/>
    <n v="42"/>
    <x v="2"/>
    <x v="5"/>
    <x v="0"/>
    <x v="2"/>
    <n v="4"/>
    <n v="4272"/>
    <n v="0"/>
    <n v="17088"/>
    <n v="0"/>
    <n v="17088"/>
  </r>
  <r>
    <x v="452"/>
    <x v="348"/>
    <s v="CUST31344"/>
    <x v="0"/>
    <n v="51"/>
    <x v="0"/>
    <x v="3"/>
    <x v="2"/>
    <x v="0"/>
    <n v="4"/>
    <n v="7576"/>
    <n v="0"/>
    <n v="30304"/>
    <n v="0"/>
    <n v="30304"/>
  </r>
  <r>
    <x v="453"/>
    <x v="146"/>
    <s v="CUST38172"/>
    <x v="1"/>
    <n v="62"/>
    <x v="0"/>
    <x v="5"/>
    <x v="1"/>
    <x v="3"/>
    <n v="4"/>
    <n v="674"/>
    <n v="10"/>
    <n v="2696"/>
    <n v="269.60000000000002"/>
    <n v="2426.4"/>
  </r>
  <r>
    <x v="454"/>
    <x v="349"/>
    <s v="CUST78641"/>
    <x v="0"/>
    <n v="41"/>
    <x v="2"/>
    <x v="2"/>
    <x v="0"/>
    <x v="2"/>
    <n v="6"/>
    <n v="3141"/>
    <n v="10"/>
    <n v="18846"/>
    <n v="1884.6"/>
    <n v="16961.400000000001"/>
  </r>
  <r>
    <x v="455"/>
    <x v="292"/>
    <s v="CUST39510"/>
    <x v="1"/>
    <n v="26"/>
    <x v="1"/>
    <x v="2"/>
    <x v="0"/>
    <x v="3"/>
    <n v="5"/>
    <n v="3323"/>
    <n v="15"/>
    <n v="16615"/>
    <n v="2492.25"/>
    <n v="14122.75"/>
  </r>
  <r>
    <x v="456"/>
    <x v="350"/>
    <s v="CUST44302"/>
    <x v="1"/>
    <n v="20"/>
    <x v="3"/>
    <x v="1"/>
    <x v="0"/>
    <x v="1"/>
    <n v="1"/>
    <n v="4884"/>
    <n v="0"/>
    <n v="4884"/>
    <n v="0"/>
    <n v="4884"/>
  </r>
  <r>
    <x v="457"/>
    <x v="351"/>
    <s v="CUST36351"/>
    <x v="0"/>
    <n v="32"/>
    <x v="1"/>
    <x v="2"/>
    <x v="0"/>
    <x v="2"/>
    <n v="2"/>
    <n v="6327"/>
    <n v="15"/>
    <n v="12654"/>
    <n v="1898.1"/>
    <n v="10755.9"/>
  </r>
  <r>
    <x v="458"/>
    <x v="352"/>
    <s v="CUST65599"/>
    <x v="0"/>
    <n v="44"/>
    <x v="2"/>
    <x v="0"/>
    <x v="1"/>
    <x v="2"/>
    <n v="2"/>
    <n v="761"/>
    <n v="0"/>
    <n v="1522"/>
    <n v="0"/>
    <n v="1522"/>
  </r>
  <r>
    <x v="459"/>
    <x v="207"/>
    <s v="CUST60932"/>
    <x v="1"/>
    <n v="33"/>
    <x v="1"/>
    <x v="1"/>
    <x v="1"/>
    <x v="2"/>
    <n v="6"/>
    <n v="3216"/>
    <n v="5"/>
    <n v="19296"/>
    <n v="964.8"/>
    <n v="18331.2"/>
  </r>
  <r>
    <x v="460"/>
    <x v="353"/>
    <s v="CUST33655"/>
    <x v="1"/>
    <n v="63"/>
    <x v="0"/>
    <x v="2"/>
    <x v="3"/>
    <x v="2"/>
    <n v="2"/>
    <n v="4770"/>
    <n v="5"/>
    <n v="9540"/>
    <n v="477"/>
    <n v="9063"/>
  </r>
  <r>
    <x v="461"/>
    <x v="160"/>
    <s v="CUST50051"/>
    <x v="1"/>
    <n v="33"/>
    <x v="1"/>
    <x v="4"/>
    <x v="0"/>
    <x v="1"/>
    <n v="4"/>
    <n v="2695"/>
    <n v="0"/>
    <n v="10780"/>
    <n v="0"/>
    <n v="10780"/>
  </r>
  <r>
    <x v="462"/>
    <x v="354"/>
    <s v="CUST82590"/>
    <x v="0"/>
    <n v="50"/>
    <x v="0"/>
    <x v="4"/>
    <x v="0"/>
    <x v="1"/>
    <n v="6"/>
    <n v="5985"/>
    <n v="15"/>
    <n v="35910"/>
    <n v="5386.5"/>
    <n v="30523.5"/>
  </r>
  <r>
    <x v="463"/>
    <x v="285"/>
    <s v="CUST37087"/>
    <x v="0"/>
    <n v="64"/>
    <x v="0"/>
    <x v="0"/>
    <x v="0"/>
    <x v="2"/>
    <n v="4"/>
    <n v="1348"/>
    <n v="15"/>
    <n v="5392"/>
    <n v="808.8"/>
    <n v="4583.2"/>
  </r>
  <r>
    <x v="464"/>
    <x v="355"/>
    <s v="CUST16948"/>
    <x v="1"/>
    <n v="56"/>
    <x v="0"/>
    <x v="5"/>
    <x v="0"/>
    <x v="3"/>
    <n v="2"/>
    <n v="5033"/>
    <n v="15"/>
    <n v="10066"/>
    <n v="1509.9"/>
    <n v="8556.1"/>
  </r>
  <r>
    <x v="465"/>
    <x v="86"/>
    <s v="CUST93510"/>
    <x v="1"/>
    <n v="46"/>
    <x v="0"/>
    <x v="5"/>
    <x v="5"/>
    <x v="0"/>
    <n v="7"/>
    <n v="6773"/>
    <n v="5"/>
    <n v="47411"/>
    <n v="2370.5500000000002"/>
    <n v="45040.45"/>
  </r>
  <r>
    <x v="466"/>
    <x v="356"/>
    <s v="CUST11357"/>
    <x v="1"/>
    <n v="42"/>
    <x v="2"/>
    <x v="1"/>
    <x v="2"/>
    <x v="4"/>
    <n v="6"/>
    <n v="7960"/>
    <n v="0"/>
    <n v="47760"/>
    <n v="0"/>
    <n v="47760"/>
  </r>
  <r>
    <x v="467"/>
    <x v="357"/>
    <s v="CUST40406"/>
    <x v="1"/>
    <n v="31"/>
    <x v="1"/>
    <x v="1"/>
    <x v="2"/>
    <x v="4"/>
    <n v="6"/>
    <n v="1070"/>
    <n v="15"/>
    <n v="6420"/>
    <n v="963"/>
    <n v="5457"/>
  </r>
  <r>
    <x v="468"/>
    <x v="120"/>
    <s v="CUST98872"/>
    <x v="0"/>
    <n v="24"/>
    <x v="3"/>
    <x v="0"/>
    <x v="3"/>
    <x v="2"/>
    <n v="5"/>
    <n v="4985"/>
    <n v="5"/>
    <n v="24925"/>
    <n v="1246.25"/>
    <n v="23678.75"/>
  </r>
  <r>
    <x v="469"/>
    <x v="358"/>
    <s v="CUST40737"/>
    <x v="1"/>
    <n v="34"/>
    <x v="1"/>
    <x v="0"/>
    <x v="0"/>
    <x v="0"/>
    <n v="3"/>
    <n v="6582"/>
    <n v="0"/>
    <n v="19746"/>
    <n v="0"/>
    <n v="19746"/>
  </r>
  <r>
    <x v="470"/>
    <x v="359"/>
    <s v="CUST70179"/>
    <x v="0"/>
    <n v="35"/>
    <x v="1"/>
    <x v="4"/>
    <x v="0"/>
    <x v="4"/>
    <n v="3"/>
    <n v="5345"/>
    <n v="0"/>
    <n v="16035"/>
    <n v="0"/>
    <n v="16035"/>
  </r>
  <r>
    <x v="471"/>
    <x v="211"/>
    <s v="CUST49001"/>
    <x v="1"/>
    <n v="22"/>
    <x v="3"/>
    <x v="4"/>
    <x v="2"/>
    <x v="0"/>
    <n v="6"/>
    <n v="2468"/>
    <n v="0"/>
    <n v="14808"/>
    <n v="0"/>
    <n v="14808"/>
  </r>
  <r>
    <x v="472"/>
    <x v="360"/>
    <s v="CUST67015"/>
    <x v="1"/>
    <n v="41"/>
    <x v="2"/>
    <x v="0"/>
    <x v="1"/>
    <x v="2"/>
    <n v="4"/>
    <n v="1062"/>
    <n v="5"/>
    <n v="4248"/>
    <n v="212.4"/>
    <n v="4035.6"/>
  </r>
  <r>
    <x v="473"/>
    <x v="361"/>
    <s v="CUST64010"/>
    <x v="0"/>
    <n v="59"/>
    <x v="0"/>
    <x v="5"/>
    <x v="0"/>
    <x v="1"/>
    <n v="1"/>
    <n v="3893"/>
    <n v="5"/>
    <n v="3893"/>
    <n v="194.65"/>
    <n v="3698.35"/>
  </r>
  <r>
    <x v="474"/>
    <x v="69"/>
    <s v="CUST80626"/>
    <x v="0"/>
    <n v="46"/>
    <x v="0"/>
    <x v="5"/>
    <x v="4"/>
    <x v="4"/>
    <n v="3"/>
    <n v="2107"/>
    <n v="5"/>
    <n v="6321"/>
    <n v="316.05"/>
    <n v="6004.95"/>
  </r>
  <r>
    <x v="475"/>
    <x v="289"/>
    <s v="CUST20698"/>
    <x v="1"/>
    <n v="52"/>
    <x v="0"/>
    <x v="3"/>
    <x v="0"/>
    <x v="0"/>
    <n v="1"/>
    <n v="4883"/>
    <n v="15"/>
    <n v="4883"/>
    <n v="732.45"/>
    <n v="4150.55"/>
  </r>
  <r>
    <x v="476"/>
    <x v="74"/>
    <s v="CUST63981"/>
    <x v="1"/>
    <n v="20"/>
    <x v="3"/>
    <x v="5"/>
    <x v="4"/>
    <x v="2"/>
    <n v="2"/>
    <n v="6921"/>
    <n v="0"/>
    <n v="13842"/>
    <n v="0"/>
    <n v="13842"/>
  </r>
  <r>
    <x v="477"/>
    <x v="336"/>
    <s v="CUST25262"/>
    <x v="1"/>
    <n v="32"/>
    <x v="1"/>
    <x v="5"/>
    <x v="5"/>
    <x v="3"/>
    <n v="6"/>
    <n v="5528"/>
    <n v="5"/>
    <n v="33168"/>
    <n v="1658.4"/>
    <n v="31509.599999999999"/>
  </r>
  <r>
    <x v="478"/>
    <x v="299"/>
    <s v="CUST45158"/>
    <x v="1"/>
    <n v="44"/>
    <x v="2"/>
    <x v="4"/>
    <x v="1"/>
    <x v="1"/>
    <n v="6"/>
    <n v="922"/>
    <n v="0"/>
    <n v="5532"/>
    <n v="0"/>
    <n v="5532"/>
  </r>
  <r>
    <x v="479"/>
    <x v="362"/>
    <s v="CUST50914"/>
    <x v="1"/>
    <n v="63"/>
    <x v="0"/>
    <x v="5"/>
    <x v="0"/>
    <x v="2"/>
    <n v="1"/>
    <n v="3856"/>
    <n v="0"/>
    <n v="3856"/>
    <n v="0"/>
    <n v="3856"/>
  </r>
  <r>
    <x v="480"/>
    <x v="363"/>
    <s v="CUST15041"/>
    <x v="0"/>
    <n v="41"/>
    <x v="2"/>
    <x v="4"/>
    <x v="0"/>
    <x v="1"/>
    <n v="2"/>
    <n v="5057"/>
    <n v="15"/>
    <n v="10114"/>
    <n v="1517.1"/>
    <n v="8596.9"/>
  </r>
  <r>
    <x v="481"/>
    <x v="91"/>
    <s v="CUST65279"/>
    <x v="1"/>
    <n v="57"/>
    <x v="0"/>
    <x v="1"/>
    <x v="2"/>
    <x v="1"/>
    <n v="3"/>
    <n v="7174"/>
    <n v="0"/>
    <n v="21522"/>
    <n v="0"/>
    <n v="21522"/>
  </r>
  <r>
    <x v="482"/>
    <x v="322"/>
    <s v="CUST53475"/>
    <x v="1"/>
    <n v="37"/>
    <x v="2"/>
    <x v="1"/>
    <x v="4"/>
    <x v="1"/>
    <n v="6"/>
    <n v="1595"/>
    <n v="0"/>
    <n v="9570"/>
    <n v="0"/>
    <n v="9570"/>
  </r>
  <r>
    <x v="483"/>
    <x v="364"/>
    <s v="CUST36416"/>
    <x v="1"/>
    <n v="62"/>
    <x v="0"/>
    <x v="4"/>
    <x v="2"/>
    <x v="2"/>
    <n v="7"/>
    <n v="661"/>
    <n v="5"/>
    <n v="4627"/>
    <n v="231.35"/>
    <n v="4395.6499999999996"/>
  </r>
  <r>
    <x v="484"/>
    <x v="365"/>
    <s v="CUST31749"/>
    <x v="0"/>
    <n v="34"/>
    <x v="1"/>
    <x v="5"/>
    <x v="3"/>
    <x v="0"/>
    <n v="3"/>
    <n v="7168"/>
    <n v="15"/>
    <n v="21504"/>
    <n v="3225.6"/>
    <n v="18278.400000000001"/>
  </r>
  <r>
    <x v="485"/>
    <x v="366"/>
    <s v="CUST63796"/>
    <x v="0"/>
    <n v="64"/>
    <x v="0"/>
    <x v="2"/>
    <x v="2"/>
    <x v="0"/>
    <n v="1"/>
    <n v="2274"/>
    <n v="15"/>
    <n v="2274"/>
    <n v="341.1"/>
    <n v="1932.9"/>
  </r>
  <r>
    <x v="486"/>
    <x v="367"/>
    <s v="CUST11541"/>
    <x v="1"/>
    <n v="55"/>
    <x v="0"/>
    <x v="0"/>
    <x v="5"/>
    <x v="3"/>
    <n v="5"/>
    <n v="2492"/>
    <n v="10"/>
    <n v="12460"/>
    <n v="1246"/>
    <n v="11214"/>
  </r>
  <r>
    <x v="487"/>
    <x v="244"/>
    <s v="CUST39743"/>
    <x v="1"/>
    <n v="45"/>
    <x v="2"/>
    <x v="0"/>
    <x v="0"/>
    <x v="0"/>
    <n v="6"/>
    <n v="524"/>
    <n v="5"/>
    <n v="3144"/>
    <n v="157.19999999999999"/>
    <n v="2986.8"/>
  </r>
  <r>
    <x v="488"/>
    <x v="35"/>
    <s v="CUST31376"/>
    <x v="0"/>
    <n v="57"/>
    <x v="0"/>
    <x v="3"/>
    <x v="2"/>
    <x v="2"/>
    <n v="5"/>
    <n v="1093"/>
    <n v="10"/>
    <n v="5465"/>
    <n v="546.5"/>
    <n v="4918.5"/>
  </r>
  <r>
    <x v="489"/>
    <x v="338"/>
    <s v="CUST85991"/>
    <x v="1"/>
    <n v="40"/>
    <x v="2"/>
    <x v="2"/>
    <x v="1"/>
    <x v="1"/>
    <n v="5"/>
    <n v="3466"/>
    <n v="15"/>
    <n v="17330"/>
    <n v="2599.5"/>
    <n v="14730.5"/>
  </r>
  <r>
    <x v="490"/>
    <x v="315"/>
    <s v="CUST68937"/>
    <x v="0"/>
    <n v="42"/>
    <x v="2"/>
    <x v="4"/>
    <x v="3"/>
    <x v="3"/>
    <n v="3"/>
    <n v="5003"/>
    <n v="5"/>
    <n v="15009"/>
    <n v="750.45"/>
    <n v="14258.55"/>
  </r>
  <r>
    <x v="491"/>
    <x v="368"/>
    <s v="CUST71881"/>
    <x v="1"/>
    <n v="63"/>
    <x v="0"/>
    <x v="3"/>
    <x v="0"/>
    <x v="2"/>
    <n v="5"/>
    <n v="7104"/>
    <n v="5"/>
    <n v="35520"/>
    <n v="1776"/>
    <n v="33744"/>
  </r>
  <r>
    <x v="492"/>
    <x v="19"/>
    <s v="CUST50379"/>
    <x v="0"/>
    <n v="36"/>
    <x v="2"/>
    <x v="4"/>
    <x v="0"/>
    <x v="0"/>
    <n v="2"/>
    <n v="1721"/>
    <n v="0"/>
    <n v="3442"/>
    <n v="0"/>
    <n v="3442"/>
  </r>
  <r>
    <x v="493"/>
    <x v="369"/>
    <s v="CUST71480"/>
    <x v="0"/>
    <n v="58"/>
    <x v="0"/>
    <x v="3"/>
    <x v="3"/>
    <x v="0"/>
    <n v="7"/>
    <n v="315"/>
    <n v="15"/>
    <n v="2205"/>
    <n v="330.75"/>
    <n v="1874.25"/>
  </r>
  <r>
    <x v="494"/>
    <x v="316"/>
    <s v="CUST71443"/>
    <x v="0"/>
    <n v="29"/>
    <x v="1"/>
    <x v="4"/>
    <x v="0"/>
    <x v="3"/>
    <n v="5"/>
    <n v="1390"/>
    <n v="5"/>
    <n v="6950"/>
    <n v="347.5"/>
    <n v="6602.5"/>
  </r>
  <r>
    <x v="495"/>
    <x v="303"/>
    <s v="CUST43338"/>
    <x v="1"/>
    <n v="62"/>
    <x v="0"/>
    <x v="2"/>
    <x v="5"/>
    <x v="0"/>
    <n v="6"/>
    <n v="4116"/>
    <n v="0"/>
    <n v="24696"/>
    <n v="0"/>
    <n v="24696"/>
  </r>
  <r>
    <x v="496"/>
    <x v="302"/>
    <s v="CUST26751"/>
    <x v="0"/>
    <n v="44"/>
    <x v="2"/>
    <x v="2"/>
    <x v="4"/>
    <x v="0"/>
    <n v="1"/>
    <n v="6309"/>
    <n v="0"/>
    <n v="6309"/>
    <n v="0"/>
    <n v="6309"/>
  </r>
  <r>
    <x v="497"/>
    <x v="370"/>
    <s v="CUST32054"/>
    <x v="1"/>
    <n v="58"/>
    <x v="0"/>
    <x v="1"/>
    <x v="2"/>
    <x v="3"/>
    <n v="5"/>
    <n v="6848"/>
    <n v="5"/>
    <n v="34240"/>
    <n v="1712"/>
    <n v="32528"/>
  </r>
  <r>
    <x v="498"/>
    <x v="156"/>
    <s v="CUST71924"/>
    <x v="0"/>
    <n v="34"/>
    <x v="1"/>
    <x v="1"/>
    <x v="2"/>
    <x v="0"/>
    <n v="1"/>
    <n v="5817"/>
    <n v="5"/>
    <n v="5817"/>
    <n v="290.85000000000002"/>
    <n v="5526.15"/>
  </r>
  <r>
    <x v="499"/>
    <x v="197"/>
    <s v="CUST84503"/>
    <x v="1"/>
    <n v="18"/>
    <x v="3"/>
    <x v="4"/>
    <x v="1"/>
    <x v="2"/>
    <n v="7"/>
    <n v="6780"/>
    <n v="0"/>
    <n v="47460"/>
    <n v="0"/>
    <n v="47460"/>
  </r>
  <r>
    <x v="500"/>
    <x v="134"/>
    <s v="CUST46858"/>
    <x v="0"/>
    <n v="35"/>
    <x v="1"/>
    <x v="0"/>
    <x v="3"/>
    <x v="4"/>
    <n v="7"/>
    <n v="4102"/>
    <n v="0"/>
    <n v="28714"/>
    <n v="0"/>
    <n v="28714"/>
  </r>
  <r>
    <x v="501"/>
    <x v="103"/>
    <s v="CUST26693"/>
    <x v="1"/>
    <n v="48"/>
    <x v="0"/>
    <x v="1"/>
    <x v="0"/>
    <x v="1"/>
    <n v="4"/>
    <n v="5141"/>
    <n v="5"/>
    <n v="20564"/>
    <n v="1028.2"/>
    <n v="19535.8"/>
  </r>
  <r>
    <x v="502"/>
    <x v="371"/>
    <s v="CUST78349"/>
    <x v="0"/>
    <n v="18"/>
    <x v="3"/>
    <x v="5"/>
    <x v="4"/>
    <x v="3"/>
    <n v="1"/>
    <n v="2103"/>
    <n v="0"/>
    <n v="2103"/>
    <n v="0"/>
    <n v="2103"/>
  </r>
  <r>
    <x v="503"/>
    <x v="6"/>
    <s v="CUST51129"/>
    <x v="1"/>
    <n v="21"/>
    <x v="3"/>
    <x v="4"/>
    <x v="5"/>
    <x v="0"/>
    <n v="2"/>
    <n v="6415"/>
    <n v="0"/>
    <n v="12830"/>
    <n v="0"/>
    <n v="12830"/>
  </r>
  <r>
    <x v="504"/>
    <x v="372"/>
    <s v="CUST23123"/>
    <x v="0"/>
    <n v="40"/>
    <x v="2"/>
    <x v="5"/>
    <x v="3"/>
    <x v="3"/>
    <n v="5"/>
    <n v="2199"/>
    <n v="5"/>
    <n v="10995"/>
    <n v="549.75"/>
    <n v="10445.25"/>
  </r>
  <r>
    <x v="505"/>
    <x v="10"/>
    <s v="CUST59134"/>
    <x v="1"/>
    <n v="60"/>
    <x v="0"/>
    <x v="5"/>
    <x v="5"/>
    <x v="1"/>
    <n v="3"/>
    <n v="5723"/>
    <n v="15"/>
    <n v="17169"/>
    <n v="2575.35"/>
    <n v="14593.65"/>
  </r>
  <r>
    <x v="506"/>
    <x v="237"/>
    <s v="CUST34626"/>
    <x v="1"/>
    <n v="42"/>
    <x v="2"/>
    <x v="3"/>
    <x v="2"/>
    <x v="0"/>
    <n v="6"/>
    <n v="2243"/>
    <n v="0"/>
    <n v="13458"/>
    <n v="0"/>
    <n v="13458"/>
  </r>
  <r>
    <x v="507"/>
    <x v="7"/>
    <s v="CUST90022"/>
    <x v="1"/>
    <n v="62"/>
    <x v="0"/>
    <x v="3"/>
    <x v="5"/>
    <x v="1"/>
    <n v="3"/>
    <n v="1504"/>
    <n v="20"/>
    <n v="4512"/>
    <n v="902.4"/>
    <n v="3609.6"/>
  </r>
  <r>
    <x v="508"/>
    <x v="373"/>
    <s v="CUST89734"/>
    <x v="0"/>
    <n v="23"/>
    <x v="3"/>
    <x v="0"/>
    <x v="3"/>
    <x v="0"/>
    <n v="3"/>
    <n v="306"/>
    <n v="10"/>
    <n v="918"/>
    <n v="91.8"/>
    <n v="826.2"/>
  </r>
  <r>
    <x v="509"/>
    <x v="213"/>
    <s v="CUST60557"/>
    <x v="0"/>
    <n v="60"/>
    <x v="0"/>
    <x v="5"/>
    <x v="0"/>
    <x v="3"/>
    <n v="2"/>
    <n v="7493"/>
    <n v="0"/>
    <n v="14986"/>
    <n v="0"/>
    <n v="14986"/>
  </r>
  <r>
    <x v="510"/>
    <x v="6"/>
    <s v="CUST77106"/>
    <x v="1"/>
    <n v="28"/>
    <x v="1"/>
    <x v="3"/>
    <x v="1"/>
    <x v="0"/>
    <n v="5"/>
    <n v="4562"/>
    <n v="20"/>
    <n v="22810"/>
    <n v="4562"/>
    <n v="18248"/>
  </r>
  <r>
    <x v="511"/>
    <x v="14"/>
    <s v="CUST54038"/>
    <x v="1"/>
    <n v="61"/>
    <x v="0"/>
    <x v="2"/>
    <x v="3"/>
    <x v="1"/>
    <n v="1"/>
    <n v="568"/>
    <n v="0"/>
    <n v="568"/>
    <n v="0"/>
    <n v="568"/>
  </r>
  <r>
    <x v="512"/>
    <x v="72"/>
    <s v="CUST31121"/>
    <x v="0"/>
    <n v="22"/>
    <x v="3"/>
    <x v="4"/>
    <x v="3"/>
    <x v="0"/>
    <n v="6"/>
    <n v="3504"/>
    <n v="0"/>
    <n v="21024"/>
    <n v="0"/>
    <n v="21024"/>
  </r>
  <r>
    <x v="513"/>
    <x v="183"/>
    <s v="CUST86750"/>
    <x v="0"/>
    <n v="20"/>
    <x v="3"/>
    <x v="5"/>
    <x v="5"/>
    <x v="3"/>
    <n v="3"/>
    <n v="906"/>
    <n v="15"/>
    <n v="2718"/>
    <n v="407.7"/>
    <n v="2310.3000000000002"/>
  </r>
  <r>
    <x v="514"/>
    <x v="374"/>
    <s v="CUST74451"/>
    <x v="1"/>
    <n v="47"/>
    <x v="0"/>
    <x v="3"/>
    <x v="3"/>
    <x v="0"/>
    <n v="7"/>
    <n v="3060"/>
    <n v="5"/>
    <n v="21420"/>
    <n v="1071"/>
    <n v="20349"/>
  </r>
  <r>
    <x v="515"/>
    <x v="375"/>
    <s v="CUST20100"/>
    <x v="0"/>
    <n v="54"/>
    <x v="0"/>
    <x v="5"/>
    <x v="0"/>
    <x v="1"/>
    <n v="6"/>
    <n v="3876"/>
    <n v="0"/>
    <n v="23256"/>
    <n v="0"/>
    <n v="23256"/>
  </r>
  <r>
    <x v="516"/>
    <x v="307"/>
    <s v="CUST18598"/>
    <x v="1"/>
    <n v="35"/>
    <x v="1"/>
    <x v="2"/>
    <x v="4"/>
    <x v="3"/>
    <n v="4"/>
    <n v="575"/>
    <n v="0"/>
    <n v="2300"/>
    <n v="0"/>
    <n v="2300"/>
  </r>
  <r>
    <x v="517"/>
    <x v="302"/>
    <s v="CUST35675"/>
    <x v="1"/>
    <n v="19"/>
    <x v="3"/>
    <x v="5"/>
    <x v="3"/>
    <x v="0"/>
    <n v="5"/>
    <n v="6929"/>
    <n v="10"/>
    <n v="34645"/>
    <n v="3464.5"/>
    <n v="31180.5"/>
  </r>
  <r>
    <x v="518"/>
    <x v="376"/>
    <s v="CUST85160"/>
    <x v="1"/>
    <n v="33"/>
    <x v="1"/>
    <x v="0"/>
    <x v="4"/>
    <x v="1"/>
    <n v="7"/>
    <n v="6015"/>
    <n v="0"/>
    <n v="42105"/>
    <n v="0"/>
    <n v="42105"/>
  </r>
  <r>
    <x v="519"/>
    <x v="167"/>
    <s v="CUST11173"/>
    <x v="1"/>
    <n v="59"/>
    <x v="0"/>
    <x v="3"/>
    <x v="4"/>
    <x v="3"/>
    <n v="7"/>
    <n v="6958"/>
    <n v="5"/>
    <n v="48706"/>
    <n v="2435.3000000000002"/>
    <n v="46270.7"/>
  </r>
  <r>
    <x v="520"/>
    <x v="377"/>
    <s v="CUST87533"/>
    <x v="1"/>
    <n v="32"/>
    <x v="1"/>
    <x v="5"/>
    <x v="0"/>
    <x v="3"/>
    <n v="6"/>
    <n v="823"/>
    <n v="10"/>
    <n v="4938"/>
    <n v="493.8"/>
    <n v="4444.2"/>
  </r>
  <r>
    <x v="521"/>
    <x v="239"/>
    <s v="CUST22914"/>
    <x v="1"/>
    <n v="60"/>
    <x v="0"/>
    <x v="5"/>
    <x v="2"/>
    <x v="4"/>
    <n v="5"/>
    <n v="4641"/>
    <n v="0"/>
    <n v="23205"/>
    <n v="0"/>
    <n v="23205"/>
  </r>
  <r>
    <x v="522"/>
    <x v="322"/>
    <s v="CUST35879"/>
    <x v="0"/>
    <n v="54"/>
    <x v="0"/>
    <x v="2"/>
    <x v="0"/>
    <x v="2"/>
    <n v="1"/>
    <n v="1496"/>
    <n v="15"/>
    <n v="1496"/>
    <n v="224.4"/>
    <n v="1271.5999999999999"/>
  </r>
  <r>
    <x v="523"/>
    <x v="149"/>
    <s v="CUST53465"/>
    <x v="0"/>
    <n v="22"/>
    <x v="3"/>
    <x v="0"/>
    <x v="5"/>
    <x v="0"/>
    <n v="1"/>
    <n v="3549"/>
    <n v="10"/>
    <n v="3549"/>
    <n v="354.9"/>
    <n v="3194.1"/>
  </r>
  <r>
    <x v="524"/>
    <x v="359"/>
    <s v="CUST56273"/>
    <x v="1"/>
    <n v="64"/>
    <x v="0"/>
    <x v="4"/>
    <x v="2"/>
    <x v="1"/>
    <n v="2"/>
    <n v="7146"/>
    <n v="10"/>
    <n v="14292"/>
    <n v="1429.2"/>
    <n v="12862.8"/>
  </r>
  <r>
    <x v="525"/>
    <x v="378"/>
    <s v="CUST95895"/>
    <x v="0"/>
    <n v="24"/>
    <x v="3"/>
    <x v="3"/>
    <x v="0"/>
    <x v="1"/>
    <n v="5"/>
    <n v="5700"/>
    <n v="5"/>
    <n v="28500"/>
    <n v="1425"/>
    <n v="27075"/>
  </r>
  <r>
    <x v="526"/>
    <x v="379"/>
    <s v="CUST32439"/>
    <x v="1"/>
    <n v="50"/>
    <x v="0"/>
    <x v="4"/>
    <x v="4"/>
    <x v="0"/>
    <n v="3"/>
    <n v="6671"/>
    <n v="5"/>
    <n v="20013"/>
    <n v="1000.65"/>
    <n v="19012.349999999999"/>
  </r>
  <r>
    <x v="527"/>
    <x v="380"/>
    <s v="CUST81810"/>
    <x v="0"/>
    <n v="22"/>
    <x v="3"/>
    <x v="0"/>
    <x v="0"/>
    <x v="1"/>
    <n v="7"/>
    <n v="2673"/>
    <n v="0"/>
    <n v="18711"/>
    <n v="0"/>
    <n v="18711"/>
  </r>
  <r>
    <x v="528"/>
    <x v="112"/>
    <s v="CUST88862"/>
    <x v="0"/>
    <n v="37"/>
    <x v="2"/>
    <x v="1"/>
    <x v="2"/>
    <x v="2"/>
    <n v="3"/>
    <n v="2924"/>
    <n v="5"/>
    <n v="8772"/>
    <n v="438.6"/>
    <n v="8333.4"/>
  </r>
  <r>
    <x v="529"/>
    <x v="127"/>
    <s v="CUST42618"/>
    <x v="1"/>
    <n v="19"/>
    <x v="3"/>
    <x v="1"/>
    <x v="1"/>
    <x v="4"/>
    <n v="1"/>
    <n v="6042"/>
    <n v="0"/>
    <n v="6042"/>
    <n v="0"/>
    <n v="6042"/>
  </r>
  <r>
    <x v="530"/>
    <x v="381"/>
    <s v="CUST55045"/>
    <x v="0"/>
    <n v="47"/>
    <x v="0"/>
    <x v="1"/>
    <x v="3"/>
    <x v="4"/>
    <n v="7"/>
    <n v="5871"/>
    <n v="10"/>
    <n v="41097"/>
    <n v="4109.7"/>
    <n v="36987.300000000003"/>
  </r>
  <r>
    <x v="531"/>
    <x v="382"/>
    <s v="CUST99480"/>
    <x v="0"/>
    <n v="27"/>
    <x v="1"/>
    <x v="4"/>
    <x v="1"/>
    <x v="3"/>
    <n v="5"/>
    <n v="2538"/>
    <n v="5"/>
    <n v="12690"/>
    <n v="634.5"/>
    <n v="12055.5"/>
  </r>
  <r>
    <x v="532"/>
    <x v="111"/>
    <s v="CUST85064"/>
    <x v="1"/>
    <n v="49"/>
    <x v="0"/>
    <x v="5"/>
    <x v="1"/>
    <x v="0"/>
    <n v="1"/>
    <n v="4528"/>
    <n v="0"/>
    <n v="4528"/>
    <n v="0"/>
    <n v="4528"/>
  </r>
  <r>
    <x v="533"/>
    <x v="383"/>
    <s v="CUST95641"/>
    <x v="1"/>
    <n v="51"/>
    <x v="0"/>
    <x v="4"/>
    <x v="2"/>
    <x v="4"/>
    <n v="3"/>
    <n v="7536"/>
    <n v="0"/>
    <n v="22608"/>
    <n v="0"/>
    <n v="22608"/>
  </r>
  <r>
    <x v="534"/>
    <x v="242"/>
    <s v="CUST46563"/>
    <x v="0"/>
    <n v="52"/>
    <x v="0"/>
    <x v="2"/>
    <x v="1"/>
    <x v="1"/>
    <n v="6"/>
    <n v="1600"/>
    <n v="5"/>
    <n v="9600"/>
    <n v="480"/>
    <n v="9120"/>
  </r>
  <r>
    <x v="535"/>
    <x v="384"/>
    <s v="CUST14288"/>
    <x v="1"/>
    <n v="45"/>
    <x v="2"/>
    <x v="4"/>
    <x v="1"/>
    <x v="3"/>
    <n v="3"/>
    <n v="1431"/>
    <n v="5"/>
    <n v="4293"/>
    <n v="214.65"/>
    <n v="4078.35"/>
  </r>
  <r>
    <x v="536"/>
    <x v="240"/>
    <s v="CUST67171"/>
    <x v="1"/>
    <n v="38"/>
    <x v="2"/>
    <x v="5"/>
    <x v="2"/>
    <x v="4"/>
    <n v="1"/>
    <n v="2375"/>
    <n v="20"/>
    <n v="2375"/>
    <n v="475"/>
    <n v="1900"/>
  </r>
  <r>
    <x v="537"/>
    <x v="68"/>
    <s v="CUST43682"/>
    <x v="1"/>
    <n v="32"/>
    <x v="1"/>
    <x v="1"/>
    <x v="0"/>
    <x v="3"/>
    <n v="6"/>
    <n v="870"/>
    <n v="0"/>
    <n v="5220"/>
    <n v="0"/>
    <n v="5220"/>
  </r>
  <r>
    <x v="538"/>
    <x v="385"/>
    <s v="CUST69535"/>
    <x v="0"/>
    <n v="41"/>
    <x v="2"/>
    <x v="1"/>
    <x v="4"/>
    <x v="0"/>
    <n v="6"/>
    <n v="3163"/>
    <n v="5"/>
    <n v="18978"/>
    <n v="948.9"/>
    <n v="18029.099999999999"/>
  </r>
  <r>
    <x v="539"/>
    <x v="116"/>
    <s v="CUST66394"/>
    <x v="1"/>
    <n v="43"/>
    <x v="2"/>
    <x v="5"/>
    <x v="1"/>
    <x v="4"/>
    <n v="7"/>
    <n v="2199"/>
    <n v="20"/>
    <n v="15393"/>
    <n v="3078.6"/>
    <n v="12314.4"/>
  </r>
  <r>
    <x v="540"/>
    <x v="386"/>
    <s v="CUST91290"/>
    <x v="1"/>
    <n v="61"/>
    <x v="0"/>
    <x v="1"/>
    <x v="1"/>
    <x v="1"/>
    <n v="4"/>
    <n v="5454"/>
    <n v="0"/>
    <n v="21816"/>
    <n v="0"/>
    <n v="21816"/>
  </r>
  <r>
    <x v="541"/>
    <x v="387"/>
    <s v="CUST61652"/>
    <x v="0"/>
    <n v="29"/>
    <x v="1"/>
    <x v="1"/>
    <x v="1"/>
    <x v="2"/>
    <n v="3"/>
    <n v="5128"/>
    <n v="5"/>
    <n v="15384"/>
    <n v="769.2"/>
    <n v="14614.8"/>
  </r>
  <r>
    <x v="542"/>
    <x v="60"/>
    <s v="CUST56182"/>
    <x v="1"/>
    <n v="27"/>
    <x v="1"/>
    <x v="5"/>
    <x v="3"/>
    <x v="3"/>
    <n v="4"/>
    <n v="4198"/>
    <n v="15"/>
    <n v="16792"/>
    <n v="2518.8000000000002"/>
    <n v="14273.2"/>
  </r>
  <r>
    <x v="543"/>
    <x v="359"/>
    <s v="CUST83414"/>
    <x v="1"/>
    <n v="41"/>
    <x v="2"/>
    <x v="3"/>
    <x v="3"/>
    <x v="2"/>
    <n v="3"/>
    <n v="4471"/>
    <n v="15"/>
    <n v="13413"/>
    <n v="2011.95"/>
    <n v="11401.05"/>
  </r>
  <r>
    <x v="544"/>
    <x v="388"/>
    <s v="CUST78360"/>
    <x v="0"/>
    <n v="21"/>
    <x v="3"/>
    <x v="5"/>
    <x v="0"/>
    <x v="2"/>
    <n v="7"/>
    <n v="2103"/>
    <n v="0"/>
    <n v="14721"/>
    <n v="0"/>
    <n v="14721"/>
  </r>
  <r>
    <x v="545"/>
    <x v="389"/>
    <s v="CUST44567"/>
    <x v="1"/>
    <n v="37"/>
    <x v="2"/>
    <x v="2"/>
    <x v="1"/>
    <x v="2"/>
    <n v="6"/>
    <n v="2913"/>
    <n v="10"/>
    <n v="17478"/>
    <n v="1747.8"/>
    <n v="15730.2"/>
  </r>
  <r>
    <x v="546"/>
    <x v="390"/>
    <s v="CUST78825"/>
    <x v="0"/>
    <n v="45"/>
    <x v="2"/>
    <x v="2"/>
    <x v="5"/>
    <x v="2"/>
    <n v="2"/>
    <n v="700"/>
    <n v="0"/>
    <n v="1400"/>
    <n v="0"/>
    <n v="1400"/>
  </r>
  <r>
    <x v="547"/>
    <x v="391"/>
    <s v="CUST96077"/>
    <x v="0"/>
    <n v="41"/>
    <x v="2"/>
    <x v="5"/>
    <x v="0"/>
    <x v="3"/>
    <n v="7"/>
    <n v="936"/>
    <n v="20"/>
    <n v="6552"/>
    <n v="1310.4000000000001"/>
    <n v="5241.6000000000004"/>
  </r>
  <r>
    <x v="548"/>
    <x v="392"/>
    <s v="CUST91237"/>
    <x v="1"/>
    <n v="59"/>
    <x v="0"/>
    <x v="1"/>
    <x v="0"/>
    <x v="4"/>
    <n v="2"/>
    <n v="4900"/>
    <n v="10"/>
    <n v="9800"/>
    <n v="980"/>
    <n v="8820"/>
  </r>
  <r>
    <x v="549"/>
    <x v="393"/>
    <s v="CUST31548"/>
    <x v="1"/>
    <n v="18"/>
    <x v="3"/>
    <x v="5"/>
    <x v="0"/>
    <x v="1"/>
    <n v="7"/>
    <n v="2301"/>
    <n v="20"/>
    <n v="16107"/>
    <n v="3221.4"/>
    <n v="12885.6"/>
  </r>
  <r>
    <x v="550"/>
    <x v="382"/>
    <s v="CUST56320"/>
    <x v="0"/>
    <n v="31"/>
    <x v="1"/>
    <x v="3"/>
    <x v="2"/>
    <x v="4"/>
    <n v="3"/>
    <n v="7250"/>
    <n v="5"/>
    <n v="21750"/>
    <n v="1087.5"/>
    <n v="20662.5"/>
  </r>
  <r>
    <x v="551"/>
    <x v="394"/>
    <s v="CUST45836"/>
    <x v="1"/>
    <n v="39"/>
    <x v="2"/>
    <x v="3"/>
    <x v="2"/>
    <x v="0"/>
    <n v="7"/>
    <n v="2599"/>
    <n v="0"/>
    <n v="18193"/>
    <n v="0"/>
    <n v="18193"/>
  </r>
  <r>
    <x v="552"/>
    <x v="328"/>
    <s v="CUST63603"/>
    <x v="0"/>
    <n v="24"/>
    <x v="3"/>
    <x v="4"/>
    <x v="3"/>
    <x v="4"/>
    <n v="5"/>
    <n v="2502"/>
    <n v="5"/>
    <n v="12510"/>
    <n v="625.5"/>
    <n v="11884.5"/>
  </r>
  <r>
    <x v="553"/>
    <x v="192"/>
    <s v="CUST87013"/>
    <x v="0"/>
    <n v="64"/>
    <x v="0"/>
    <x v="0"/>
    <x v="4"/>
    <x v="2"/>
    <n v="7"/>
    <n v="3120"/>
    <n v="15"/>
    <n v="21840"/>
    <n v="3276"/>
    <n v="18564"/>
  </r>
  <r>
    <x v="554"/>
    <x v="305"/>
    <s v="CUST36089"/>
    <x v="1"/>
    <n v="39"/>
    <x v="2"/>
    <x v="5"/>
    <x v="4"/>
    <x v="2"/>
    <n v="6"/>
    <n v="3185"/>
    <n v="10"/>
    <n v="19110"/>
    <n v="1911"/>
    <n v="17199"/>
  </r>
  <r>
    <x v="555"/>
    <x v="395"/>
    <s v="CUST68821"/>
    <x v="0"/>
    <n v="40"/>
    <x v="2"/>
    <x v="4"/>
    <x v="0"/>
    <x v="2"/>
    <n v="2"/>
    <n v="1133"/>
    <n v="15"/>
    <n v="2266"/>
    <n v="339.9"/>
    <n v="1926.1"/>
  </r>
  <r>
    <x v="556"/>
    <x v="287"/>
    <s v="CUST66709"/>
    <x v="0"/>
    <n v="35"/>
    <x v="1"/>
    <x v="1"/>
    <x v="2"/>
    <x v="0"/>
    <n v="6"/>
    <n v="2912"/>
    <n v="0"/>
    <n v="17472"/>
    <n v="0"/>
    <n v="17472"/>
  </r>
  <r>
    <x v="557"/>
    <x v="23"/>
    <s v="CUST86126"/>
    <x v="1"/>
    <n v="23"/>
    <x v="3"/>
    <x v="5"/>
    <x v="1"/>
    <x v="0"/>
    <n v="4"/>
    <n v="3361"/>
    <n v="0"/>
    <n v="13444"/>
    <n v="0"/>
    <n v="13444"/>
  </r>
  <r>
    <x v="558"/>
    <x v="101"/>
    <s v="CUST74640"/>
    <x v="0"/>
    <n v="21"/>
    <x v="3"/>
    <x v="3"/>
    <x v="3"/>
    <x v="1"/>
    <n v="2"/>
    <n v="1356"/>
    <n v="15"/>
    <n v="2712"/>
    <n v="406.8"/>
    <n v="2305.1999999999998"/>
  </r>
  <r>
    <x v="559"/>
    <x v="24"/>
    <s v="CUST86682"/>
    <x v="1"/>
    <n v="20"/>
    <x v="3"/>
    <x v="0"/>
    <x v="4"/>
    <x v="4"/>
    <n v="1"/>
    <n v="5902"/>
    <n v="0"/>
    <n v="5902"/>
    <n v="0"/>
    <n v="5902"/>
  </r>
  <r>
    <x v="560"/>
    <x v="396"/>
    <s v="CUST48102"/>
    <x v="1"/>
    <n v="27"/>
    <x v="1"/>
    <x v="3"/>
    <x v="3"/>
    <x v="0"/>
    <n v="7"/>
    <n v="4112"/>
    <n v="5"/>
    <n v="28784"/>
    <n v="1439.2"/>
    <n v="27344.799999999999"/>
  </r>
  <r>
    <x v="561"/>
    <x v="268"/>
    <s v="CUST68593"/>
    <x v="1"/>
    <n v="47"/>
    <x v="0"/>
    <x v="3"/>
    <x v="5"/>
    <x v="3"/>
    <n v="6"/>
    <n v="7365"/>
    <n v="10"/>
    <n v="44190"/>
    <n v="4419"/>
    <n v="39771"/>
  </r>
  <r>
    <x v="562"/>
    <x v="397"/>
    <s v="CUST72766"/>
    <x v="0"/>
    <n v="29"/>
    <x v="1"/>
    <x v="5"/>
    <x v="5"/>
    <x v="2"/>
    <n v="1"/>
    <n v="6923"/>
    <n v="0"/>
    <n v="6923"/>
    <n v="0"/>
    <n v="6923"/>
  </r>
  <r>
    <x v="563"/>
    <x v="398"/>
    <s v="CUST15849"/>
    <x v="1"/>
    <n v="18"/>
    <x v="3"/>
    <x v="5"/>
    <x v="1"/>
    <x v="4"/>
    <n v="3"/>
    <n v="194"/>
    <n v="10"/>
    <n v="582"/>
    <n v="58.2"/>
    <n v="523.79999999999995"/>
  </r>
  <r>
    <x v="564"/>
    <x v="399"/>
    <s v="CUST60225"/>
    <x v="0"/>
    <n v="19"/>
    <x v="3"/>
    <x v="4"/>
    <x v="0"/>
    <x v="3"/>
    <n v="1"/>
    <n v="7960"/>
    <n v="0"/>
    <n v="7960"/>
    <n v="0"/>
    <n v="7960"/>
  </r>
  <r>
    <x v="565"/>
    <x v="400"/>
    <s v="CUST43788"/>
    <x v="1"/>
    <n v="34"/>
    <x v="1"/>
    <x v="4"/>
    <x v="4"/>
    <x v="0"/>
    <n v="2"/>
    <n v="1317"/>
    <n v="0"/>
    <n v="2634"/>
    <n v="0"/>
    <n v="2634"/>
  </r>
  <r>
    <x v="566"/>
    <x v="129"/>
    <s v="CUST34864"/>
    <x v="1"/>
    <n v="26"/>
    <x v="1"/>
    <x v="5"/>
    <x v="0"/>
    <x v="2"/>
    <n v="6"/>
    <n v="423"/>
    <n v="5"/>
    <n v="2538"/>
    <n v="126.9"/>
    <n v="2411.1"/>
  </r>
  <r>
    <x v="567"/>
    <x v="401"/>
    <s v="CUST82277"/>
    <x v="0"/>
    <n v="41"/>
    <x v="2"/>
    <x v="5"/>
    <x v="1"/>
    <x v="0"/>
    <n v="3"/>
    <n v="1076"/>
    <n v="0"/>
    <n v="3228"/>
    <n v="0"/>
    <n v="3228"/>
  </r>
  <r>
    <x v="568"/>
    <x v="402"/>
    <s v="CUST36487"/>
    <x v="1"/>
    <n v="42"/>
    <x v="2"/>
    <x v="3"/>
    <x v="4"/>
    <x v="1"/>
    <n v="4"/>
    <n v="2836"/>
    <n v="15"/>
    <n v="11344"/>
    <n v="1701.6"/>
    <n v="9642.4"/>
  </r>
  <r>
    <x v="569"/>
    <x v="403"/>
    <s v="CUST91440"/>
    <x v="0"/>
    <n v="18"/>
    <x v="3"/>
    <x v="3"/>
    <x v="0"/>
    <x v="1"/>
    <n v="1"/>
    <n v="3773"/>
    <n v="0"/>
    <n v="3773"/>
    <n v="0"/>
    <n v="3773"/>
  </r>
  <r>
    <x v="570"/>
    <x v="404"/>
    <s v="CUST96398"/>
    <x v="1"/>
    <n v="61"/>
    <x v="0"/>
    <x v="0"/>
    <x v="2"/>
    <x v="2"/>
    <n v="1"/>
    <n v="1086"/>
    <n v="10"/>
    <n v="1086"/>
    <n v="108.6"/>
    <n v="977.4"/>
  </r>
  <r>
    <x v="571"/>
    <x v="351"/>
    <s v="CUST91730"/>
    <x v="0"/>
    <n v="62"/>
    <x v="0"/>
    <x v="1"/>
    <x v="4"/>
    <x v="0"/>
    <n v="4"/>
    <n v="6878"/>
    <n v="0"/>
    <n v="27512"/>
    <n v="0"/>
    <n v="27512"/>
  </r>
  <r>
    <x v="572"/>
    <x v="405"/>
    <s v="CUST20251"/>
    <x v="0"/>
    <n v="22"/>
    <x v="3"/>
    <x v="2"/>
    <x v="1"/>
    <x v="4"/>
    <n v="6"/>
    <n v="1017"/>
    <n v="5"/>
    <n v="6102"/>
    <n v="305.10000000000002"/>
    <n v="5796.9"/>
  </r>
  <r>
    <x v="573"/>
    <x v="398"/>
    <s v="CUST99015"/>
    <x v="1"/>
    <n v="19"/>
    <x v="3"/>
    <x v="3"/>
    <x v="0"/>
    <x v="0"/>
    <n v="2"/>
    <n v="1668"/>
    <n v="0"/>
    <n v="3336"/>
    <n v="0"/>
    <n v="3336"/>
  </r>
  <r>
    <x v="574"/>
    <x v="58"/>
    <s v="CUST73695"/>
    <x v="0"/>
    <n v="43"/>
    <x v="2"/>
    <x v="5"/>
    <x v="0"/>
    <x v="1"/>
    <n v="3"/>
    <n v="1563"/>
    <n v="0"/>
    <n v="4689"/>
    <n v="0"/>
    <n v="4689"/>
  </r>
  <r>
    <x v="575"/>
    <x v="313"/>
    <s v="CUST78657"/>
    <x v="0"/>
    <n v="53"/>
    <x v="0"/>
    <x v="4"/>
    <x v="0"/>
    <x v="3"/>
    <n v="1"/>
    <n v="3529"/>
    <n v="0"/>
    <n v="3529"/>
    <n v="0"/>
    <n v="3529"/>
  </r>
  <r>
    <x v="576"/>
    <x v="63"/>
    <s v="CUST68102"/>
    <x v="1"/>
    <n v="27"/>
    <x v="1"/>
    <x v="2"/>
    <x v="4"/>
    <x v="2"/>
    <n v="4"/>
    <n v="309"/>
    <n v="10"/>
    <n v="1236"/>
    <n v="123.6"/>
    <n v="1112.4000000000001"/>
  </r>
  <r>
    <x v="577"/>
    <x v="406"/>
    <s v="CUST47727"/>
    <x v="1"/>
    <n v="59"/>
    <x v="0"/>
    <x v="4"/>
    <x v="2"/>
    <x v="3"/>
    <n v="1"/>
    <n v="717"/>
    <n v="10"/>
    <n v="717"/>
    <n v="71.7"/>
    <n v="645.29999999999995"/>
  </r>
  <r>
    <x v="578"/>
    <x v="407"/>
    <s v="CUST54757"/>
    <x v="1"/>
    <n v="22"/>
    <x v="3"/>
    <x v="2"/>
    <x v="1"/>
    <x v="0"/>
    <n v="4"/>
    <n v="434"/>
    <n v="10"/>
    <n v="1736"/>
    <n v="173.6"/>
    <n v="1562.4"/>
  </r>
  <r>
    <x v="579"/>
    <x v="408"/>
    <s v="CUST56865"/>
    <x v="1"/>
    <n v="24"/>
    <x v="3"/>
    <x v="3"/>
    <x v="0"/>
    <x v="2"/>
    <n v="5"/>
    <n v="505"/>
    <n v="15"/>
    <n v="2525"/>
    <n v="378.75"/>
    <n v="2146.25"/>
  </r>
  <r>
    <x v="580"/>
    <x v="409"/>
    <s v="CUST10119"/>
    <x v="1"/>
    <n v="64"/>
    <x v="0"/>
    <x v="1"/>
    <x v="5"/>
    <x v="0"/>
    <n v="3"/>
    <n v="480"/>
    <n v="0"/>
    <n v="1440"/>
    <n v="0"/>
    <n v="1440"/>
  </r>
  <r>
    <x v="581"/>
    <x v="232"/>
    <s v="CUST33293"/>
    <x v="1"/>
    <n v="60"/>
    <x v="0"/>
    <x v="5"/>
    <x v="3"/>
    <x v="2"/>
    <n v="7"/>
    <n v="3220"/>
    <n v="5"/>
    <n v="22540"/>
    <n v="1127"/>
    <n v="21413"/>
  </r>
  <r>
    <x v="582"/>
    <x v="410"/>
    <s v="CUST91168"/>
    <x v="1"/>
    <n v="26"/>
    <x v="1"/>
    <x v="0"/>
    <x v="4"/>
    <x v="0"/>
    <n v="5"/>
    <n v="4410"/>
    <n v="10"/>
    <n v="22050"/>
    <n v="2205"/>
    <n v="19845"/>
  </r>
  <r>
    <x v="583"/>
    <x v="55"/>
    <s v="CUST27263"/>
    <x v="1"/>
    <n v="22"/>
    <x v="3"/>
    <x v="1"/>
    <x v="0"/>
    <x v="3"/>
    <n v="3"/>
    <n v="475"/>
    <n v="15"/>
    <n v="1425"/>
    <n v="213.75"/>
    <n v="1211.25"/>
  </r>
  <r>
    <x v="584"/>
    <x v="411"/>
    <s v="CUST47157"/>
    <x v="1"/>
    <n v="41"/>
    <x v="2"/>
    <x v="1"/>
    <x v="1"/>
    <x v="3"/>
    <n v="3"/>
    <n v="676"/>
    <n v="0"/>
    <n v="2028"/>
    <n v="0"/>
    <n v="2028"/>
  </r>
  <r>
    <x v="585"/>
    <x v="412"/>
    <s v="CUST28452"/>
    <x v="0"/>
    <n v="35"/>
    <x v="1"/>
    <x v="4"/>
    <x v="0"/>
    <x v="0"/>
    <n v="2"/>
    <n v="5442"/>
    <n v="15"/>
    <n v="10884"/>
    <n v="1632.6"/>
    <n v="9251.4"/>
  </r>
  <r>
    <x v="586"/>
    <x v="113"/>
    <s v="CUST73935"/>
    <x v="1"/>
    <n v="21"/>
    <x v="3"/>
    <x v="2"/>
    <x v="0"/>
    <x v="3"/>
    <n v="5"/>
    <n v="1282"/>
    <n v="0"/>
    <n v="6410"/>
    <n v="0"/>
    <n v="6410"/>
  </r>
  <r>
    <x v="587"/>
    <x v="413"/>
    <s v="CUST88666"/>
    <x v="0"/>
    <n v="29"/>
    <x v="1"/>
    <x v="4"/>
    <x v="0"/>
    <x v="2"/>
    <n v="4"/>
    <n v="3759"/>
    <n v="0"/>
    <n v="15036"/>
    <n v="0"/>
    <n v="15036"/>
  </r>
  <r>
    <x v="588"/>
    <x v="414"/>
    <s v="CUST49984"/>
    <x v="1"/>
    <n v="59"/>
    <x v="0"/>
    <x v="5"/>
    <x v="0"/>
    <x v="3"/>
    <n v="1"/>
    <n v="914"/>
    <n v="0"/>
    <n v="914"/>
    <n v="0"/>
    <n v="914"/>
  </r>
  <r>
    <x v="589"/>
    <x v="265"/>
    <s v="CUST31194"/>
    <x v="0"/>
    <n v="24"/>
    <x v="3"/>
    <x v="2"/>
    <x v="4"/>
    <x v="3"/>
    <n v="7"/>
    <n v="2538"/>
    <n v="20"/>
    <n v="17766"/>
    <n v="3553.2"/>
    <n v="14212.8"/>
  </r>
  <r>
    <x v="590"/>
    <x v="415"/>
    <s v="CUST37590"/>
    <x v="0"/>
    <n v="36"/>
    <x v="2"/>
    <x v="5"/>
    <x v="2"/>
    <x v="3"/>
    <n v="1"/>
    <n v="2243"/>
    <n v="0"/>
    <n v="2243"/>
    <n v="0"/>
    <n v="2243"/>
  </r>
  <r>
    <x v="591"/>
    <x v="260"/>
    <s v="CUST90595"/>
    <x v="0"/>
    <n v="21"/>
    <x v="3"/>
    <x v="3"/>
    <x v="3"/>
    <x v="1"/>
    <n v="6"/>
    <n v="1297"/>
    <n v="10"/>
    <n v="7782"/>
    <n v="778.2"/>
    <n v="7003.8"/>
  </r>
  <r>
    <x v="592"/>
    <x v="218"/>
    <s v="CUST33000"/>
    <x v="1"/>
    <n v="44"/>
    <x v="2"/>
    <x v="4"/>
    <x v="2"/>
    <x v="4"/>
    <n v="2"/>
    <n v="5801"/>
    <n v="0"/>
    <n v="11602"/>
    <n v="0"/>
    <n v="11602"/>
  </r>
  <r>
    <x v="593"/>
    <x v="36"/>
    <s v="CUST36198"/>
    <x v="0"/>
    <n v="59"/>
    <x v="0"/>
    <x v="2"/>
    <x v="0"/>
    <x v="4"/>
    <n v="2"/>
    <n v="5281"/>
    <n v="15"/>
    <n v="10562"/>
    <n v="1584.3"/>
    <n v="8977.7000000000007"/>
  </r>
  <r>
    <x v="594"/>
    <x v="266"/>
    <s v="CUST84199"/>
    <x v="1"/>
    <n v="23"/>
    <x v="3"/>
    <x v="2"/>
    <x v="2"/>
    <x v="3"/>
    <n v="1"/>
    <n v="1750"/>
    <n v="20"/>
    <n v="1750"/>
    <n v="350"/>
    <n v="1400"/>
  </r>
  <r>
    <x v="595"/>
    <x v="143"/>
    <s v="CUST77892"/>
    <x v="1"/>
    <n v="49"/>
    <x v="0"/>
    <x v="2"/>
    <x v="2"/>
    <x v="1"/>
    <n v="1"/>
    <n v="4785"/>
    <n v="0"/>
    <n v="4785"/>
    <n v="0"/>
    <n v="4785"/>
  </r>
  <r>
    <x v="596"/>
    <x v="394"/>
    <s v="CUST13589"/>
    <x v="1"/>
    <n v="51"/>
    <x v="0"/>
    <x v="2"/>
    <x v="5"/>
    <x v="3"/>
    <n v="1"/>
    <n v="4009"/>
    <n v="5"/>
    <n v="4009"/>
    <n v="200.45"/>
    <n v="3808.55"/>
  </r>
  <r>
    <x v="597"/>
    <x v="194"/>
    <s v="CUST88374"/>
    <x v="0"/>
    <n v="44"/>
    <x v="2"/>
    <x v="3"/>
    <x v="5"/>
    <x v="1"/>
    <n v="1"/>
    <n v="2335"/>
    <n v="0"/>
    <n v="2335"/>
    <n v="0"/>
    <n v="2335"/>
  </r>
  <r>
    <x v="598"/>
    <x v="189"/>
    <s v="CUST65675"/>
    <x v="1"/>
    <n v="19"/>
    <x v="3"/>
    <x v="0"/>
    <x v="5"/>
    <x v="0"/>
    <n v="3"/>
    <n v="3262"/>
    <n v="5"/>
    <n v="9786"/>
    <n v="489.3"/>
    <n v="9296.7000000000007"/>
  </r>
  <r>
    <x v="599"/>
    <x v="214"/>
    <s v="CUST62959"/>
    <x v="0"/>
    <n v="36"/>
    <x v="2"/>
    <x v="1"/>
    <x v="0"/>
    <x v="2"/>
    <n v="6"/>
    <n v="3965"/>
    <n v="0"/>
    <n v="23790"/>
    <n v="0"/>
    <n v="23790"/>
  </r>
  <r>
    <x v="600"/>
    <x v="352"/>
    <s v="CUST37788"/>
    <x v="1"/>
    <n v="45"/>
    <x v="2"/>
    <x v="4"/>
    <x v="1"/>
    <x v="3"/>
    <n v="2"/>
    <n v="1731"/>
    <n v="20"/>
    <n v="3462"/>
    <n v="692.4"/>
    <n v="2769.6"/>
  </r>
  <r>
    <x v="601"/>
    <x v="416"/>
    <s v="CUST19327"/>
    <x v="0"/>
    <n v="51"/>
    <x v="0"/>
    <x v="4"/>
    <x v="1"/>
    <x v="3"/>
    <n v="2"/>
    <n v="1227"/>
    <n v="5"/>
    <n v="2454"/>
    <n v="122.7"/>
    <n v="2331.3000000000002"/>
  </r>
  <r>
    <x v="602"/>
    <x v="364"/>
    <s v="CUST56000"/>
    <x v="0"/>
    <n v="57"/>
    <x v="0"/>
    <x v="2"/>
    <x v="2"/>
    <x v="2"/>
    <n v="1"/>
    <n v="1107"/>
    <n v="0"/>
    <n v="1107"/>
    <n v="0"/>
    <n v="1107"/>
  </r>
  <r>
    <x v="603"/>
    <x v="102"/>
    <s v="CUST44603"/>
    <x v="0"/>
    <n v="35"/>
    <x v="1"/>
    <x v="3"/>
    <x v="4"/>
    <x v="4"/>
    <n v="6"/>
    <n v="7544"/>
    <n v="5"/>
    <n v="45264"/>
    <n v="2263.1999999999998"/>
    <n v="43000.800000000003"/>
  </r>
  <r>
    <x v="604"/>
    <x v="417"/>
    <s v="CUST39713"/>
    <x v="1"/>
    <n v="60"/>
    <x v="0"/>
    <x v="1"/>
    <x v="0"/>
    <x v="4"/>
    <n v="1"/>
    <n v="3982"/>
    <n v="5"/>
    <n v="3982"/>
    <n v="199.1"/>
    <n v="3782.9"/>
  </r>
  <r>
    <x v="605"/>
    <x v="138"/>
    <s v="CUST53642"/>
    <x v="1"/>
    <n v="53"/>
    <x v="0"/>
    <x v="1"/>
    <x v="5"/>
    <x v="4"/>
    <n v="6"/>
    <n v="3240"/>
    <n v="0"/>
    <n v="19440"/>
    <n v="0"/>
    <n v="19440"/>
  </r>
  <r>
    <x v="606"/>
    <x v="104"/>
    <s v="CUST93929"/>
    <x v="1"/>
    <n v="60"/>
    <x v="0"/>
    <x v="4"/>
    <x v="1"/>
    <x v="0"/>
    <n v="4"/>
    <n v="2598"/>
    <n v="0"/>
    <n v="10392"/>
    <n v="0"/>
    <n v="10392"/>
  </r>
  <r>
    <x v="607"/>
    <x v="137"/>
    <s v="CUST93281"/>
    <x v="0"/>
    <n v="40"/>
    <x v="2"/>
    <x v="5"/>
    <x v="3"/>
    <x v="4"/>
    <n v="5"/>
    <n v="7301"/>
    <n v="5"/>
    <n v="36505"/>
    <n v="1825.25"/>
    <n v="34679.75"/>
  </r>
  <r>
    <x v="608"/>
    <x v="56"/>
    <s v="CUST17211"/>
    <x v="1"/>
    <n v="49"/>
    <x v="0"/>
    <x v="2"/>
    <x v="0"/>
    <x v="3"/>
    <n v="1"/>
    <n v="925"/>
    <n v="0"/>
    <n v="925"/>
    <n v="0"/>
    <n v="925"/>
  </r>
  <r>
    <x v="609"/>
    <x v="328"/>
    <s v="CUST87713"/>
    <x v="0"/>
    <n v="43"/>
    <x v="2"/>
    <x v="3"/>
    <x v="2"/>
    <x v="2"/>
    <n v="4"/>
    <n v="2042"/>
    <n v="5"/>
    <n v="8168"/>
    <n v="408.4"/>
    <n v="7759.6"/>
  </r>
  <r>
    <x v="610"/>
    <x v="418"/>
    <s v="CUST42745"/>
    <x v="1"/>
    <n v="35"/>
    <x v="1"/>
    <x v="0"/>
    <x v="2"/>
    <x v="4"/>
    <n v="1"/>
    <n v="2113"/>
    <n v="0"/>
    <n v="2113"/>
    <n v="0"/>
    <n v="2113"/>
  </r>
  <r>
    <x v="611"/>
    <x v="419"/>
    <s v="CUST39226"/>
    <x v="0"/>
    <n v="41"/>
    <x v="2"/>
    <x v="4"/>
    <x v="4"/>
    <x v="2"/>
    <n v="2"/>
    <n v="7284"/>
    <n v="0"/>
    <n v="14568"/>
    <n v="0"/>
    <n v="14568"/>
  </r>
  <r>
    <x v="612"/>
    <x v="154"/>
    <s v="CUST69290"/>
    <x v="1"/>
    <n v="22"/>
    <x v="3"/>
    <x v="1"/>
    <x v="0"/>
    <x v="1"/>
    <n v="2"/>
    <n v="4322"/>
    <n v="15"/>
    <n v="8644"/>
    <n v="1296.5999999999999"/>
    <n v="7347.4"/>
  </r>
  <r>
    <x v="613"/>
    <x v="290"/>
    <s v="CUST45370"/>
    <x v="1"/>
    <n v="25"/>
    <x v="3"/>
    <x v="5"/>
    <x v="3"/>
    <x v="0"/>
    <n v="6"/>
    <n v="5377"/>
    <n v="0"/>
    <n v="32262"/>
    <n v="0"/>
    <n v="32262"/>
  </r>
  <r>
    <x v="614"/>
    <x v="329"/>
    <s v="CUST24660"/>
    <x v="1"/>
    <n v="57"/>
    <x v="0"/>
    <x v="4"/>
    <x v="0"/>
    <x v="0"/>
    <n v="6"/>
    <n v="4546"/>
    <n v="0"/>
    <n v="27276"/>
    <n v="0"/>
    <n v="27276"/>
  </r>
  <r>
    <x v="615"/>
    <x v="420"/>
    <s v="CUST67041"/>
    <x v="1"/>
    <n v="39"/>
    <x v="2"/>
    <x v="4"/>
    <x v="4"/>
    <x v="4"/>
    <n v="1"/>
    <n v="2460"/>
    <n v="5"/>
    <n v="2460"/>
    <n v="123"/>
    <n v="2337"/>
  </r>
  <r>
    <x v="616"/>
    <x v="386"/>
    <s v="CUST53185"/>
    <x v="0"/>
    <n v="24"/>
    <x v="3"/>
    <x v="1"/>
    <x v="2"/>
    <x v="1"/>
    <n v="2"/>
    <n v="5013"/>
    <n v="5"/>
    <n v="10026"/>
    <n v="501.3"/>
    <n v="9524.7000000000007"/>
  </r>
  <r>
    <x v="617"/>
    <x v="277"/>
    <s v="CUST23057"/>
    <x v="0"/>
    <n v="36"/>
    <x v="2"/>
    <x v="5"/>
    <x v="5"/>
    <x v="3"/>
    <n v="6"/>
    <n v="538"/>
    <n v="10"/>
    <n v="3228"/>
    <n v="322.8"/>
    <n v="2905.2"/>
  </r>
  <r>
    <x v="618"/>
    <x v="70"/>
    <s v="CUST24727"/>
    <x v="0"/>
    <n v="40"/>
    <x v="2"/>
    <x v="0"/>
    <x v="1"/>
    <x v="2"/>
    <n v="5"/>
    <n v="2682"/>
    <n v="20"/>
    <n v="13410"/>
    <n v="2682"/>
    <n v="10728"/>
  </r>
  <r>
    <x v="619"/>
    <x v="238"/>
    <s v="CUST32837"/>
    <x v="1"/>
    <n v="43"/>
    <x v="2"/>
    <x v="0"/>
    <x v="4"/>
    <x v="3"/>
    <n v="5"/>
    <n v="5878"/>
    <n v="0"/>
    <n v="29390"/>
    <n v="0"/>
    <n v="29390"/>
  </r>
  <r>
    <x v="620"/>
    <x v="421"/>
    <s v="CUST12202"/>
    <x v="1"/>
    <n v="38"/>
    <x v="2"/>
    <x v="0"/>
    <x v="4"/>
    <x v="3"/>
    <n v="7"/>
    <n v="2531"/>
    <n v="20"/>
    <n v="17717"/>
    <n v="3543.4"/>
    <n v="14173.6"/>
  </r>
  <r>
    <x v="621"/>
    <x v="99"/>
    <s v="CUST25778"/>
    <x v="1"/>
    <n v="51"/>
    <x v="0"/>
    <x v="0"/>
    <x v="1"/>
    <x v="0"/>
    <n v="2"/>
    <n v="1791"/>
    <n v="15"/>
    <n v="3582"/>
    <n v="537.29999999999995"/>
    <n v="3044.7"/>
  </r>
  <r>
    <x v="622"/>
    <x v="422"/>
    <s v="CUST61776"/>
    <x v="0"/>
    <n v="26"/>
    <x v="1"/>
    <x v="5"/>
    <x v="3"/>
    <x v="2"/>
    <n v="4"/>
    <n v="5460"/>
    <n v="5"/>
    <n v="21840"/>
    <n v="1092"/>
    <n v="20748"/>
  </r>
  <r>
    <x v="623"/>
    <x v="315"/>
    <s v="CUST92995"/>
    <x v="1"/>
    <n v="19"/>
    <x v="3"/>
    <x v="4"/>
    <x v="1"/>
    <x v="0"/>
    <n v="3"/>
    <n v="2110"/>
    <n v="5"/>
    <n v="6330"/>
    <n v="316.5"/>
    <n v="6013.5"/>
  </r>
  <r>
    <x v="624"/>
    <x v="423"/>
    <s v="CUST16866"/>
    <x v="1"/>
    <n v="54"/>
    <x v="0"/>
    <x v="1"/>
    <x v="4"/>
    <x v="1"/>
    <n v="1"/>
    <n v="5179"/>
    <n v="0"/>
    <n v="5179"/>
    <n v="0"/>
    <n v="5179"/>
  </r>
  <r>
    <x v="625"/>
    <x v="367"/>
    <s v="CUST50538"/>
    <x v="1"/>
    <n v="43"/>
    <x v="2"/>
    <x v="1"/>
    <x v="0"/>
    <x v="3"/>
    <n v="7"/>
    <n v="1451"/>
    <n v="0"/>
    <n v="10157"/>
    <n v="0"/>
    <n v="10157"/>
  </r>
  <r>
    <x v="626"/>
    <x v="234"/>
    <s v="CUST81898"/>
    <x v="0"/>
    <n v="35"/>
    <x v="1"/>
    <x v="2"/>
    <x v="3"/>
    <x v="4"/>
    <n v="3"/>
    <n v="1895"/>
    <n v="10"/>
    <n v="5685"/>
    <n v="568.5"/>
    <n v="5116.5"/>
  </r>
  <r>
    <x v="627"/>
    <x v="419"/>
    <s v="CUST93432"/>
    <x v="0"/>
    <n v="18"/>
    <x v="3"/>
    <x v="4"/>
    <x v="0"/>
    <x v="4"/>
    <n v="1"/>
    <n v="737"/>
    <n v="0"/>
    <n v="737"/>
    <n v="0"/>
    <n v="737"/>
  </r>
  <r>
    <x v="628"/>
    <x v="338"/>
    <s v="CUST25040"/>
    <x v="1"/>
    <n v="31"/>
    <x v="1"/>
    <x v="5"/>
    <x v="1"/>
    <x v="4"/>
    <n v="6"/>
    <n v="4138"/>
    <n v="5"/>
    <n v="24828"/>
    <n v="1241.4000000000001"/>
    <n v="23586.6"/>
  </r>
  <r>
    <x v="629"/>
    <x v="424"/>
    <s v="CUST41190"/>
    <x v="1"/>
    <n v="25"/>
    <x v="3"/>
    <x v="4"/>
    <x v="3"/>
    <x v="2"/>
    <n v="6"/>
    <n v="5614"/>
    <n v="0"/>
    <n v="33684"/>
    <n v="0"/>
    <n v="33684"/>
  </r>
  <r>
    <x v="630"/>
    <x v="104"/>
    <s v="CUST75689"/>
    <x v="0"/>
    <n v="48"/>
    <x v="0"/>
    <x v="4"/>
    <x v="0"/>
    <x v="2"/>
    <n v="5"/>
    <n v="3721"/>
    <n v="15"/>
    <n v="18605"/>
    <n v="2790.75"/>
    <n v="15814.25"/>
  </r>
  <r>
    <x v="631"/>
    <x v="418"/>
    <s v="CUST51650"/>
    <x v="0"/>
    <n v="21"/>
    <x v="3"/>
    <x v="1"/>
    <x v="1"/>
    <x v="1"/>
    <n v="1"/>
    <n v="1518"/>
    <n v="0"/>
    <n v="1518"/>
    <n v="0"/>
    <n v="1518"/>
  </r>
  <r>
    <x v="632"/>
    <x v="367"/>
    <s v="CUST89627"/>
    <x v="1"/>
    <n v="22"/>
    <x v="3"/>
    <x v="2"/>
    <x v="4"/>
    <x v="1"/>
    <n v="1"/>
    <n v="4988"/>
    <n v="20"/>
    <n v="4988"/>
    <n v="997.6"/>
    <n v="3990.4"/>
  </r>
  <r>
    <x v="633"/>
    <x v="425"/>
    <s v="CUST32707"/>
    <x v="0"/>
    <n v="49"/>
    <x v="0"/>
    <x v="5"/>
    <x v="5"/>
    <x v="1"/>
    <n v="4"/>
    <n v="2766"/>
    <n v="20"/>
    <n v="11064"/>
    <n v="2212.8000000000002"/>
    <n v="8851.2000000000007"/>
  </r>
  <r>
    <x v="634"/>
    <x v="426"/>
    <s v="CUST91913"/>
    <x v="1"/>
    <n v="18"/>
    <x v="3"/>
    <x v="4"/>
    <x v="1"/>
    <x v="1"/>
    <n v="2"/>
    <n v="3501"/>
    <n v="0"/>
    <n v="7002"/>
    <n v="0"/>
    <n v="7002"/>
  </r>
  <r>
    <x v="635"/>
    <x v="427"/>
    <s v="CUST10832"/>
    <x v="1"/>
    <n v="30"/>
    <x v="1"/>
    <x v="2"/>
    <x v="0"/>
    <x v="0"/>
    <n v="3"/>
    <n v="1283"/>
    <n v="0"/>
    <n v="3849"/>
    <n v="0"/>
    <n v="3849"/>
  </r>
  <r>
    <x v="636"/>
    <x v="74"/>
    <s v="CUST77434"/>
    <x v="0"/>
    <n v="47"/>
    <x v="0"/>
    <x v="5"/>
    <x v="0"/>
    <x v="1"/>
    <n v="6"/>
    <n v="5531"/>
    <n v="15"/>
    <n v="33186"/>
    <n v="4977.8999999999996"/>
    <n v="28208.1"/>
  </r>
  <r>
    <x v="637"/>
    <x v="428"/>
    <s v="CUST52144"/>
    <x v="1"/>
    <n v="26"/>
    <x v="1"/>
    <x v="5"/>
    <x v="0"/>
    <x v="0"/>
    <n v="5"/>
    <n v="7376"/>
    <n v="0"/>
    <n v="36880"/>
    <n v="0"/>
    <n v="36880"/>
  </r>
  <r>
    <x v="638"/>
    <x v="429"/>
    <s v="CUST11894"/>
    <x v="1"/>
    <n v="35"/>
    <x v="1"/>
    <x v="2"/>
    <x v="2"/>
    <x v="3"/>
    <n v="1"/>
    <n v="7789"/>
    <n v="15"/>
    <n v="7789"/>
    <n v="1168.3499999999999"/>
    <n v="6620.65"/>
  </r>
  <r>
    <x v="639"/>
    <x v="213"/>
    <s v="CUST15141"/>
    <x v="0"/>
    <n v="45"/>
    <x v="2"/>
    <x v="2"/>
    <x v="3"/>
    <x v="3"/>
    <n v="5"/>
    <n v="4773"/>
    <n v="5"/>
    <n v="23865"/>
    <n v="1193.25"/>
    <n v="22671.75"/>
  </r>
  <r>
    <x v="640"/>
    <x v="424"/>
    <s v="CUST22698"/>
    <x v="1"/>
    <n v="28"/>
    <x v="1"/>
    <x v="0"/>
    <x v="1"/>
    <x v="0"/>
    <n v="5"/>
    <n v="5244"/>
    <n v="10"/>
    <n v="26220"/>
    <n v="2622"/>
    <n v="23598"/>
  </r>
  <r>
    <x v="641"/>
    <x v="430"/>
    <s v="CUST90758"/>
    <x v="1"/>
    <n v="34"/>
    <x v="1"/>
    <x v="3"/>
    <x v="0"/>
    <x v="3"/>
    <n v="2"/>
    <n v="2589"/>
    <n v="15"/>
    <n v="5178"/>
    <n v="776.7"/>
    <n v="4401.3"/>
  </r>
  <r>
    <x v="642"/>
    <x v="227"/>
    <s v="CUST32742"/>
    <x v="0"/>
    <n v="47"/>
    <x v="0"/>
    <x v="0"/>
    <x v="2"/>
    <x v="0"/>
    <n v="3"/>
    <n v="4719"/>
    <n v="15"/>
    <n v="14157"/>
    <n v="2123.5500000000002"/>
    <n v="12033.45"/>
  </r>
  <r>
    <x v="643"/>
    <x v="431"/>
    <s v="CUST56352"/>
    <x v="0"/>
    <n v="37"/>
    <x v="2"/>
    <x v="2"/>
    <x v="4"/>
    <x v="0"/>
    <n v="7"/>
    <n v="6622"/>
    <n v="10"/>
    <n v="46354"/>
    <n v="4635.3999999999996"/>
    <n v="41718.6"/>
  </r>
  <r>
    <x v="644"/>
    <x v="171"/>
    <s v="CUST72359"/>
    <x v="1"/>
    <n v="40"/>
    <x v="2"/>
    <x v="3"/>
    <x v="1"/>
    <x v="3"/>
    <n v="1"/>
    <n v="6242"/>
    <n v="0"/>
    <n v="6242"/>
    <n v="0"/>
    <n v="6242"/>
  </r>
  <r>
    <x v="645"/>
    <x v="336"/>
    <s v="CUST32644"/>
    <x v="1"/>
    <n v="39"/>
    <x v="2"/>
    <x v="3"/>
    <x v="3"/>
    <x v="4"/>
    <n v="6"/>
    <n v="905"/>
    <n v="0"/>
    <n v="5430"/>
    <n v="0"/>
    <n v="5430"/>
  </r>
  <r>
    <x v="646"/>
    <x v="282"/>
    <s v="CUST39834"/>
    <x v="1"/>
    <n v="58"/>
    <x v="0"/>
    <x v="0"/>
    <x v="0"/>
    <x v="4"/>
    <n v="6"/>
    <n v="5438"/>
    <n v="10"/>
    <n v="32628"/>
    <n v="3262.8"/>
    <n v="29365.200000000001"/>
  </r>
  <r>
    <x v="647"/>
    <x v="432"/>
    <s v="CUST71687"/>
    <x v="1"/>
    <n v="45"/>
    <x v="2"/>
    <x v="2"/>
    <x v="3"/>
    <x v="3"/>
    <n v="4"/>
    <n v="3792"/>
    <n v="5"/>
    <n v="15168"/>
    <n v="758.4"/>
    <n v="14409.6"/>
  </r>
  <r>
    <x v="648"/>
    <x v="50"/>
    <s v="CUST81492"/>
    <x v="0"/>
    <n v="40"/>
    <x v="2"/>
    <x v="3"/>
    <x v="2"/>
    <x v="3"/>
    <n v="5"/>
    <n v="4213"/>
    <n v="20"/>
    <n v="21065"/>
    <n v="4213"/>
    <n v="16852"/>
  </r>
  <r>
    <x v="649"/>
    <x v="132"/>
    <s v="CUST88179"/>
    <x v="1"/>
    <n v="20"/>
    <x v="3"/>
    <x v="4"/>
    <x v="2"/>
    <x v="2"/>
    <n v="1"/>
    <n v="7048"/>
    <n v="0"/>
    <n v="7048"/>
    <n v="0"/>
    <n v="7048"/>
  </r>
  <r>
    <x v="650"/>
    <x v="117"/>
    <s v="CUST80482"/>
    <x v="0"/>
    <n v="32"/>
    <x v="1"/>
    <x v="4"/>
    <x v="2"/>
    <x v="2"/>
    <n v="4"/>
    <n v="483"/>
    <n v="10"/>
    <n v="1932"/>
    <n v="193.2"/>
    <n v="1738.8"/>
  </r>
  <r>
    <x v="651"/>
    <x v="433"/>
    <s v="CUST38264"/>
    <x v="0"/>
    <n v="28"/>
    <x v="1"/>
    <x v="3"/>
    <x v="2"/>
    <x v="2"/>
    <n v="5"/>
    <n v="1884"/>
    <n v="0"/>
    <n v="9420"/>
    <n v="0"/>
    <n v="9420"/>
  </r>
  <r>
    <x v="652"/>
    <x v="434"/>
    <s v="CUST64599"/>
    <x v="1"/>
    <n v="26"/>
    <x v="1"/>
    <x v="3"/>
    <x v="0"/>
    <x v="1"/>
    <n v="4"/>
    <n v="3291"/>
    <n v="10"/>
    <n v="13164"/>
    <n v="1316.4"/>
    <n v="11847.6"/>
  </r>
  <r>
    <x v="653"/>
    <x v="435"/>
    <s v="CUST26928"/>
    <x v="0"/>
    <n v="60"/>
    <x v="0"/>
    <x v="4"/>
    <x v="0"/>
    <x v="2"/>
    <n v="2"/>
    <n v="1401"/>
    <n v="0"/>
    <n v="2802"/>
    <n v="0"/>
    <n v="2802"/>
  </r>
  <r>
    <x v="654"/>
    <x v="436"/>
    <s v="CUST56269"/>
    <x v="1"/>
    <n v="57"/>
    <x v="0"/>
    <x v="3"/>
    <x v="0"/>
    <x v="2"/>
    <n v="7"/>
    <n v="4297"/>
    <n v="0"/>
    <n v="30079"/>
    <n v="0"/>
    <n v="30079"/>
  </r>
  <r>
    <x v="655"/>
    <x v="437"/>
    <s v="CUST88198"/>
    <x v="0"/>
    <n v="59"/>
    <x v="0"/>
    <x v="5"/>
    <x v="0"/>
    <x v="2"/>
    <n v="1"/>
    <n v="4433"/>
    <n v="10"/>
    <n v="4433"/>
    <n v="443.3"/>
    <n v="3989.7"/>
  </r>
  <r>
    <x v="656"/>
    <x v="386"/>
    <s v="CUST75465"/>
    <x v="1"/>
    <n v="60"/>
    <x v="0"/>
    <x v="1"/>
    <x v="2"/>
    <x v="0"/>
    <n v="6"/>
    <n v="5628"/>
    <n v="5"/>
    <n v="33768"/>
    <n v="1688.4"/>
    <n v="32079.599999999999"/>
  </r>
  <r>
    <x v="657"/>
    <x v="438"/>
    <s v="CUST29638"/>
    <x v="0"/>
    <n v="42"/>
    <x v="2"/>
    <x v="5"/>
    <x v="4"/>
    <x v="2"/>
    <n v="4"/>
    <n v="6997"/>
    <n v="0"/>
    <n v="27988"/>
    <n v="0"/>
    <n v="27988"/>
  </r>
  <r>
    <x v="658"/>
    <x v="138"/>
    <s v="CUST44383"/>
    <x v="1"/>
    <n v="37"/>
    <x v="2"/>
    <x v="0"/>
    <x v="1"/>
    <x v="4"/>
    <n v="7"/>
    <n v="324"/>
    <n v="0"/>
    <n v="2268"/>
    <n v="0"/>
    <n v="2268"/>
  </r>
  <r>
    <x v="659"/>
    <x v="134"/>
    <s v="CUST56543"/>
    <x v="1"/>
    <n v="46"/>
    <x v="0"/>
    <x v="0"/>
    <x v="0"/>
    <x v="4"/>
    <n v="7"/>
    <n v="4081"/>
    <n v="10"/>
    <n v="28567"/>
    <n v="2856.7"/>
    <n v="25710.3"/>
  </r>
  <r>
    <x v="660"/>
    <x v="389"/>
    <s v="CUST52175"/>
    <x v="0"/>
    <n v="61"/>
    <x v="0"/>
    <x v="5"/>
    <x v="3"/>
    <x v="1"/>
    <n v="5"/>
    <n v="2421"/>
    <n v="5"/>
    <n v="12105"/>
    <n v="605.25"/>
    <n v="11499.75"/>
  </r>
  <r>
    <x v="661"/>
    <x v="47"/>
    <s v="CUST42554"/>
    <x v="0"/>
    <n v="37"/>
    <x v="2"/>
    <x v="3"/>
    <x v="1"/>
    <x v="2"/>
    <n v="4"/>
    <n v="1290"/>
    <n v="5"/>
    <n v="5160"/>
    <n v="258"/>
    <n v="4902"/>
  </r>
  <r>
    <x v="662"/>
    <x v="439"/>
    <s v="CUST47173"/>
    <x v="1"/>
    <n v="23"/>
    <x v="3"/>
    <x v="5"/>
    <x v="5"/>
    <x v="1"/>
    <n v="3"/>
    <n v="6313"/>
    <n v="0"/>
    <n v="18939"/>
    <n v="0"/>
    <n v="18939"/>
  </r>
  <r>
    <x v="663"/>
    <x v="88"/>
    <s v="CUST13694"/>
    <x v="1"/>
    <n v="63"/>
    <x v="0"/>
    <x v="0"/>
    <x v="4"/>
    <x v="0"/>
    <n v="5"/>
    <n v="7066"/>
    <n v="5"/>
    <n v="35330"/>
    <n v="1766.5"/>
    <n v="33563.5"/>
  </r>
  <r>
    <x v="664"/>
    <x v="440"/>
    <s v="CUST39719"/>
    <x v="0"/>
    <n v="24"/>
    <x v="3"/>
    <x v="1"/>
    <x v="2"/>
    <x v="3"/>
    <n v="1"/>
    <n v="4259"/>
    <n v="15"/>
    <n v="4259"/>
    <n v="638.85"/>
    <n v="3620.15"/>
  </r>
  <r>
    <x v="665"/>
    <x v="377"/>
    <s v="CUST78331"/>
    <x v="1"/>
    <n v="43"/>
    <x v="2"/>
    <x v="0"/>
    <x v="2"/>
    <x v="0"/>
    <n v="1"/>
    <n v="5422"/>
    <n v="15"/>
    <n v="5422"/>
    <n v="813.3"/>
    <n v="4608.7"/>
  </r>
  <r>
    <x v="666"/>
    <x v="403"/>
    <s v="CUST19237"/>
    <x v="0"/>
    <n v="25"/>
    <x v="3"/>
    <x v="2"/>
    <x v="3"/>
    <x v="2"/>
    <n v="1"/>
    <n v="3094"/>
    <n v="5"/>
    <n v="3094"/>
    <n v="154.69999999999999"/>
    <n v="2939.3"/>
  </r>
  <r>
    <x v="667"/>
    <x v="441"/>
    <s v="CUST66040"/>
    <x v="0"/>
    <n v="39"/>
    <x v="2"/>
    <x v="4"/>
    <x v="2"/>
    <x v="1"/>
    <n v="1"/>
    <n v="1231"/>
    <n v="0"/>
    <n v="1231"/>
    <n v="0"/>
    <n v="1231"/>
  </r>
  <r>
    <x v="668"/>
    <x v="442"/>
    <s v="CUST79734"/>
    <x v="0"/>
    <n v="39"/>
    <x v="2"/>
    <x v="1"/>
    <x v="4"/>
    <x v="4"/>
    <n v="5"/>
    <n v="5702"/>
    <n v="10"/>
    <n v="28510"/>
    <n v="2851"/>
    <n v="25659"/>
  </r>
  <r>
    <x v="669"/>
    <x v="103"/>
    <s v="CUST20697"/>
    <x v="1"/>
    <n v="60"/>
    <x v="0"/>
    <x v="2"/>
    <x v="1"/>
    <x v="3"/>
    <n v="7"/>
    <n v="644"/>
    <n v="0"/>
    <n v="4508"/>
    <n v="0"/>
    <n v="4508"/>
  </r>
  <r>
    <x v="670"/>
    <x v="443"/>
    <s v="CUST75901"/>
    <x v="1"/>
    <n v="56"/>
    <x v="0"/>
    <x v="3"/>
    <x v="4"/>
    <x v="1"/>
    <n v="3"/>
    <n v="7470"/>
    <n v="10"/>
    <n v="22410"/>
    <n v="2241"/>
    <n v="20169"/>
  </r>
  <r>
    <x v="671"/>
    <x v="444"/>
    <s v="CUST48870"/>
    <x v="0"/>
    <n v="64"/>
    <x v="0"/>
    <x v="0"/>
    <x v="5"/>
    <x v="0"/>
    <n v="5"/>
    <n v="6431"/>
    <n v="10"/>
    <n v="32155"/>
    <n v="3215.5"/>
    <n v="28939.5"/>
  </r>
  <r>
    <x v="672"/>
    <x v="119"/>
    <s v="CUST78878"/>
    <x v="1"/>
    <n v="46"/>
    <x v="0"/>
    <x v="4"/>
    <x v="5"/>
    <x v="1"/>
    <n v="3"/>
    <n v="2202"/>
    <n v="0"/>
    <n v="6606"/>
    <n v="0"/>
    <n v="6606"/>
  </r>
  <r>
    <x v="673"/>
    <x v="445"/>
    <s v="CUST34392"/>
    <x v="0"/>
    <n v="52"/>
    <x v="0"/>
    <x v="3"/>
    <x v="2"/>
    <x v="4"/>
    <n v="5"/>
    <n v="2422"/>
    <n v="0"/>
    <n v="12110"/>
    <n v="0"/>
    <n v="12110"/>
  </r>
  <r>
    <x v="674"/>
    <x v="446"/>
    <s v="CUST85367"/>
    <x v="0"/>
    <n v="32"/>
    <x v="1"/>
    <x v="1"/>
    <x v="5"/>
    <x v="4"/>
    <n v="1"/>
    <n v="7015"/>
    <n v="10"/>
    <n v="7015"/>
    <n v="701.5"/>
    <n v="6313.5"/>
  </r>
  <r>
    <x v="675"/>
    <x v="447"/>
    <s v="CUST72992"/>
    <x v="0"/>
    <n v="27"/>
    <x v="1"/>
    <x v="5"/>
    <x v="4"/>
    <x v="2"/>
    <n v="7"/>
    <n v="791"/>
    <n v="10"/>
    <n v="5537"/>
    <n v="553.70000000000005"/>
    <n v="4983.3"/>
  </r>
  <r>
    <x v="676"/>
    <x v="82"/>
    <s v="CUST30284"/>
    <x v="1"/>
    <n v="57"/>
    <x v="0"/>
    <x v="5"/>
    <x v="0"/>
    <x v="2"/>
    <n v="2"/>
    <n v="6472"/>
    <n v="0"/>
    <n v="12944"/>
    <n v="0"/>
    <n v="12944"/>
  </r>
  <r>
    <x v="677"/>
    <x v="432"/>
    <s v="CUST45007"/>
    <x v="0"/>
    <n v="19"/>
    <x v="3"/>
    <x v="1"/>
    <x v="5"/>
    <x v="4"/>
    <n v="4"/>
    <n v="5850"/>
    <n v="0"/>
    <n v="23400"/>
    <n v="0"/>
    <n v="23400"/>
  </r>
  <r>
    <x v="678"/>
    <x v="210"/>
    <s v="CUST53894"/>
    <x v="0"/>
    <n v="43"/>
    <x v="2"/>
    <x v="0"/>
    <x v="3"/>
    <x v="3"/>
    <n v="6"/>
    <n v="4254"/>
    <n v="5"/>
    <n v="25524"/>
    <n v="1276.2"/>
    <n v="24247.8"/>
  </r>
  <r>
    <x v="679"/>
    <x v="448"/>
    <s v="CUST21592"/>
    <x v="1"/>
    <n v="27"/>
    <x v="1"/>
    <x v="1"/>
    <x v="0"/>
    <x v="3"/>
    <n v="4"/>
    <n v="6296"/>
    <n v="0"/>
    <n v="25184"/>
    <n v="0"/>
    <n v="25184"/>
  </r>
  <r>
    <x v="680"/>
    <x v="318"/>
    <s v="CUST23788"/>
    <x v="0"/>
    <n v="20"/>
    <x v="3"/>
    <x v="3"/>
    <x v="3"/>
    <x v="0"/>
    <n v="2"/>
    <n v="1127"/>
    <n v="15"/>
    <n v="2254"/>
    <n v="338.1"/>
    <n v="1915.9"/>
  </r>
  <r>
    <x v="681"/>
    <x v="316"/>
    <s v="CUST97086"/>
    <x v="1"/>
    <n v="20"/>
    <x v="3"/>
    <x v="1"/>
    <x v="4"/>
    <x v="4"/>
    <n v="3"/>
    <n v="3559"/>
    <n v="0"/>
    <n v="10677"/>
    <n v="0"/>
    <n v="10677"/>
  </r>
  <r>
    <x v="682"/>
    <x v="302"/>
    <s v="CUST79927"/>
    <x v="1"/>
    <n v="49"/>
    <x v="0"/>
    <x v="5"/>
    <x v="2"/>
    <x v="2"/>
    <n v="7"/>
    <n v="6262"/>
    <n v="0"/>
    <n v="43834"/>
    <n v="0"/>
    <n v="43834"/>
  </r>
  <r>
    <x v="683"/>
    <x v="449"/>
    <s v="CUST66780"/>
    <x v="1"/>
    <n v="59"/>
    <x v="0"/>
    <x v="1"/>
    <x v="4"/>
    <x v="0"/>
    <n v="7"/>
    <n v="1877"/>
    <n v="5"/>
    <n v="13139"/>
    <n v="656.95"/>
    <n v="12482.05"/>
  </r>
  <r>
    <x v="684"/>
    <x v="197"/>
    <s v="CUST12813"/>
    <x v="1"/>
    <n v="25"/>
    <x v="3"/>
    <x v="4"/>
    <x v="0"/>
    <x v="0"/>
    <n v="7"/>
    <n v="179"/>
    <n v="15"/>
    <n v="1253"/>
    <n v="187.95"/>
    <n v="1065.05"/>
  </r>
  <r>
    <x v="685"/>
    <x v="257"/>
    <s v="CUST25021"/>
    <x v="1"/>
    <n v="24"/>
    <x v="3"/>
    <x v="0"/>
    <x v="0"/>
    <x v="4"/>
    <n v="4"/>
    <n v="2875"/>
    <n v="10"/>
    <n v="11500"/>
    <n v="1150"/>
    <n v="10350"/>
  </r>
  <r>
    <x v="686"/>
    <x v="254"/>
    <s v="CUST54041"/>
    <x v="0"/>
    <n v="39"/>
    <x v="2"/>
    <x v="0"/>
    <x v="2"/>
    <x v="1"/>
    <n v="3"/>
    <n v="5427"/>
    <n v="15"/>
    <n v="16281"/>
    <n v="2442.15"/>
    <n v="13838.85"/>
  </r>
  <r>
    <x v="687"/>
    <x v="450"/>
    <s v="CUST56218"/>
    <x v="0"/>
    <n v="25"/>
    <x v="3"/>
    <x v="1"/>
    <x v="2"/>
    <x v="3"/>
    <n v="5"/>
    <n v="6265"/>
    <n v="5"/>
    <n v="31325"/>
    <n v="1566.25"/>
    <n v="29758.75"/>
  </r>
  <r>
    <x v="688"/>
    <x v="366"/>
    <s v="CUST70751"/>
    <x v="1"/>
    <n v="61"/>
    <x v="0"/>
    <x v="5"/>
    <x v="3"/>
    <x v="2"/>
    <n v="7"/>
    <n v="5139"/>
    <n v="0"/>
    <n v="35973"/>
    <n v="0"/>
    <n v="35973"/>
  </r>
  <r>
    <x v="689"/>
    <x v="451"/>
    <s v="CUST43445"/>
    <x v="0"/>
    <n v="54"/>
    <x v="0"/>
    <x v="0"/>
    <x v="5"/>
    <x v="0"/>
    <n v="3"/>
    <n v="5104"/>
    <n v="5"/>
    <n v="15312"/>
    <n v="765.6"/>
    <n v="14546.4"/>
  </r>
  <r>
    <x v="690"/>
    <x v="452"/>
    <s v="CUST28274"/>
    <x v="1"/>
    <n v="34"/>
    <x v="1"/>
    <x v="5"/>
    <x v="0"/>
    <x v="3"/>
    <n v="4"/>
    <n v="2269"/>
    <n v="0"/>
    <n v="9076"/>
    <n v="0"/>
    <n v="9076"/>
  </r>
  <r>
    <x v="691"/>
    <x v="350"/>
    <s v="CUST18461"/>
    <x v="1"/>
    <n v="32"/>
    <x v="1"/>
    <x v="2"/>
    <x v="0"/>
    <x v="0"/>
    <n v="4"/>
    <n v="2161"/>
    <n v="10"/>
    <n v="8644"/>
    <n v="864.4"/>
    <n v="7779.6"/>
  </r>
  <r>
    <x v="692"/>
    <x v="350"/>
    <s v="CUST78485"/>
    <x v="0"/>
    <n v="21"/>
    <x v="3"/>
    <x v="2"/>
    <x v="1"/>
    <x v="1"/>
    <n v="6"/>
    <n v="2494"/>
    <n v="10"/>
    <n v="14964"/>
    <n v="1496.4"/>
    <n v="13467.6"/>
  </r>
  <r>
    <x v="693"/>
    <x v="152"/>
    <s v="CUST54078"/>
    <x v="1"/>
    <n v="64"/>
    <x v="0"/>
    <x v="4"/>
    <x v="1"/>
    <x v="1"/>
    <n v="4"/>
    <n v="1481"/>
    <n v="0"/>
    <n v="5924"/>
    <n v="0"/>
    <n v="5924"/>
  </r>
  <r>
    <x v="694"/>
    <x v="453"/>
    <s v="CUST48650"/>
    <x v="1"/>
    <n v="60"/>
    <x v="0"/>
    <x v="4"/>
    <x v="4"/>
    <x v="3"/>
    <n v="2"/>
    <n v="4541"/>
    <n v="5"/>
    <n v="9082"/>
    <n v="454.1"/>
    <n v="8627.9"/>
  </r>
  <r>
    <x v="695"/>
    <x v="71"/>
    <s v="CUST48173"/>
    <x v="1"/>
    <n v="52"/>
    <x v="0"/>
    <x v="5"/>
    <x v="3"/>
    <x v="3"/>
    <n v="4"/>
    <n v="3339"/>
    <n v="5"/>
    <n v="13356"/>
    <n v="667.8"/>
    <n v="12688.2"/>
  </r>
  <r>
    <x v="696"/>
    <x v="373"/>
    <s v="CUST58907"/>
    <x v="1"/>
    <n v="42"/>
    <x v="2"/>
    <x v="2"/>
    <x v="4"/>
    <x v="0"/>
    <n v="6"/>
    <n v="7113"/>
    <n v="5"/>
    <n v="42678"/>
    <n v="2133.9"/>
    <n v="40544.1"/>
  </r>
  <r>
    <x v="697"/>
    <x v="221"/>
    <s v="CUST85003"/>
    <x v="1"/>
    <n v="64"/>
    <x v="0"/>
    <x v="3"/>
    <x v="5"/>
    <x v="3"/>
    <n v="4"/>
    <n v="1634"/>
    <n v="20"/>
    <n v="6536"/>
    <n v="1307.2"/>
    <n v="5228.8"/>
  </r>
  <r>
    <x v="698"/>
    <x v="454"/>
    <s v="CUST36643"/>
    <x v="0"/>
    <n v="61"/>
    <x v="0"/>
    <x v="0"/>
    <x v="1"/>
    <x v="0"/>
    <n v="6"/>
    <n v="1331"/>
    <n v="0"/>
    <n v="7986"/>
    <n v="0"/>
    <n v="7986"/>
  </r>
  <r>
    <x v="699"/>
    <x v="455"/>
    <s v="CUST72936"/>
    <x v="1"/>
    <n v="48"/>
    <x v="0"/>
    <x v="1"/>
    <x v="0"/>
    <x v="0"/>
    <n v="5"/>
    <n v="6448"/>
    <n v="0"/>
    <n v="32240"/>
    <n v="0"/>
    <n v="32240"/>
  </r>
  <r>
    <x v="700"/>
    <x v="25"/>
    <s v="CUST45250"/>
    <x v="1"/>
    <n v="36"/>
    <x v="2"/>
    <x v="3"/>
    <x v="1"/>
    <x v="2"/>
    <n v="7"/>
    <n v="6621"/>
    <n v="15"/>
    <n v="46347"/>
    <n v="6952.05"/>
    <n v="39394.949999999997"/>
  </r>
  <r>
    <x v="701"/>
    <x v="456"/>
    <s v="CUST30203"/>
    <x v="0"/>
    <n v="61"/>
    <x v="0"/>
    <x v="0"/>
    <x v="0"/>
    <x v="1"/>
    <n v="1"/>
    <n v="466"/>
    <n v="10"/>
    <n v="466"/>
    <n v="46.6"/>
    <n v="419.4"/>
  </r>
  <r>
    <x v="702"/>
    <x v="357"/>
    <s v="CUST49590"/>
    <x v="0"/>
    <n v="42"/>
    <x v="2"/>
    <x v="3"/>
    <x v="2"/>
    <x v="0"/>
    <n v="1"/>
    <n v="265"/>
    <n v="10"/>
    <n v="265"/>
    <n v="26.5"/>
    <n v="238.5"/>
  </r>
  <r>
    <x v="703"/>
    <x v="457"/>
    <s v="CUST53924"/>
    <x v="1"/>
    <n v="57"/>
    <x v="0"/>
    <x v="2"/>
    <x v="4"/>
    <x v="3"/>
    <n v="6"/>
    <n v="4878"/>
    <n v="10"/>
    <n v="29268"/>
    <n v="2926.8"/>
    <n v="26341.200000000001"/>
  </r>
  <r>
    <x v="704"/>
    <x v="111"/>
    <s v="CUST90546"/>
    <x v="1"/>
    <n v="58"/>
    <x v="0"/>
    <x v="3"/>
    <x v="4"/>
    <x v="1"/>
    <n v="7"/>
    <n v="4761"/>
    <n v="10"/>
    <n v="33327"/>
    <n v="3332.7"/>
    <n v="29994.3"/>
  </r>
  <r>
    <x v="705"/>
    <x v="94"/>
    <s v="CUST66539"/>
    <x v="0"/>
    <n v="22"/>
    <x v="3"/>
    <x v="1"/>
    <x v="3"/>
    <x v="2"/>
    <n v="1"/>
    <n v="1068"/>
    <n v="5"/>
    <n v="1068"/>
    <n v="53.4"/>
    <n v="1014.6"/>
  </r>
  <r>
    <x v="706"/>
    <x v="458"/>
    <s v="CUST15169"/>
    <x v="1"/>
    <n v="59"/>
    <x v="0"/>
    <x v="0"/>
    <x v="0"/>
    <x v="3"/>
    <n v="2"/>
    <n v="5685"/>
    <n v="5"/>
    <n v="11370"/>
    <n v="568.5"/>
    <n v="10801.5"/>
  </r>
  <r>
    <x v="707"/>
    <x v="459"/>
    <s v="CUST17003"/>
    <x v="1"/>
    <n v="51"/>
    <x v="0"/>
    <x v="3"/>
    <x v="0"/>
    <x v="4"/>
    <n v="5"/>
    <n v="1155"/>
    <n v="5"/>
    <n v="5775"/>
    <n v="288.75"/>
    <n v="5486.25"/>
  </r>
  <r>
    <x v="708"/>
    <x v="3"/>
    <s v="CUST55631"/>
    <x v="1"/>
    <n v="32"/>
    <x v="1"/>
    <x v="2"/>
    <x v="2"/>
    <x v="3"/>
    <n v="2"/>
    <n v="4688"/>
    <n v="0"/>
    <n v="9376"/>
    <n v="0"/>
    <n v="9376"/>
  </r>
  <r>
    <x v="709"/>
    <x v="395"/>
    <s v="CUST15911"/>
    <x v="0"/>
    <n v="48"/>
    <x v="0"/>
    <x v="5"/>
    <x v="1"/>
    <x v="2"/>
    <n v="7"/>
    <n v="5768"/>
    <n v="20"/>
    <n v="40376"/>
    <n v="8075.2"/>
    <n v="32300.799999999999"/>
  </r>
  <r>
    <x v="710"/>
    <x v="98"/>
    <s v="CUST44001"/>
    <x v="0"/>
    <n v="26"/>
    <x v="1"/>
    <x v="0"/>
    <x v="1"/>
    <x v="3"/>
    <n v="5"/>
    <n v="7581"/>
    <n v="15"/>
    <n v="37905"/>
    <n v="5685.75"/>
    <n v="32219.25"/>
  </r>
  <r>
    <x v="711"/>
    <x v="365"/>
    <s v="CUST47208"/>
    <x v="0"/>
    <n v="34"/>
    <x v="1"/>
    <x v="0"/>
    <x v="2"/>
    <x v="1"/>
    <n v="2"/>
    <n v="1554"/>
    <n v="10"/>
    <n v="3108"/>
    <n v="310.8"/>
    <n v="2797.2"/>
  </r>
  <r>
    <x v="712"/>
    <x v="43"/>
    <s v="CUST28425"/>
    <x v="0"/>
    <n v="29"/>
    <x v="1"/>
    <x v="0"/>
    <x v="0"/>
    <x v="3"/>
    <n v="2"/>
    <n v="7481"/>
    <n v="0"/>
    <n v="14962"/>
    <n v="0"/>
    <n v="14962"/>
  </r>
  <r>
    <x v="713"/>
    <x v="460"/>
    <s v="CUST51130"/>
    <x v="0"/>
    <n v="35"/>
    <x v="1"/>
    <x v="5"/>
    <x v="5"/>
    <x v="2"/>
    <n v="4"/>
    <n v="5311"/>
    <n v="10"/>
    <n v="21244"/>
    <n v="2124.4"/>
    <n v="19119.599999999999"/>
  </r>
  <r>
    <x v="714"/>
    <x v="267"/>
    <s v="CUST14366"/>
    <x v="1"/>
    <n v="30"/>
    <x v="1"/>
    <x v="1"/>
    <x v="1"/>
    <x v="4"/>
    <n v="5"/>
    <n v="7534"/>
    <n v="0"/>
    <n v="37670"/>
    <n v="0"/>
    <n v="37670"/>
  </r>
  <r>
    <x v="715"/>
    <x v="267"/>
    <s v="CUST81400"/>
    <x v="1"/>
    <n v="23"/>
    <x v="3"/>
    <x v="5"/>
    <x v="3"/>
    <x v="4"/>
    <n v="6"/>
    <n v="1630"/>
    <n v="15"/>
    <n v="9780"/>
    <n v="1467"/>
    <n v="8313"/>
  </r>
  <r>
    <x v="716"/>
    <x v="461"/>
    <s v="CUST86582"/>
    <x v="0"/>
    <n v="34"/>
    <x v="1"/>
    <x v="0"/>
    <x v="3"/>
    <x v="4"/>
    <n v="1"/>
    <n v="7955"/>
    <n v="0"/>
    <n v="7955"/>
    <n v="0"/>
    <n v="7955"/>
  </r>
  <r>
    <x v="717"/>
    <x v="462"/>
    <s v="CUST86482"/>
    <x v="0"/>
    <n v="26"/>
    <x v="1"/>
    <x v="1"/>
    <x v="2"/>
    <x v="1"/>
    <n v="4"/>
    <n v="4494"/>
    <n v="10"/>
    <n v="17976"/>
    <n v="1797.6"/>
    <n v="16178.4"/>
  </r>
  <r>
    <x v="718"/>
    <x v="130"/>
    <s v="CUST98199"/>
    <x v="0"/>
    <n v="64"/>
    <x v="0"/>
    <x v="3"/>
    <x v="0"/>
    <x v="3"/>
    <n v="4"/>
    <n v="2370"/>
    <n v="0"/>
    <n v="9480"/>
    <n v="0"/>
    <n v="9480"/>
  </r>
  <r>
    <x v="719"/>
    <x v="463"/>
    <s v="CUST85123"/>
    <x v="0"/>
    <n v="34"/>
    <x v="1"/>
    <x v="5"/>
    <x v="5"/>
    <x v="3"/>
    <n v="7"/>
    <n v="3519"/>
    <n v="20"/>
    <n v="24633"/>
    <n v="4926.6000000000004"/>
    <n v="19706.400000000001"/>
  </r>
  <r>
    <x v="720"/>
    <x v="403"/>
    <s v="CUST17596"/>
    <x v="1"/>
    <n v="50"/>
    <x v="0"/>
    <x v="3"/>
    <x v="1"/>
    <x v="3"/>
    <n v="2"/>
    <n v="5572"/>
    <n v="20"/>
    <n v="11144"/>
    <n v="2228.8000000000002"/>
    <n v="8915.2000000000007"/>
  </r>
  <r>
    <x v="721"/>
    <x v="464"/>
    <s v="CUST36871"/>
    <x v="0"/>
    <n v="29"/>
    <x v="1"/>
    <x v="2"/>
    <x v="0"/>
    <x v="0"/>
    <n v="7"/>
    <n v="2069"/>
    <n v="5"/>
    <n v="14483"/>
    <n v="724.15"/>
    <n v="13758.85"/>
  </r>
  <r>
    <x v="722"/>
    <x v="265"/>
    <s v="CUST82696"/>
    <x v="0"/>
    <n v="27"/>
    <x v="1"/>
    <x v="0"/>
    <x v="2"/>
    <x v="2"/>
    <n v="2"/>
    <n v="4127"/>
    <n v="0"/>
    <n v="8254"/>
    <n v="0"/>
    <n v="8254"/>
  </r>
  <r>
    <x v="723"/>
    <x v="234"/>
    <s v="CUST11864"/>
    <x v="1"/>
    <n v="18"/>
    <x v="3"/>
    <x v="0"/>
    <x v="0"/>
    <x v="1"/>
    <n v="6"/>
    <n v="5838"/>
    <n v="5"/>
    <n v="35028"/>
    <n v="1751.4"/>
    <n v="33276.6"/>
  </r>
  <r>
    <x v="724"/>
    <x v="331"/>
    <s v="CUST73237"/>
    <x v="0"/>
    <n v="20"/>
    <x v="3"/>
    <x v="1"/>
    <x v="0"/>
    <x v="3"/>
    <n v="4"/>
    <n v="5667"/>
    <n v="0"/>
    <n v="22668"/>
    <n v="0"/>
    <n v="22668"/>
  </r>
  <r>
    <x v="725"/>
    <x v="399"/>
    <s v="CUST12803"/>
    <x v="1"/>
    <n v="57"/>
    <x v="0"/>
    <x v="5"/>
    <x v="0"/>
    <x v="4"/>
    <n v="1"/>
    <n v="2775"/>
    <n v="15"/>
    <n v="2775"/>
    <n v="416.25"/>
    <n v="2358.75"/>
  </r>
  <r>
    <x v="726"/>
    <x v="465"/>
    <s v="CUST43347"/>
    <x v="1"/>
    <n v="58"/>
    <x v="0"/>
    <x v="4"/>
    <x v="4"/>
    <x v="2"/>
    <n v="2"/>
    <n v="4114"/>
    <n v="15"/>
    <n v="8228"/>
    <n v="1234.2"/>
    <n v="6993.8"/>
  </r>
  <r>
    <x v="727"/>
    <x v="422"/>
    <s v="CUST33473"/>
    <x v="0"/>
    <n v="42"/>
    <x v="2"/>
    <x v="4"/>
    <x v="0"/>
    <x v="1"/>
    <n v="1"/>
    <n v="396"/>
    <n v="10"/>
    <n v="396"/>
    <n v="39.6"/>
    <n v="356.4"/>
  </r>
  <r>
    <x v="728"/>
    <x v="466"/>
    <s v="CUST80382"/>
    <x v="0"/>
    <n v="22"/>
    <x v="3"/>
    <x v="2"/>
    <x v="5"/>
    <x v="3"/>
    <n v="4"/>
    <n v="4049"/>
    <n v="15"/>
    <n v="16196"/>
    <n v="2429.4"/>
    <n v="13766.6"/>
  </r>
  <r>
    <x v="729"/>
    <x v="467"/>
    <s v="CUST85826"/>
    <x v="1"/>
    <n v="38"/>
    <x v="2"/>
    <x v="3"/>
    <x v="2"/>
    <x v="2"/>
    <n v="4"/>
    <n v="5989"/>
    <n v="5"/>
    <n v="23956"/>
    <n v="1197.8"/>
    <n v="22758.2"/>
  </r>
  <r>
    <x v="730"/>
    <x v="304"/>
    <s v="CUST95747"/>
    <x v="1"/>
    <n v="34"/>
    <x v="1"/>
    <x v="3"/>
    <x v="2"/>
    <x v="4"/>
    <n v="5"/>
    <n v="2866"/>
    <n v="0"/>
    <n v="14330"/>
    <n v="0"/>
    <n v="14330"/>
  </r>
  <r>
    <x v="731"/>
    <x v="415"/>
    <s v="CUST43959"/>
    <x v="1"/>
    <n v="34"/>
    <x v="1"/>
    <x v="3"/>
    <x v="3"/>
    <x v="4"/>
    <n v="1"/>
    <n v="1431"/>
    <n v="5"/>
    <n v="1431"/>
    <n v="71.55"/>
    <n v="1359.45"/>
  </r>
  <r>
    <x v="732"/>
    <x v="381"/>
    <s v="CUST87380"/>
    <x v="0"/>
    <n v="46"/>
    <x v="0"/>
    <x v="1"/>
    <x v="0"/>
    <x v="4"/>
    <n v="1"/>
    <n v="5509"/>
    <n v="0"/>
    <n v="5509"/>
    <n v="0"/>
    <n v="5509"/>
  </r>
  <r>
    <x v="733"/>
    <x v="328"/>
    <s v="CUST33812"/>
    <x v="1"/>
    <n v="41"/>
    <x v="2"/>
    <x v="0"/>
    <x v="0"/>
    <x v="3"/>
    <n v="4"/>
    <n v="2485"/>
    <n v="0"/>
    <n v="9940"/>
    <n v="0"/>
    <n v="9940"/>
  </r>
  <r>
    <x v="734"/>
    <x v="73"/>
    <s v="CUST17283"/>
    <x v="0"/>
    <n v="39"/>
    <x v="2"/>
    <x v="5"/>
    <x v="3"/>
    <x v="3"/>
    <n v="3"/>
    <n v="2263"/>
    <n v="0"/>
    <n v="6789"/>
    <n v="0"/>
    <n v="6789"/>
  </r>
  <r>
    <x v="735"/>
    <x v="148"/>
    <s v="CUST11084"/>
    <x v="0"/>
    <n v="45"/>
    <x v="2"/>
    <x v="5"/>
    <x v="0"/>
    <x v="4"/>
    <n v="7"/>
    <n v="6749"/>
    <n v="20"/>
    <n v="47243"/>
    <n v="9448.6"/>
    <n v="37794.400000000001"/>
  </r>
  <r>
    <x v="736"/>
    <x v="468"/>
    <s v="CUST22407"/>
    <x v="1"/>
    <n v="29"/>
    <x v="1"/>
    <x v="3"/>
    <x v="0"/>
    <x v="3"/>
    <n v="3"/>
    <n v="4549"/>
    <n v="0"/>
    <n v="13647"/>
    <n v="0"/>
    <n v="13647"/>
  </r>
  <r>
    <x v="737"/>
    <x v="347"/>
    <s v="CUST31426"/>
    <x v="0"/>
    <n v="28"/>
    <x v="1"/>
    <x v="0"/>
    <x v="2"/>
    <x v="2"/>
    <n v="5"/>
    <n v="7515"/>
    <n v="5"/>
    <n v="37575"/>
    <n v="1878.75"/>
    <n v="35696.25"/>
  </r>
  <r>
    <x v="738"/>
    <x v="126"/>
    <s v="CUST65296"/>
    <x v="1"/>
    <n v="51"/>
    <x v="0"/>
    <x v="1"/>
    <x v="0"/>
    <x v="2"/>
    <n v="5"/>
    <n v="4916"/>
    <n v="5"/>
    <n v="24580"/>
    <n v="1229"/>
    <n v="23351"/>
  </r>
  <r>
    <x v="739"/>
    <x v="469"/>
    <s v="CUST75856"/>
    <x v="0"/>
    <n v="40"/>
    <x v="2"/>
    <x v="4"/>
    <x v="1"/>
    <x v="1"/>
    <n v="6"/>
    <n v="4214"/>
    <n v="0"/>
    <n v="25284"/>
    <n v="0"/>
    <n v="25284"/>
  </r>
  <r>
    <x v="740"/>
    <x v="470"/>
    <s v="CUST50085"/>
    <x v="1"/>
    <n v="32"/>
    <x v="1"/>
    <x v="4"/>
    <x v="0"/>
    <x v="2"/>
    <n v="2"/>
    <n v="4204"/>
    <n v="0"/>
    <n v="8408"/>
    <n v="0"/>
    <n v="8408"/>
  </r>
  <r>
    <x v="741"/>
    <x v="471"/>
    <s v="CUST30733"/>
    <x v="1"/>
    <n v="56"/>
    <x v="0"/>
    <x v="2"/>
    <x v="0"/>
    <x v="2"/>
    <n v="1"/>
    <n v="4510"/>
    <n v="15"/>
    <n v="4510"/>
    <n v="676.5"/>
    <n v="3833.5"/>
  </r>
  <r>
    <x v="742"/>
    <x v="21"/>
    <s v="CUST57730"/>
    <x v="0"/>
    <n v="55"/>
    <x v="0"/>
    <x v="3"/>
    <x v="1"/>
    <x v="3"/>
    <n v="1"/>
    <n v="1396"/>
    <n v="0"/>
    <n v="1396"/>
    <n v="0"/>
    <n v="1396"/>
  </r>
  <r>
    <x v="743"/>
    <x v="472"/>
    <s v="CUST87716"/>
    <x v="1"/>
    <n v="43"/>
    <x v="2"/>
    <x v="4"/>
    <x v="2"/>
    <x v="2"/>
    <n v="4"/>
    <n v="4240"/>
    <n v="5"/>
    <n v="16960"/>
    <n v="848"/>
    <n v="16112"/>
  </r>
  <r>
    <x v="744"/>
    <x v="412"/>
    <s v="CUST57130"/>
    <x v="0"/>
    <n v="39"/>
    <x v="2"/>
    <x v="3"/>
    <x v="5"/>
    <x v="2"/>
    <n v="7"/>
    <n v="7338"/>
    <n v="10"/>
    <n v="51366"/>
    <n v="5136.6000000000004"/>
    <n v="46229.4"/>
  </r>
  <r>
    <x v="745"/>
    <x v="449"/>
    <s v="CUST68822"/>
    <x v="0"/>
    <n v="61"/>
    <x v="0"/>
    <x v="0"/>
    <x v="2"/>
    <x v="2"/>
    <n v="5"/>
    <n v="3928"/>
    <n v="15"/>
    <n v="19640"/>
    <n v="2946"/>
    <n v="16694"/>
  </r>
  <r>
    <x v="746"/>
    <x v="359"/>
    <s v="CUST36147"/>
    <x v="1"/>
    <n v="55"/>
    <x v="0"/>
    <x v="1"/>
    <x v="2"/>
    <x v="2"/>
    <n v="5"/>
    <n v="3714"/>
    <n v="0"/>
    <n v="18570"/>
    <n v="0"/>
    <n v="18570"/>
  </r>
  <r>
    <x v="747"/>
    <x v="383"/>
    <s v="CUST98823"/>
    <x v="1"/>
    <n v="61"/>
    <x v="0"/>
    <x v="3"/>
    <x v="3"/>
    <x v="3"/>
    <n v="5"/>
    <n v="1507"/>
    <n v="15"/>
    <n v="7535"/>
    <n v="1130.25"/>
    <n v="6404.75"/>
  </r>
  <r>
    <x v="748"/>
    <x v="473"/>
    <s v="CUST99667"/>
    <x v="1"/>
    <n v="24"/>
    <x v="3"/>
    <x v="0"/>
    <x v="0"/>
    <x v="0"/>
    <n v="4"/>
    <n v="7858"/>
    <n v="5"/>
    <n v="31432"/>
    <n v="1571.6"/>
    <n v="29860.400000000001"/>
  </r>
  <r>
    <x v="749"/>
    <x v="474"/>
    <s v="CUST81560"/>
    <x v="1"/>
    <n v="47"/>
    <x v="0"/>
    <x v="4"/>
    <x v="0"/>
    <x v="0"/>
    <n v="4"/>
    <n v="4129"/>
    <n v="0"/>
    <n v="16516"/>
    <n v="0"/>
    <n v="16516"/>
  </r>
  <r>
    <x v="750"/>
    <x v="178"/>
    <s v="CUST69669"/>
    <x v="0"/>
    <n v="57"/>
    <x v="0"/>
    <x v="4"/>
    <x v="2"/>
    <x v="1"/>
    <n v="3"/>
    <n v="528"/>
    <n v="15"/>
    <n v="1584"/>
    <n v="237.6"/>
    <n v="1346.4"/>
  </r>
  <r>
    <x v="751"/>
    <x v="124"/>
    <s v="CUST65314"/>
    <x v="1"/>
    <n v="43"/>
    <x v="2"/>
    <x v="1"/>
    <x v="1"/>
    <x v="2"/>
    <n v="3"/>
    <n v="6626"/>
    <n v="0"/>
    <n v="19878"/>
    <n v="0"/>
    <n v="19878"/>
  </r>
  <r>
    <x v="752"/>
    <x v="207"/>
    <s v="CUST71637"/>
    <x v="0"/>
    <n v="56"/>
    <x v="0"/>
    <x v="0"/>
    <x v="1"/>
    <x v="1"/>
    <n v="5"/>
    <n v="5967"/>
    <n v="5"/>
    <n v="29835"/>
    <n v="1491.75"/>
    <n v="28343.25"/>
  </r>
  <r>
    <x v="753"/>
    <x v="89"/>
    <s v="CUST80061"/>
    <x v="1"/>
    <n v="20"/>
    <x v="3"/>
    <x v="0"/>
    <x v="0"/>
    <x v="0"/>
    <n v="1"/>
    <n v="2152"/>
    <n v="10"/>
    <n v="2152"/>
    <n v="215.2"/>
    <n v="1936.8"/>
  </r>
  <r>
    <x v="754"/>
    <x v="167"/>
    <s v="CUST32611"/>
    <x v="1"/>
    <n v="25"/>
    <x v="3"/>
    <x v="4"/>
    <x v="2"/>
    <x v="0"/>
    <n v="7"/>
    <n v="931"/>
    <n v="5"/>
    <n v="6517"/>
    <n v="325.85000000000002"/>
    <n v="6191.15"/>
  </r>
  <r>
    <x v="755"/>
    <x v="475"/>
    <s v="CUST58885"/>
    <x v="1"/>
    <n v="25"/>
    <x v="3"/>
    <x v="5"/>
    <x v="2"/>
    <x v="1"/>
    <n v="6"/>
    <n v="3276"/>
    <n v="10"/>
    <n v="19656"/>
    <n v="1965.6"/>
    <n v="17690.400000000001"/>
  </r>
  <r>
    <x v="756"/>
    <x v="3"/>
    <s v="CUST12088"/>
    <x v="1"/>
    <n v="54"/>
    <x v="0"/>
    <x v="5"/>
    <x v="1"/>
    <x v="0"/>
    <n v="1"/>
    <n v="6199"/>
    <n v="0"/>
    <n v="6199"/>
    <n v="0"/>
    <n v="6199"/>
  </r>
  <r>
    <x v="757"/>
    <x v="476"/>
    <s v="CUST45020"/>
    <x v="0"/>
    <n v="61"/>
    <x v="0"/>
    <x v="5"/>
    <x v="5"/>
    <x v="4"/>
    <n v="4"/>
    <n v="3490"/>
    <n v="0"/>
    <n v="13960"/>
    <n v="0"/>
    <n v="13960"/>
  </r>
  <r>
    <x v="758"/>
    <x v="477"/>
    <s v="CUST90335"/>
    <x v="1"/>
    <n v="37"/>
    <x v="2"/>
    <x v="4"/>
    <x v="2"/>
    <x v="4"/>
    <n v="4"/>
    <n v="2769"/>
    <n v="0"/>
    <n v="11076"/>
    <n v="0"/>
    <n v="11076"/>
  </r>
  <r>
    <x v="759"/>
    <x v="478"/>
    <s v="CUST22364"/>
    <x v="0"/>
    <n v="38"/>
    <x v="2"/>
    <x v="5"/>
    <x v="5"/>
    <x v="4"/>
    <n v="6"/>
    <n v="268"/>
    <n v="5"/>
    <n v="1608"/>
    <n v="80.400000000000006"/>
    <n v="1527.6"/>
  </r>
  <r>
    <x v="760"/>
    <x v="36"/>
    <s v="CUST34316"/>
    <x v="0"/>
    <n v="61"/>
    <x v="0"/>
    <x v="2"/>
    <x v="1"/>
    <x v="3"/>
    <n v="1"/>
    <n v="2348"/>
    <n v="15"/>
    <n v="2348"/>
    <n v="352.2"/>
    <n v="1995.8"/>
  </r>
  <r>
    <x v="761"/>
    <x v="479"/>
    <s v="CUST62962"/>
    <x v="1"/>
    <n v="22"/>
    <x v="3"/>
    <x v="4"/>
    <x v="2"/>
    <x v="2"/>
    <n v="3"/>
    <n v="5800"/>
    <n v="10"/>
    <n v="17400"/>
    <n v="1740"/>
    <n v="15660"/>
  </r>
  <r>
    <x v="762"/>
    <x v="480"/>
    <s v="CUST93079"/>
    <x v="1"/>
    <n v="48"/>
    <x v="0"/>
    <x v="2"/>
    <x v="1"/>
    <x v="0"/>
    <n v="6"/>
    <n v="2484"/>
    <n v="20"/>
    <n v="14904"/>
    <n v="2980.8"/>
    <n v="11923.2"/>
  </r>
  <r>
    <x v="763"/>
    <x v="290"/>
    <s v="CUST73092"/>
    <x v="0"/>
    <n v="55"/>
    <x v="0"/>
    <x v="4"/>
    <x v="0"/>
    <x v="3"/>
    <n v="5"/>
    <n v="5472"/>
    <n v="0"/>
    <n v="27360"/>
    <n v="0"/>
    <n v="27360"/>
  </r>
  <r>
    <x v="764"/>
    <x v="87"/>
    <s v="CUST67118"/>
    <x v="0"/>
    <n v="38"/>
    <x v="2"/>
    <x v="1"/>
    <x v="0"/>
    <x v="4"/>
    <n v="3"/>
    <n v="4777"/>
    <n v="0"/>
    <n v="14331"/>
    <n v="0"/>
    <n v="14331"/>
  </r>
  <r>
    <x v="765"/>
    <x v="260"/>
    <s v="CUST92446"/>
    <x v="1"/>
    <n v="63"/>
    <x v="0"/>
    <x v="3"/>
    <x v="0"/>
    <x v="0"/>
    <n v="4"/>
    <n v="2659"/>
    <n v="15"/>
    <n v="10636"/>
    <n v="1595.4"/>
    <n v="9040.6"/>
  </r>
  <r>
    <x v="766"/>
    <x v="170"/>
    <s v="CUST61755"/>
    <x v="1"/>
    <n v="42"/>
    <x v="2"/>
    <x v="1"/>
    <x v="2"/>
    <x v="3"/>
    <n v="2"/>
    <n v="1337"/>
    <n v="0"/>
    <n v="2674"/>
    <n v="0"/>
    <n v="2674"/>
  </r>
  <r>
    <x v="767"/>
    <x v="481"/>
    <s v="CUST25365"/>
    <x v="0"/>
    <n v="46"/>
    <x v="0"/>
    <x v="5"/>
    <x v="2"/>
    <x v="0"/>
    <n v="4"/>
    <n v="3008"/>
    <n v="0"/>
    <n v="12032"/>
    <n v="0"/>
    <n v="12032"/>
  </r>
  <r>
    <x v="768"/>
    <x v="189"/>
    <s v="CUST59115"/>
    <x v="0"/>
    <n v="26"/>
    <x v="1"/>
    <x v="0"/>
    <x v="3"/>
    <x v="2"/>
    <n v="3"/>
    <n v="4859"/>
    <n v="10"/>
    <n v="14577"/>
    <n v="1457.7"/>
    <n v="13119.3"/>
  </r>
  <r>
    <x v="769"/>
    <x v="211"/>
    <s v="CUST40461"/>
    <x v="1"/>
    <n v="22"/>
    <x v="3"/>
    <x v="2"/>
    <x v="0"/>
    <x v="4"/>
    <n v="6"/>
    <n v="3020"/>
    <n v="15"/>
    <n v="18120"/>
    <n v="2718"/>
    <n v="15402"/>
  </r>
  <r>
    <x v="770"/>
    <x v="482"/>
    <s v="CUST51201"/>
    <x v="1"/>
    <n v="25"/>
    <x v="3"/>
    <x v="2"/>
    <x v="0"/>
    <x v="2"/>
    <n v="1"/>
    <n v="2603"/>
    <n v="10"/>
    <n v="2603"/>
    <n v="260.3"/>
    <n v="2342.6999999999998"/>
  </r>
  <r>
    <x v="771"/>
    <x v="483"/>
    <s v="CUST96422"/>
    <x v="1"/>
    <n v="46"/>
    <x v="0"/>
    <x v="0"/>
    <x v="0"/>
    <x v="0"/>
    <n v="1"/>
    <n v="5347"/>
    <n v="10"/>
    <n v="5347"/>
    <n v="534.70000000000005"/>
    <n v="4812.3"/>
  </r>
  <r>
    <x v="772"/>
    <x v="429"/>
    <s v="CUST40985"/>
    <x v="0"/>
    <n v="42"/>
    <x v="2"/>
    <x v="1"/>
    <x v="0"/>
    <x v="2"/>
    <n v="7"/>
    <n v="4651"/>
    <n v="20"/>
    <n v="32557"/>
    <n v="6511.4"/>
    <n v="26045.599999999999"/>
  </r>
  <r>
    <x v="773"/>
    <x v="403"/>
    <s v="CUST58717"/>
    <x v="1"/>
    <n v="45"/>
    <x v="2"/>
    <x v="1"/>
    <x v="2"/>
    <x v="1"/>
    <n v="1"/>
    <n v="4773"/>
    <n v="5"/>
    <n v="4773"/>
    <n v="238.65"/>
    <n v="4534.3500000000004"/>
  </r>
  <r>
    <x v="774"/>
    <x v="182"/>
    <s v="CUST68287"/>
    <x v="0"/>
    <n v="30"/>
    <x v="1"/>
    <x v="4"/>
    <x v="4"/>
    <x v="2"/>
    <n v="5"/>
    <n v="7458"/>
    <n v="20"/>
    <n v="37290"/>
    <n v="7458"/>
    <n v="29832"/>
  </r>
  <r>
    <x v="775"/>
    <x v="143"/>
    <s v="CUST49336"/>
    <x v="1"/>
    <n v="28"/>
    <x v="1"/>
    <x v="0"/>
    <x v="5"/>
    <x v="1"/>
    <n v="2"/>
    <n v="7494"/>
    <n v="0"/>
    <n v="14988"/>
    <n v="0"/>
    <n v="14988"/>
  </r>
  <r>
    <x v="776"/>
    <x v="484"/>
    <s v="CUST34271"/>
    <x v="0"/>
    <n v="50"/>
    <x v="0"/>
    <x v="2"/>
    <x v="3"/>
    <x v="4"/>
    <n v="7"/>
    <n v="7928"/>
    <n v="0"/>
    <n v="55496"/>
    <n v="0"/>
    <n v="55496"/>
  </r>
  <r>
    <x v="777"/>
    <x v="238"/>
    <s v="CUST87785"/>
    <x v="1"/>
    <n v="24"/>
    <x v="3"/>
    <x v="2"/>
    <x v="1"/>
    <x v="3"/>
    <n v="5"/>
    <n v="4247"/>
    <n v="0"/>
    <n v="21235"/>
    <n v="0"/>
    <n v="21235"/>
  </r>
  <r>
    <x v="778"/>
    <x v="339"/>
    <s v="CUST49045"/>
    <x v="0"/>
    <n v="63"/>
    <x v="0"/>
    <x v="3"/>
    <x v="1"/>
    <x v="3"/>
    <n v="2"/>
    <n v="4004"/>
    <n v="0"/>
    <n v="8008"/>
    <n v="0"/>
    <n v="8008"/>
  </r>
  <r>
    <x v="779"/>
    <x v="383"/>
    <s v="CUST94132"/>
    <x v="1"/>
    <n v="45"/>
    <x v="2"/>
    <x v="1"/>
    <x v="5"/>
    <x v="0"/>
    <n v="7"/>
    <n v="7615"/>
    <n v="10"/>
    <n v="53305"/>
    <n v="5330.5"/>
    <n v="47974.5"/>
  </r>
  <r>
    <x v="780"/>
    <x v="485"/>
    <s v="CUST82054"/>
    <x v="0"/>
    <n v="20"/>
    <x v="3"/>
    <x v="2"/>
    <x v="0"/>
    <x v="3"/>
    <n v="6"/>
    <n v="636"/>
    <n v="10"/>
    <n v="3816"/>
    <n v="381.6"/>
    <n v="3434.4"/>
  </r>
  <r>
    <x v="781"/>
    <x v="221"/>
    <s v="CUST99911"/>
    <x v="0"/>
    <n v="48"/>
    <x v="0"/>
    <x v="0"/>
    <x v="5"/>
    <x v="1"/>
    <n v="1"/>
    <n v="1389"/>
    <n v="10"/>
    <n v="1389"/>
    <n v="138.9"/>
    <n v="1250.0999999999999"/>
  </r>
  <r>
    <x v="782"/>
    <x v="486"/>
    <s v="CUST59689"/>
    <x v="1"/>
    <n v="49"/>
    <x v="0"/>
    <x v="0"/>
    <x v="4"/>
    <x v="2"/>
    <n v="7"/>
    <n v="4483"/>
    <n v="0"/>
    <n v="31381"/>
    <n v="0"/>
    <n v="31381"/>
  </r>
  <r>
    <x v="783"/>
    <x v="134"/>
    <s v="CUST92455"/>
    <x v="1"/>
    <n v="39"/>
    <x v="2"/>
    <x v="3"/>
    <x v="0"/>
    <x v="0"/>
    <n v="4"/>
    <n v="2278"/>
    <n v="5"/>
    <n v="9112"/>
    <n v="455.6"/>
    <n v="8656.4"/>
  </r>
  <r>
    <x v="784"/>
    <x v="29"/>
    <s v="CUST52365"/>
    <x v="0"/>
    <n v="59"/>
    <x v="0"/>
    <x v="5"/>
    <x v="1"/>
    <x v="3"/>
    <n v="6"/>
    <n v="5038"/>
    <n v="10"/>
    <n v="30228"/>
    <n v="3022.8"/>
    <n v="27205.200000000001"/>
  </r>
  <r>
    <x v="785"/>
    <x v="478"/>
    <s v="CUST73309"/>
    <x v="1"/>
    <n v="60"/>
    <x v="0"/>
    <x v="3"/>
    <x v="4"/>
    <x v="2"/>
    <n v="4"/>
    <n v="4940"/>
    <n v="0"/>
    <n v="19760"/>
    <n v="0"/>
    <n v="19760"/>
  </r>
  <r>
    <x v="786"/>
    <x v="171"/>
    <s v="CUST70385"/>
    <x v="1"/>
    <n v="21"/>
    <x v="3"/>
    <x v="3"/>
    <x v="4"/>
    <x v="1"/>
    <n v="2"/>
    <n v="2372"/>
    <n v="15"/>
    <n v="4744"/>
    <n v="711.6"/>
    <n v="4032.4"/>
  </r>
  <r>
    <x v="787"/>
    <x v="487"/>
    <s v="CUST73979"/>
    <x v="0"/>
    <n v="63"/>
    <x v="0"/>
    <x v="2"/>
    <x v="0"/>
    <x v="1"/>
    <n v="3"/>
    <n v="6937"/>
    <n v="0"/>
    <n v="20811"/>
    <n v="0"/>
    <n v="20811"/>
  </r>
  <r>
    <x v="788"/>
    <x v="158"/>
    <s v="CUST11377"/>
    <x v="1"/>
    <n v="36"/>
    <x v="2"/>
    <x v="2"/>
    <x v="0"/>
    <x v="4"/>
    <n v="1"/>
    <n v="7572"/>
    <n v="0"/>
    <n v="7572"/>
    <n v="0"/>
    <n v="7572"/>
  </r>
  <r>
    <x v="789"/>
    <x v="488"/>
    <s v="CUST76759"/>
    <x v="0"/>
    <n v="63"/>
    <x v="0"/>
    <x v="2"/>
    <x v="4"/>
    <x v="4"/>
    <n v="3"/>
    <n v="6088"/>
    <n v="5"/>
    <n v="18264"/>
    <n v="913.2"/>
    <n v="17350.8"/>
  </r>
  <r>
    <x v="790"/>
    <x v="419"/>
    <s v="CUST37734"/>
    <x v="1"/>
    <n v="34"/>
    <x v="1"/>
    <x v="4"/>
    <x v="3"/>
    <x v="2"/>
    <n v="2"/>
    <n v="6329"/>
    <n v="15"/>
    <n v="12658"/>
    <n v="1898.7"/>
    <n v="10759.3"/>
  </r>
  <r>
    <x v="791"/>
    <x v="489"/>
    <s v="CUST43028"/>
    <x v="0"/>
    <n v="41"/>
    <x v="2"/>
    <x v="5"/>
    <x v="3"/>
    <x v="4"/>
    <n v="4"/>
    <n v="4915"/>
    <n v="10"/>
    <n v="19660"/>
    <n v="1966"/>
    <n v="17694"/>
  </r>
  <r>
    <x v="792"/>
    <x v="219"/>
    <s v="CUST58596"/>
    <x v="0"/>
    <n v="29"/>
    <x v="1"/>
    <x v="0"/>
    <x v="5"/>
    <x v="4"/>
    <n v="4"/>
    <n v="6724"/>
    <n v="0"/>
    <n v="26896"/>
    <n v="0"/>
    <n v="26896"/>
  </r>
  <r>
    <x v="793"/>
    <x v="245"/>
    <s v="CUST54198"/>
    <x v="1"/>
    <n v="47"/>
    <x v="0"/>
    <x v="1"/>
    <x v="0"/>
    <x v="2"/>
    <n v="2"/>
    <n v="1522"/>
    <n v="0"/>
    <n v="3044"/>
    <n v="0"/>
    <n v="3044"/>
  </r>
  <r>
    <x v="794"/>
    <x v="433"/>
    <s v="CUST54722"/>
    <x v="0"/>
    <n v="64"/>
    <x v="0"/>
    <x v="3"/>
    <x v="4"/>
    <x v="4"/>
    <n v="6"/>
    <n v="7409"/>
    <n v="10"/>
    <n v="44454"/>
    <n v="4445.3999999999996"/>
    <n v="40008.6"/>
  </r>
  <r>
    <x v="795"/>
    <x v="373"/>
    <s v="CUST63824"/>
    <x v="0"/>
    <n v="30"/>
    <x v="1"/>
    <x v="1"/>
    <x v="5"/>
    <x v="3"/>
    <n v="4"/>
    <n v="6724"/>
    <n v="0"/>
    <n v="26896"/>
    <n v="0"/>
    <n v="26896"/>
  </r>
  <r>
    <x v="796"/>
    <x v="374"/>
    <s v="CUST19071"/>
    <x v="1"/>
    <n v="40"/>
    <x v="2"/>
    <x v="4"/>
    <x v="2"/>
    <x v="0"/>
    <n v="4"/>
    <n v="3064"/>
    <n v="5"/>
    <n v="12256"/>
    <n v="612.79999999999995"/>
    <n v="11643.2"/>
  </r>
  <r>
    <x v="797"/>
    <x v="490"/>
    <s v="CUST51429"/>
    <x v="0"/>
    <n v="34"/>
    <x v="1"/>
    <x v="3"/>
    <x v="2"/>
    <x v="0"/>
    <n v="2"/>
    <n v="3742"/>
    <n v="10"/>
    <n v="7484"/>
    <n v="748.4"/>
    <n v="6735.6"/>
  </r>
  <r>
    <x v="798"/>
    <x v="320"/>
    <s v="CUST88493"/>
    <x v="0"/>
    <n v="63"/>
    <x v="0"/>
    <x v="4"/>
    <x v="5"/>
    <x v="2"/>
    <n v="1"/>
    <n v="5769"/>
    <n v="0"/>
    <n v="5769"/>
    <n v="0"/>
    <n v="5769"/>
  </r>
  <r>
    <x v="799"/>
    <x v="491"/>
    <s v="CUST38666"/>
    <x v="0"/>
    <n v="50"/>
    <x v="0"/>
    <x v="2"/>
    <x v="2"/>
    <x v="3"/>
    <n v="7"/>
    <n v="2506"/>
    <n v="0"/>
    <n v="17542"/>
    <n v="0"/>
    <n v="17542"/>
  </r>
  <r>
    <x v="800"/>
    <x v="172"/>
    <s v="CUST17023"/>
    <x v="1"/>
    <n v="44"/>
    <x v="2"/>
    <x v="2"/>
    <x v="2"/>
    <x v="1"/>
    <n v="2"/>
    <n v="434"/>
    <n v="0"/>
    <n v="868"/>
    <n v="0"/>
    <n v="868"/>
  </r>
  <r>
    <x v="801"/>
    <x v="492"/>
    <s v="CUST12119"/>
    <x v="1"/>
    <n v="47"/>
    <x v="0"/>
    <x v="1"/>
    <x v="3"/>
    <x v="1"/>
    <n v="4"/>
    <n v="404"/>
    <n v="5"/>
    <n v="1616"/>
    <n v="80.8"/>
    <n v="1535.2"/>
  </r>
  <r>
    <x v="802"/>
    <x v="493"/>
    <s v="CUST36586"/>
    <x v="1"/>
    <n v="32"/>
    <x v="1"/>
    <x v="1"/>
    <x v="3"/>
    <x v="3"/>
    <n v="1"/>
    <n v="2300"/>
    <n v="0"/>
    <n v="2300"/>
    <n v="0"/>
    <n v="2300"/>
  </r>
  <r>
    <x v="803"/>
    <x v="485"/>
    <s v="CUST50090"/>
    <x v="0"/>
    <n v="28"/>
    <x v="1"/>
    <x v="1"/>
    <x v="0"/>
    <x v="2"/>
    <n v="2"/>
    <n v="270"/>
    <n v="0"/>
    <n v="540"/>
    <n v="0"/>
    <n v="540"/>
  </r>
  <r>
    <x v="804"/>
    <x v="494"/>
    <s v="CUST77621"/>
    <x v="1"/>
    <n v="53"/>
    <x v="0"/>
    <x v="5"/>
    <x v="3"/>
    <x v="4"/>
    <n v="2"/>
    <n v="704"/>
    <n v="15"/>
    <n v="1408"/>
    <n v="211.2"/>
    <n v="1196.8"/>
  </r>
  <r>
    <x v="805"/>
    <x v="495"/>
    <s v="CUST32231"/>
    <x v="1"/>
    <n v="51"/>
    <x v="0"/>
    <x v="4"/>
    <x v="2"/>
    <x v="3"/>
    <n v="7"/>
    <n v="7209"/>
    <n v="15"/>
    <n v="50463"/>
    <n v="7569.45"/>
    <n v="42893.55"/>
  </r>
  <r>
    <x v="806"/>
    <x v="268"/>
    <s v="CUST85120"/>
    <x v="1"/>
    <n v="39"/>
    <x v="2"/>
    <x v="0"/>
    <x v="0"/>
    <x v="2"/>
    <n v="3"/>
    <n v="7034"/>
    <n v="0"/>
    <n v="21102"/>
    <n v="0"/>
    <n v="21102"/>
  </r>
  <r>
    <x v="807"/>
    <x v="355"/>
    <s v="CUST11443"/>
    <x v="0"/>
    <n v="39"/>
    <x v="2"/>
    <x v="4"/>
    <x v="1"/>
    <x v="3"/>
    <n v="7"/>
    <n v="7001"/>
    <n v="5"/>
    <n v="49007"/>
    <n v="2450.35"/>
    <n v="46556.65"/>
  </r>
  <r>
    <x v="808"/>
    <x v="496"/>
    <s v="CUST60419"/>
    <x v="0"/>
    <n v="59"/>
    <x v="0"/>
    <x v="2"/>
    <x v="2"/>
    <x v="3"/>
    <n v="5"/>
    <n v="1908"/>
    <n v="15"/>
    <n v="9540"/>
    <n v="1431"/>
    <n v="8109"/>
  </r>
  <r>
    <x v="809"/>
    <x v="141"/>
    <s v="CUST33936"/>
    <x v="1"/>
    <n v="38"/>
    <x v="2"/>
    <x v="5"/>
    <x v="0"/>
    <x v="1"/>
    <n v="2"/>
    <n v="3603"/>
    <n v="15"/>
    <n v="7206"/>
    <n v="1080.9000000000001"/>
    <n v="6125.1"/>
  </r>
  <r>
    <x v="810"/>
    <x v="497"/>
    <s v="CUST87141"/>
    <x v="0"/>
    <n v="64"/>
    <x v="0"/>
    <x v="1"/>
    <x v="5"/>
    <x v="3"/>
    <n v="6"/>
    <n v="7998"/>
    <n v="10"/>
    <n v="47988"/>
    <n v="4798.8"/>
    <n v="43189.2"/>
  </r>
  <r>
    <x v="811"/>
    <x v="38"/>
    <s v="CUST65135"/>
    <x v="0"/>
    <n v="26"/>
    <x v="1"/>
    <x v="2"/>
    <x v="1"/>
    <x v="0"/>
    <n v="5"/>
    <n v="4696"/>
    <n v="10"/>
    <n v="23480"/>
    <n v="2348"/>
    <n v="21132"/>
  </r>
  <r>
    <x v="812"/>
    <x v="21"/>
    <s v="CUST21364"/>
    <x v="1"/>
    <n v="31"/>
    <x v="1"/>
    <x v="4"/>
    <x v="2"/>
    <x v="1"/>
    <n v="6"/>
    <n v="7276"/>
    <n v="0"/>
    <n v="43656"/>
    <n v="0"/>
    <n v="43656"/>
  </r>
  <r>
    <x v="813"/>
    <x v="325"/>
    <s v="CUST48971"/>
    <x v="1"/>
    <n v="30"/>
    <x v="1"/>
    <x v="5"/>
    <x v="0"/>
    <x v="0"/>
    <n v="7"/>
    <n v="7374"/>
    <n v="10"/>
    <n v="51618"/>
    <n v="5161.8"/>
    <n v="46456.2"/>
  </r>
  <r>
    <x v="814"/>
    <x v="426"/>
    <s v="CUST61210"/>
    <x v="1"/>
    <n v="51"/>
    <x v="0"/>
    <x v="4"/>
    <x v="3"/>
    <x v="1"/>
    <n v="1"/>
    <n v="3408"/>
    <n v="10"/>
    <n v="3408"/>
    <n v="340.8"/>
    <n v="3067.2"/>
  </r>
  <r>
    <x v="815"/>
    <x v="3"/>
    <s v="CUST79297"/>
    <x v="0"/>
    <n v="32"/>
    <x v="1"/>
    <x v="1"/>
    <x v="3"/>
    <x v="3"/>
    <n v="6"/>
    <n v="166"/>
    <n v="15"/>
    <n v="996"/>
    <n v="149.4"/>
    <n v="846.6"/>
  </r>
  <r>
    <x v="816"/>
    <x v="247"/>
    <s v="CUST21095"/>
    <x v="1"/>
    <n v="30"/>
    <x v="1"/>
    <x v="1"/>
    <x v="1"/>
    <x v="4"/>
    <n v="3"/>
    <n v="3733"/>
    <n v="10"/>
    <n v="11199"/>
    <n v="1119.9000000000001"/>
    <n v="10079.1"/>
  </r>
  <r>
    <x v="817"/>
    <x v="324"/>
    <s v="CUST82519"/>
    <x v="1"/>
    <n v="39"/>
    <x v="2"/>
    <x v="0"/>
    <x v="0"/>
    <x v="1"/>
    <n v="2"/>
    <n v="6726"/>
    <n v="15"/>
    <n v="13452"/>
    <n v="2017.8"/>
    <n v="11434.2"/>
  </r>
  <r>
    <x v="818"/>
    <x v="265"/>
    <s v="CUST80858"/>
    <x v="1"/>
    <n v="57"/>
    <x v="0"/>
    <x v="2"/>
    <x v="1"/>
    <x v="2"/>
    <n v="2"/>
    <n v="2648"/>
    <n v="0"/>
    <n v="5296"/>
    <n v="0"/>
    <n v="5296"/>
  </r>
  <r>
    <x v="819"/>
    <x v="143"/>
    <s v="CUST95028"/>
    <x v="1"/>
    <n v="29"/>
    <x v="1"/>
    <x v="2"/>
    <x v="3"/>
    <x v="2"/>
    <n v="1"/>
    <n v="3450"/>
    <n v="20"/>
    <n v="3450"/>
    <n v="690"/>
    <n v="2760"/>
  </r>
  <r>
    <x v="820"/>
    <x v="498"/>
    <s v="CUST70017"/>
    <x v="0"/>
    <n v="43"/>
    <x v="2"/>
    <x v="4"/>
    <x v="3"/>
    <x v="2"/>
    <n v="5"/>
    <n v="1089"/>
    <n v="10"/>
    <n v="5445"/>
    <n v="544.5"/>
    <n v="4900.5"/>
  </r>
  <r>
    <x v="821"/>
    <x v="226"/>
    <s v="CUST50530"/>
    <x v="1"/>
    <n v="49"/>
    <x v="0"/>
    <x v="4"/>
    <x v="0"/>
    <x v="2"/>
    <n v="3"/>
    <n v="7197"/>
    <n v="15"/>
    <n v="21591"/>
    <n v="3238.65"/>
    <n v="18352.349999999999"/>
  </r>
  <r>
    <x v="822"/>
    <x v="285"/>
    <s v="CUST34903"/>
    <x v="1"/>
    <n v="53"/>
    <x v="0"/>
    <x v="4"/>
    <x v="0"/>
    <x v="2"/>
    <n v="2"/>
    <n v="7859"/>
    <n v="0"/>
    <n v="15718"/>
    <n v="0"/>
    <n v="15718"/>
  </r>
  <r>
    <x v="823"/>
    <x v="106"/>
    <s v="CUST16313"/>
    <x v="0"/>
    <n v="37"/>
    <x v="2"/>
    <x v="2"/>
    <x v="5"/>
    <x v="4"/>
    <n v="2"/>
    <n v="6568"/>
    <n v="20"/>
    <n v="13136"/>
    <n v="2627.2"/>
    <n v="10508.8"/>
  </r>
  <r>
    <x v="824"/>
    <x v="253"/>
    <s v="CUST47163"/>
    <x v="1"/>
    <n v="21"/>
    <x v="3"/>
    <x v="3"/>
    <x v="0"/>
    <x v="2"/>
    <n v="5"/>
    <n v="6376"/>
    <n v="10"/>
    <n v="31880"/>
    <n v="3188"/>
    <n v="28692"/>
  </r>
  <r>
    <x v="825"/>
    <x v="499"/>
    <s v="CUST60849"/>
    <x v="0"/>
    <n v="63"/>
    <x v="0"/>
    <x v="4"/>
    <x v="4"/>
    <x v="1"/>
    <n v="4"/>
    <n v="7151"/>
    <n v="0"/>
    <n v="28604"/>
    <n v="0"/>
    <n v="28604"/>
  </r>
  <r>
    <x v="826"/>
    <x v="500"/>
    <s v="CUST79923"/>
    <x v="1"/>
    <n v="19"/>
    <x v="3"/>
    <x v="1"/>
    <x v="4"/>
    <x v="3"/>
    <n v="4"/>
    <n v="1953"/>
    <n v="0"/>
    <n v="7812"/>
    <n v="0"/>
    <n v="7812"/>
  </r>
  <r>
    <x v="827"/>
    <x v="238"/>
    <s v="CUST97335"/>
    <x v="1"/>
    <n v="29"/>
    <x v="1"/>
    <x v="4"/>
    <x v="3"/>
    <x v="1"/>
    <n v="1"/>
    <n v="7303"/>
    <n v="0"/>
    <n v="7303"/>
    <n v="0"/>
    <n v="7303"/>
  </r>
  <r>
    <x v="828"/>
    <x v="161"/>
    <s v="CUST10482"/>
    <x v="0"/>
    <n v="39"/>
    <x v="2"/>
    <x v="3"/>
    <x v="5"/>
    <x v="3"/>
    <n v="6"/>
    <n v="971"/>
    <n v="10"/>
    <n v="5826"/>
    <n v="582.6"/>
    <n v="5243.4"/>
  </r>
  <r>
    <x v="829"/>
    <x v="224"/>
    <s v="CUST71394"/>
    <x v="1"/>
    <n v="44"/>
    <x v="2"/>
    <x v="5"/>
    <x v="0"/>
    <x v="0"/>
    <n v="7"/>
    <n v="7129"/>
    <n v="15"/>
    <n v="49903"/>
    <n v="7485.45"/>
    <n v="42417.55"/>
  </r>
  <r>
    <x v="830"/>
    <x v="334"/>
    <s v="CUST92786"/>
    <x v="0"/>
    <n v="44"/>
    <x v="2"/>
    <x v="2"/>
    <x v="0"/>
    <x v="3"/>
    <n v="7"/>
    <n v="2780"/>
    <n v="5"/>
    <n v="19460"/>
    <n v="973"/>
    <n v="18487"/>
  </r>
  <r>
    <x v="831"/>
    <x v="501"/>
    <s v="CUST25382"/>
    <x v="0"/>
    <n v="19"/>
    <x v="3"/>
    <x v="0"/>
    <x v="0"/>
    <x v="0"/>
    <n v="6"/>
    <n v="6534"/>
    <n v="0"/>
    <n v="39204"/>
    <n v="0"/>
    <n v="39204"/>
  </r>
  <r>
    <x v="832"/>
    <x v="502"/>
    <s v="CUST51981"/>
    <x v="1"/>
    <n v="43"/>
    <x v="2"/>
    <x v="2"/>
    <x v="2"/>
    <x v="1"/>
    <n v="2"/>
    <n v="4633"/>
    <n v="5"/>
    <n v="9266"/>
    <n v="463.3"/>
    <n v="8802.7000000000007"/>
  </r>
  <r>
    <x v="833"/>
    <x v="343"/>
    <s v="CUST28142"/>
    <x v="1"/>
    <n v="40"/>
    <x v="2"/>
    <x v="1"/>
    <x v="2"/>
    <x v="3"/>
    <n v="5"/>
    <n v="2451"/>
    <n v="0"/>
    <n v="12255"/>
    <n v="0"/>
    <n v="12255"/>
  </r>
  <r>
    <x v="834"/>
    <x v="314"/>
    <s v="CUST37998"/>
    <x v="0"/>
    <n v="32"/>
    <x v="1"/>
    <x v="3"/>
    <x v="2"/>
    <x v="1"/>
    <n v="5"/>
    <n v="4950"/>
    <n v="10"/>
    <n v="24750"/>
    <n v="2475"/>
    <n v="22275"/>
  </r>
  <r>
    <x v="835"/>
    <x v="51"/>
    <s v="CUST19181"/>
    <x v="1"/>
    <n v="56"/>
    <x v="0"/>
    <x v="3"/>
    <x v="1"/>
    <x v="3"/>
    <n v="5"/>
    <n v="786"/>
    <n v="0"/>
    <n v="3930"/>
    <n v="0"/>
    <n v="3930"/>
  </r>
  <r>
    <x v="836"/>
    <x v="503"/>
    <s v="CUST30717"/>
    <x v="1"/>
    <n v="29"/>
    <x v="1"/>
    <x v="4"/>
    <x v="5"/>
    <x v="4"/>
    <n v="2"/>
    <n v="7154"/>
    <n v="0"/>
    <n v="14308"/>
    <n v="0"/>
    <n v="14308"/>
  </r>
  <r>
    <x v="837"/>
    <x v="479"/>
    <s v="CUST81855"/>
    <x v="1"/>
    <n v="36"/>
    <x v="2"/>
    <x v="4"/>
    <x v="1"/>
    <x v="3"/>
    <n v="7"/>
    <n v="4607"/>
    <n v="5"/>
    <n v="32249"/>
    <n v="1612.45"/>
    <n v="30636.55"/>
  </r>
  <r>
    <x v="838"/>
    <x v="81"/>
    <s v="CUST87709"/>
    <x v="1"/>
    <n v="42"/>
    <x v="2"/>
    <x v="4"/>
    <x v="4"/>
    <x v="1"/>
    <n v="2"/>
    <n v="5140"/>
    <n v="10"/>
    <n v="10280"/>
    <n v="1028"/>
    <n v="9252"/>
  </r>
  <r>
    <x v="839"/>
    <x v="321"/>
    <s v="CUST76084"/>
    <x v="0"/>
    <n v="34"/>
    <x v="1"/>
    <x v="3"/>
    <x v="0"/>
    <x v="4"/>
    <n v="5"/>
    <n v="2137"/>
    <n v="0"/>
    <n v="10685"/>
    <n v="0"/>
    <n v="10685"/>
  </r>
  <r>
    <x v="840"/>
    <x v="50"/>
    <s v="CUST61651"/>
    <x v="0"/>
    <n v="42"/>
    <x v="2"/>
    <x v="3"/>
    <x v="0"/>
    <x v="4"/>
    <n v="4"/>
    <n v="3648"/>
    <n v="0"/>
    <n v="14592"/>
    <n v="0"/>
    <n v="14592"/>
  </r>
  <r>
    <x v="841"/>
    <x v="257"/>
    <s v="CUST42355"/>
    <x v="1"/>
    <n v="50"/>
    <x v="0"/>
    <x v="0"/>
    <x v="0"/>
    <x v="0"/>
    <n v="2"/>
    <n v="3197"/>
    <n v="10"/>
    <n v="6394"/>
    <n v="639.4"/>
    <n v="5754.6"/>
  </r>
  <r>
    <x v="842"/>
    <x v="497"/>
    <s v="CUST61978"/>
    <x v="0"/>
    <n v="58"/>
    <x v="0"/>
    <x v="0"/>
    <x v="1"/>
    <x v="4"/>
    <n v="1"/>
    <n v="2182"/>
    <n v="0"/>
    <n v="2182"/>
    <n v="0"/>
    <n v="2182"/>
  </r>
  <r>
    <x v="843"/>
    <x v="236"/>
    <s v="CUST64488"/>
    <x v="1"/>
    <n v="38"/>
    <x v="2"/>
    <x v="1"/>
    <x v="0"/>
    <x v="1"/>
    <n v="1"/>
    <n v="580"/>
    <n v="0"/>
    <n v="580"/>
    <n v="0"/>
    <n v="580"/>
  </r>
  <r>
    <x v="844"/>
    <x v="64"/>
    <s v="CUST10142"/>
    <x v="1"/>
    <n v="60"/>
    <x v="0"/>
    <x v="5"/>
    <x v="0"/>
    <x v="1"/>
    <n v="7"/>
    <n v="6101"/>
    <n v="20"/>
    <n v="42707"/>
    <n v="8541.4"/>
    <n v="34165.599999999999"/>
  </r>
  <r>
    <x v="845"/>
    <x v="504"/>
    <s v="CUST57692"/>
    <x v="0"/>
    <n v="64"/>
    <x v="0"/>
    <x v="2"/>
    <x v="0"/>
    <x v="3"/>
    <n v="2"/>
    <n v="4639"/>
    <n v="0"/>
    <n v="9278"/>
    <n v="0"/>
    <n v="9278"/>
  </r>
  <r>
    <x v="846"/>
    <x v="37"/>
    <s v="CUST48506"/>
    <x v="1"/>
    <n v="19"/>
    <x v="3"/>
    <x v="1"/>
    <x v="3"/>
    <x v="0"/>
    <n v="1"/>
    <n v="3684"/>
    <n v="0"/>
    <n v="3684"/>
    <n v="0"/>
    <n v="3684"/>
  </r>
  <r>
    <x v="847"/>
    <x v="478"/>
    <s v="CUST12489"/>
    <x v="0"/>
    <n v="43"/>
    <x v="2"/>
    <x v="1"/>
    <x v="1"/>
    <x v="3"/>
    <n v="7"/>
    <n v="337"/>
    <n v="15"/>
    <n v="2359"/>
    <n v="353.85"/>
    <n v="2005.15"/>
  </r>
  <r>
    <x v="848"/>
    <x v="234"/>
    <s v="CUST65044"/>
    <x v="1"/>
    <n v="49"/>
    <x v="0"/>
    <x v="3"/>
    <x v="1"/>
    <x v="4"/>
    <n v="5"/>
    <n v="5906"/>
    <n v="5"/>
    <n v="29530"/>
    <n v="1476.5"/>
    <n v="28053.5"/>
  </r>
  <r>
    <x v="849"/>
    <x v="505"/>
    <s v="CUST89049"/>
    <x v="0"/>
    <n v="45"/>
    <x v="2"/>
    <x v="4"/>
    <x v="0"/>
    <x v="2"/>
    <n v="7"/>
    <n v="2212"/>
    <n v="15"/>
    <n v="15484"/>
    <n v="2322.6"/>
    <n v="13161.4"/>
  </r>
  <r>
    <x v="850"/>
    <x v="36"/>
    <s v="CUST81641"/>
    <x v="1"/>
    <n v="61"/>
    <x v="0"/>
    <x v="1"/>
    <x v="4"/>
    <x v="1"/>
    <n v="3"/>
    <n v="6294"/>
    <n v="0"/>
    <n v="18882"/>
    <n v="0"/>
    <n v="18882"/>
  </r>
  <r>
    <x v="851"/>
    <x v="506"/>
    <s v="CUST95438"/>
    <x v="1"/>
    <n v="26"/>
    <x v="1"/>
    <x v="5"/>
    <x v="4"/>
    <x v="4"/>
    <n v="4"/>
    <n v="877"/>
    <n v="5"/>
    <n v="3508"/>
    <n v="175.4"/>
    <n v="3332.6"/>
  </r>
  <r>
    <x v="852"/>
    <x v="429"/>
    <s v="CUST70802"/>
    <x v="1"/>
    <n v="63"/>
    <x v="0"/>
    <x v="1"/>
    <x v="0"/>
    <x v="3"/>
    <n v="3"/>
    <n v="2982"/>
    <n v="5"/>
    <n v="8946"/>
    <n v="447.3"/>
    <n v="8498.7000000000007"/>
  </r>
  <r>
    <x v="853"/>
    <x v="136"/>
    <s v="CUST50617"/>
    <x v="0"/>
    <n v="27"/>
    <x v="1"/>
    <x v="0"/>
    <x v="0"/>
    <x v="4"/>
    <n v="1"/>
    <n v="4704"/>
    <n v="10"/>
    <n v="4704"/>
    <n v="470.4"/>
    <n v="4233.6000000000004"/>
  </r>
  <r>
    <x v="854"/>
    <x v="81"/>
    <s v="CUST71133"/>
    <x v="1"/>
    <n v="35"/>
    <x v="1"/>
    <x v="1"/>
    <x v="4"/>
    <x v="1"/>
    <n v="3"/>
    <n v="1450"/>
    <n v="10"/>
    <n v="4350"/>
    <n v="435"/>
    <n v="3915"/>
  </r>
  <r>
    <x v="855"/>
    <x v="59"/>
    <s v="CUST59318"/>
    <x v="0"/>
    <n v="46"/>
    <x v="0"/>
    <x v="2"/>
    <x v="0"/>
    <x v="2"/>
    <n v="1"/>
    <n v="5851"/>
    <n v="10"/>
    <n v="5851"/>
    <n v="585.1"/>
    <n v="5265.9"/>
  </r>
  <r>
    <x v="856"/>
    <x v="189"/>
    <s v="CUST37629"/>
    <x v="1"/>
    <n v="26"/>
    <x v="1"/>
    <x v="4"/>
    <x v="5"/>
    <x v="2"/>
    <n v="4"/>
    <n v="3089"/>
    <n v="0"/>
    <n v="12356"/>
    <n v="0"/>
    <n v="12356"/>
  </r>
  <r>
    <x v="857"/>
    <x v="507"/>
    <s v="CUST44841"/>
    <x v="1"/>
    <n v="42"/>
    <x v="2"/>
    <x v="3"/>
    <x v="3"/>
    <x v="4"/>
    <n v="7"/>
    <n v="7502"/>
    <n v="15"/>
    <n v="52514"/>
    <n v="7877.1"/>
    <n v="44636.9"/>
  </r>
  <r>
    <x v="858"/>
    <x v="399"/>
    <s v="CUST89241"/>
    <x v="1"/>
    <n v="25"/>
    <x v="3"/>
    <x v="2"/>
    <x v="0"/>
    <x v="4"/>
    <n v="3"/>
    <n v="5570"/>
    <n v="0"/>
    <n v="16710"/>
    <n v="0"/>
    <n v="16710"/>
  </r>
  <r>
    <x v="859"/>
    <x v="350"/>
    <s v="CUST22233"/>
    <x v="1"/>
    <n v="30"/>
    <x v="1"/>
    <x v="0"/>
    <x v="0"/>
    <x v="0"/>
    <n v="5"/>
    <n v="884"/>
    <n v="0"/>
    <n v="4420"/>
    <n v="0"/>
    <n v="4420"/>
  </r>
  <r>
    <x v="860"/>
    <x v="508"/>
    <s v="CUST71177"/>
    <x v="1"/>
    <n v="57"/>
    <x v="0"/>
    <x v="1"/>
    <x v="0"/>
    <x v="3"/>
    <n v="7"/>
    <n v="5104"/>
    <n v="0"/>
    <n v="35728"/>
    <n v="0"/>
    <n v="35728"/>
  </r>
  <r>
    <x v="861"/>
    <x v="107"/>
    <s v="CUST51111"/>
    <x v="0"/>
    <n v="52"/>
    <x v="0"/>
    <x v="0"/>
    <x v="0"/>
    <x v="0"/>
    <n v="5"/>
    <n v="2201"/>
    <n v="15"/>
    <n v="11005"/>
    <n v="1650.75"/>
    <n v="9354.25"/>
  </r>
  <r>
    <x v="862"/>
    <x v="69"/>
    <s v="CUST79186"/>
    <x v="0"/>
    <n v="62"/>
    <x v="0"/>
    <x v="2"/>
    <x v="2"/>
    <x v="1"/>
    <n v="3"/>
    <n v="330"/>
    <n v="0"/>
    <n v="990"/>
    <n v="0"/>
    <n v="990"/>
  </r>
  <r>
    <x v="863"/>
    <x v="86"/>
    <s v="CUST69077"/>
    <x v="0"/>
    <n v="51"/>
    <x v="0"/>
    <x v="0"/>
    <x v="0"/>
    <x v="0"/>
    <n v="7"/>
    <n v="3553"/>
    <n v="0"/>
    <n v="24871"/>
    <n v="0"/>
    <n v="24871"/>
  </r>
  <r>
    <x v="864"/>
    <x v="155"/>
    <s v="CUST41689"/>
    <x v="0"/>
    <n v="32"/>
    <x v="1"/>
    <x v="0"/>
    <x v="1"/>
    <x v="4"/>
    <n v="7"/>
    <n v="1510"/>
    <n v="10"/>
    <n v="10570"/>
    <n v="1057"/>
    <n v="9513"/>
  </r>
  <r>
    <x v="865"/>
    <x v="77"/>
    <s v="CUST63478"/>
    <x v="0"/>
    <n v="34"/>
    <x v="1"/>
    <x v="2"/>
    <x v="3"/>
    <x v="3"/>
    <n v="1"/>
    <n v="2021"/>
    <n v="0"/>
    <n v="2021"/>
    <n v="0"/>
    <n v="2021"/>
  </r>
  <r>
    <x v="866"/>
    <x v="509"/>
    <s v="CUST99255"/>
    <x v="1"/>
    <n v="48"/>
    <x v="0"/>
    <x v="1"/>
    <x v="3"/>
    <x v="0"/>
    <n v="7"/>
    <n v="5331"/>
    <n v="0"/>
    <n v="37317"/>
    <n v="0"/>
    <n v="37317"/>
  </r>
  <r>
    <x v="867"/>
    <x v="233"/>
    <s v="CUST30588"/>
    <x v="1"/>
    <n v="33"/>
    <x v="1"/>
    <x v="0"/>
    <x v="2"/>
    <x v="3"/>
    <n v="7"/>
    <n v="3067"/>
    <n v="0"/>
    <n v="21469"/>
    <n v="0"/>
    <n v="21469"/>
  </r>
  <r>
    <x v="868"/>
    <x v="510"/>
    <s v="CUST45125"/>
    <x v="1"/>
    <n v="58"/>
    <x v="0"/>
    <x v="5"/>
    <x v="3"/>
    <x v="3"/>
    <n v="3"/>
    <n v="7999"/>
    <n v="15"/>
    <n v="23997"/>
    <n v="3599.55"/>
    <n v="20397.45"/>
  </r>
  <r>
    <x v="869"/>
    <x v="511"/>
    <s v="CUST18794"/>
    <x v="1"/>
    <n v="52"/>
    <x v="0"/>
    <x v="4"/>
    <x v="3"/>
    <x v="2"/>
    <n v="4"/>
    <n v="2228"/>
    <n v="15"/>
    <n v="8912"/>
    <n v="1336.8"/>
    <n v="7575.2"/>
  </r>
  <r>
    <x v="870"/>
    <x v="207"/>
    <s v="CUST72285"/>
    <x v="1"/>
    <n v="60"/>
    <x v="0"/>
    <x v="5"/>
    <x v="0"/>
    <x v="4"/>
    <n v="3"/>
    <n v="6639"/>
    <n v="5"/>
    <n v="19917"/>
    <n v="995.85"/>
    <n v="18921.150000000001"/>
  </r>
  <r>
    <x v="871"/>
    <x v="265"/>
    <s v="CUST24275"/>
    <x v="1"/>
    <n v="21"/>
    <x v="3"/>
    <x v="5"/>
    <x v="1"/>
    <x v="1"/>
    <n v="3"/>
    <n v="3128"/>
    <n v="15"/>
    <n v="9384"/>
    <n v="1407.6"/>
    <n v="7976.4"/>
  </r>
  <r>
    <x v="872"/>
    <x v="22"/>
    <s v="CUST69849"/>
    <x v="0"/>
    <n v="40"/>
    <x v="2"/>
    <x v="5"/>
    <x v="3"/>
    <x v="3"/>
    <n v="2"/>
    <n v="3242"/>
    <n v="10"/>
    <n v="6484"/>
    <n v="648.4"/>
    <n v="5835.6"/>
  </r>
  <r>
    <x v="873"/>
    <x v="164"/>
    <s v="CUST85203"/>
    <x v="1"/>
    <n v="43"/>
    <x v="2"/>
    <x v="2"/>
    <x v="3"/>
    <x v="4"/>
    <n v="6"/>
    <n v="370"/>
    <n v="15"/>
    <n v="2220"/>
    <n v="333"/>
    <n v="1887"/>
  </r>
  <r>
    <x v="874"/>
    <x v="347"/>
    <s v="CUST33978"/>
    <x v="0"/>
    <n v="37"/>
    <x v="2"/>
    <x v="0"/>
    <x v="4"/>
    <x v="0"/>
    <n v="6"/>
    <n v="828"/>
    <n v="0"/>
    <n v="4968"/>
    <n v="0"/>
    <n v="4968"/>
  </r>
  <r>
    <x v="875"/>
    <x v="145"/>
    <s v="CUST63540"/>
    <x v="0"/>
    <n v="49"/>
    <x v="0"/>
    <x v="2"/>
    <x v="1"/>
    <x v="2"/>
    <n v="3"/>
    <n v="430"/>
    <n v="0"/>
    <n v="1290"/>
    <n v="0"/>
    <n v="1290"/>
  </r>
  <r>
    <x v="876"/>
    <x v="173"/>
    <s v="CUST72637"/>
    <x v="1"/>
    <n v="52"/>
    <x v="0"/>
    <x v="5"/>
    <x v="2"/>
    <x v="1"/>
    <n v="6"/>
    <n v="4419"/>
    <n v="5"/>
    <n v="26514"/>
    <n v="1325.7"/>
    <n v="25188.3"/>
  </r>
  <r>
    <x v="877"/>
    <x v="512"/>
    <s v="CUST33012"/>
    <x v="0"/>
    <n v="38"/>
    <x v="2"/>
    <x v="0"/>
    <x v="2"/>
    <x v="2"/>
    <n v="3"/>
    <n v="6531"/>
    <n v="0"/>
    <n v="19593"/>
    <n v="0"/>
    <n v="19593"/>
  </r>
  <r>
    <x v="878"/>
    <x v="388"/>
    <s v="CUST69386"/>
    <x v="1"/>
    <n v="26"/>
    <x v="1"/>
    <x v="2"/>
    <x v="3"/>
    <x v="4"/>
    <n v="6"/>
    <n v="5779"/>
    <n v="0"/>
    <n v="34674"/>
    <n v="0"/>
    <n v="34674"/>
  </r>
  <r>
    <x v="879"/>
    <x v="112"/>
    <s v="CUST11053"/>
    <x v="1"/>
    <n v="53"/>
    <x v="0"/>
    <x v="1"/>
    <x v="1"/>
    <x v="4"/>
    <n v="6"/>
    <n v="3718"/>
    <n v="5"/>
    <n v="22308"/>
    <n v="1115.4000000000001"/>
    <n v="21192.6"/>
  </r>
  <r>
    <x v="880"/>
    <x v="332"/>
    <s v="CUST67898"/>
    <x v="1"/>
    <n v="39"/>
    <x v="2"/>
    <x v="3"/>
    <x v="2"/>
    <x v="4"/>
    <n v="7"/>
    <n v="7524"/>
    <n v="15"/>
    <n v="52668"/>
    <n v="7900.2"/>
    <n v="44767.8"/>
  </r>
  <r>
    <x v="881"/>
    <x v="24"/>
    <s v="CUST27039"/>
    <x v="1"/>
    <n v="49"/>
    <x v="0"/>
    <x v="2"/>
    <x v="0"/>
    <x v="3"/>
    <n v="7"/>
    <n v="2131"/>
    <n v="0"/>
    <n v="14917"/>
    <n v="0"/>
    <n v="14917"/>
  </r>
  <r>
    <x v="882"/>
    <x v="513"/>
    <s v="CUST19110"/>
    <x v="0"/>
    <n v="54"/>
    <x v="0"/>
    <x v="5"/>
    <x v="0"/>
    <x v="3"/>
    <n v="5"/>
    <n v="1081"/>
    <n v="0"/>
    <n v="5405"/>
    <n v="0"/>
    <n v="5405"/>
  </r>
  <r>
    <x v="883"/>
    <x v="514"/>
    <s v="CUST35012"/>
    <x v="1"/>
    <n v="39"/>
    <x v="2"/>
    <x v="1"/>
    <x v="3"/>
    <x v="2"/>
    <n v="4"/>
    <n v="3586"/>
    <n v="0"/>
    <n v="14344"/>
    <n v="0"/>
    <n v="14344"/>
  </r>
  <r>
    <x v="884"/>
    <x v="320"/>
    <s v="CUST43725"/>
    <x v="0"/>
    <n v="55"/>
    <x v="0"/>
    <x v="1"/>
    <x v="0"/>
    <x v="4"/>
    <n v="1"/>
    <n v="1207"/>
    <n v="0"/>
    <n v="1207"/>
    <n v="0"/>
    <n v="1207"/>
  </r>
  <r>
    <x v="885"/>
    <x v="231"/>
    <s v="CUST41582"/>
    <x v="1"/>
    <n v="23"/>
    <x v="3"/>
    <x v="4"/>
    <x v="4"/>
    <x v="4"/>
    <n v="4"/>
    <n v="5768"/>
    <n v="5"/>
    <n v="23072"/>
    <n v="1153.5999999999999"/>
    <n v="21918.400000000001"/>
  </r>
  <r>
    <x v="886"/>
    <x v="515"/>
    <s v="CUST17740"/>
    <x v="0"/>
    <n v="20"/>
    <x v="3"/>
    <x v="1"/>
    <x v="0"/>
    <x v="3"/>
    <n v="5"/>
    <n v="4602"/>
    <n v="10"/>
    <n v="23010"/>
    <n v="2301"/>
    <n v="20709"/>
  </r>
  <r>
    <x v="887"/>
    <x v="516"/>
    <s v="CUST25381"/>
    <x v="0"/>
    <n v="51"/>
    <x v="0"/>
    <x v="3"/>
    <x v="2"/>
    <x v="2"/>
    <n v="6"/>
    <n v="5680"/>
    <n v="5"/>
    <n v="34080"/>
    <n v="1704"/>
    <n v="32376"/>
  </r>
  <r>
    <x v="888"/>
    <x v="298"/>
    <s v="CUST35144"/>
    <x v="1"/>
    <n v="28"/>
    <x v="1"/>
    <x v="4"/>
    <x v="1"/>
    <x v="0"/>
    <n v="1"/>
    <n v="4123"/>
    <n v="15"/>
    <n v="4123"/>
    <n v="618.45000000000005"/>
    <n v="3504.55"/>
  </r>
  <r>
    <x v="889"/>
    <x v="49"/>
    <s v="CUST95590"/>
    <x v="1"/>
    <n v="26"/>
    <x v="1"/>
    <x v="5"/>
    <x v="2"/>
    <x v="2"/>
    <n v="4"/>
    <n v="157"/>
    <n v="0"/>
    <n v="628"/>
    <n v="0"/>
    <n v="628"/>
  </r>
  <r>
    <x v="890"/>
    <x v="452"/>
    <s v="CUST87780"/>
    <x v="1"/>
    <n v="46"/>
    <x v="0"/>
    <x v="5"/>
    <x v="0"/>
    <x v="0"/>
    <n v="7"/>
    <n v="3276"/>
    <n v="20"/>
    <n v="22932"/>
    <n v="4586.3999999999996"/>
    <n v="18345.599999999999"/>
  </r>
  <r>
    <x v="891"/>
    <x v="517"/>
    <s v="CUST60403"/>
    <x v="0"/>
    <n v="43"/>
    <x v="2"/>
    <x v="1"/>
    <x v="3"/>
    <x v="3"/>
    <n v="6"/>
    <n v="6057"/>
    <n v="0"/>
    <n v="36342"/>
    <n v="0"/>
    <n v="36342"/>
  </r>
  <r>
    <x v="892"/>
    <x v="182"/>
    <s v="CUST79418"/>
    <x v="1"/>
    <n v="62"/>
    <x v="0"/>
    <x v="0"/>
    <x v="1"/>
    <x v="1"/>
    <n v="7"/>
    <n v="6787"/>
    <n v="5"/>
    <n v="47509"/>
    <n v="2375.4499999999998"/>
    <n v="45133.55"/>
  </r>
  <r>
    <x v="893"/>
    <x v="115"/>
    <s v="CUST94267"/>
    <x v="0"/>
    <n v="29"/>
    <x v="1"/>
    <x v="4"/>
    <x v="0"/>
    <x v="1"/>
    <n v="2"/>
    <n v="2566"/>
    <n v="10"/>
    <n v="5132"/>
    <n v="513.20000000000005"/>
    <n v="4618.8"/>
  </r>
  <r>
    <x v="894"/>
    <x v="351"/>
    <s v="CUST65969"/>
    <x v="1"/>
    <n v="37"/>
    <x v="2"/>
    <x v="5"/>
    <x v="4"/>
    <x v="4"/>
    <n v="3"/>
    <n v="5708"/>
    <n v="15"/>
    <n v="17124"/>
    <n v="2568.6"/>
    <n v="14555.4"/>
  </r>
  <r>
    <x v="895"/>
    <x v="126"/>
    <s v="CUST70004"/>
    <x v="0"/>
    <n v="26"/>
    <x v="1"/>
    <x v="4"/>
    <x v="1"/>
    <x v="4"/>
    <n v="3"/>
    <n v="7210"/>
    <n v="10"/>
    <n v="21630"/>
    <n v="2163"/>
    <n v="19467"/>
  </r>
  <r>
    <x v="896"/>
    <x v="118"/>
    <s v="CUST34958"/>
    <x v="1"/>
    <n v="49"/>
    <x v="0"/>
    <x v="1"/>
    <x v="0"/>
    <x v="4"/>
    <n v="3"/>
    <n v="7669"/>
    <n v="5"/>
    <n v="23007"/>
    <n v="1150.3499999999999"/>
    <n v="21856.65"/>
  </r>
  <r>
    <x v="897"/>
    <x v="104"/>
    <s v="CUST44299"/>
    <x v="1"/>
    <n v="55"/>
    <x v="0"/>
    <x v="0"/>
    <x v="0"/>
    <x v="2"/>
    <n v="4"/>
    <n v="7138"/>
    <n v="10"/>
    <n v="28552"/>
    <n v="2855.2"/>
    <n v="25696.799999999999"/>
  </r>
  <r>
    <x v="898"/>
    <x v="169"/>
    <s v="CUST85917"/>
    <x v="0"/>
    <n v="58"/>
    <x v="0"/>
    <x v="2"/>
    <x v="3"/>
    <x v="3"/>
    <n v="7"/>
    <n v="931"/>
    <n v="0"/>
    <n v="6517"/>
    <n v="0"/>
    <n v="6517"/>
  </r>
  <r>
    <x v="899"/>
    <x v="283"/>
    <s v="CUST14011"/>
    <x v="0"/>
    <n v="39"/>
    <x v="2"/>
    <x v="4"/>
    <x v="3"/>
    <x v="3"/>
    <n v="4"/>
    <n v="2056"/>
    <n v="0"/>
    <n v="8224"/>
    <n v="0"/>
    <n v="8224"/>
  </r>
  <r>
    <x v="900"/>
    <x v="315"/>
    <s v="CUST59391"/>
    <x v="1"/>
    <n v="64"/>
    <x v="0"/>
    <x v="5"/>
    <x v="3"/>
    <x v="1"/>
    <n v="3"/>
    <n v="3819"/>
    <n v="5"/>
    <n v="11457"/>
    <n v="572.85"/>
    <n v="10884.15"/>
  </r>
  <r>
    <x v="901"/>
    <x v="83"/>
    <s v="CUST89340"/>
    <x v="1"/>
    <n v="39"/>
    <x v="2"/>
    <x v="2"/>
    <x v="3"/>
    <x v="2"/>
    <n v="7"/>
    <n v="5265"/>
    <n v="0"/>
    <n v="36855"/>
    <n v="0"/>
    <n v="36855"/>
  </r>
  <r>
    <x v="902"/>
    <x v="125"/>
    <s v="CUST92302"/>
    <x v="1"/>
    <n v="47"/>
    <x v="0"/>
    <x v="5"/>
    <x v="0"/>
    <x v="3"/>
    <n v="4"/>
    <n v="1809"/>
    <n v="10"/>
    <n v="7236"/>
    <n v="723.6"/>
    <n v="6512.4"/>
  </r>
  <r>
    <x v="903"/>
    <x v="160"/>
    <s v="CUST73318"/>
    <x v="1"/>
    <n v="49"/>
    <x v="0"/>
    <x v="5"/>
    <x v="3"/>
    <x v="4"/>
    <n v="6"/>
    <n v="3686"/>
    <n v="15"/>
    <n v="22116"/>
    <n v="3317.4"/>
    <n v="18798.599999999999"/>
  </r>
  <r>
    <x v="904"/>
    <x v="292"/>
    <s v="CUST32083"/>
    <x v="0"/>
    <n v="44"/>
    <x v="2"/>
    <x v="0"/>
    <x v="1"/>
    <x v="3"/>
    <n v="2"/>
    <n v="7278"/>
    <n v="15"/>
    <n v="14556"/>
    <n v="2183.4"/>
    <n v="12372.6"/>
  </r>
  <r>
    <x v="905"/>
    <x v="165"/>
    <s v="CUST39520"/>
    <x v="1"/>
    <n v="43"/>
    <x v="2"/>
    <x v="5"/>
    <x v="4"/>
    <x v="0"/>
    <n v="2"/>
    <n v="5723"/>
    <n v="0"/>
    <n v="11446"/>
    <n v="0"/>
    <n v="11446"/>
  </r>
  <r>
    <x v="906"/>
    <x v="278"/>
    <s v="CUST49646"/>
    <x v="1"/>
    <n v="35"/>
    <x v="1"/>
    <x v="0"/>
    <x v="1"/>
    <x v="3"/>
    <n v="7"/>
    <n v="6757"/>
    <n v="15"/>
    <n v="47299"/>
    <n v="7094.85"/>
    <n v="40204.15"/>
  </r>
  <r>
    <x v="907"/>
    <x v="43"/>
    <s v="CUST89038"/>
    <x v="1"/>
    <n v="32"/>
    <x v="1"/>
    <x v="1"/>
    <x v="2"/>
    <x v="1"/>
    <n v="4"/>
    <n v="7409"/>
    <n v="0"/>
    <n v="29636"/>
    <n v="0"/>
    <n v="29636"/>
  </r>
  <r>
    <x v="908"/>
    <x v="120"/>
    <s v="CUST39533"/>
    <x v="0"/>
    <n v="48"/>
    <x v="0"/>
    <x v="0"/>
    <x v="4"/>
    <x v="0"/>
    <n v="5"/>
    <n v="6344"/>
    <n v="5"/>
    <n v="31720"/>
    <n v="1586"/>
    <n v="30134"/>
  </r>
  <r>
    <x v="909"/>
    <x v="140"/>
    <s v="CUST20045"/>
    <x v="1"/>
    <n v="43"/>
    <x v="2"/>
    <x v="3"/>
    <x v="5"/>
    <x v="4"/>
    <n v="7"/>
    <n v="7473"/>
    <n v="0"/>
    <n v="52311"/>
    <n v="0"/>
    <n v="52311"/>
  </r>
  <r>
    <x v="910"/>
    <x v="118"/>
    <s v="CUST70815"/>
    <x v="1"/>
    <n v="35"/>
    <x v="1"/>
    <x v="2"/>
    <x v="2"/>
    <x v="3"/>
    <n v="5"/>
    <n v="7015"/>
    <n v="15"/>
    <n v="35075"/>
    <n v="5261.25"/>
    <n v="29813.75"/>
  </r>
  <r>
    <x v="911"/>
    <x v="204"/>
    <s v="CUST39592"/>
    <x v="1"/>
    <n v="49"/>
    <x v="0"/>
    <x v="5"/>
    <x v="1"/>
    <x v="4"/>
    <n v="1"/>
    <n v="7944"/>
    <n v="0"/>
    <n v="7944"/>
    <n v="0"/>
    <n v="7944"/>
  </r>
  <r>
    <x v="912"/>
    <x v="113"/>
    <s v="CUST25811"/>
    <x v="1"/>
    <n v="30"/>
    <x v="1"/>
    <x v="5"/>
    <x v="5"/>
    <x v="1"/>
    <n v="7"/>
    <n v="4762"/>
    <n v="5"/>
    <n v="33334"/>
    <n v="1666.7"/>
    <n v="31667.3"/>
  </r>
  <r>
    <x v="913"/>
    <x v="92"/>
    <s v="CUST74456"/>
    <x v="0"/>
    <n v="24"/>
    <x v="3"/>
    <x v="3"/>
    <x v="2"/>
    <x v="2"/>
    <n v="4"/>
    <n v="7721"/>
    <n v="15"/>
    <n v="30884"/>
    <n v="4632.6000000000004"/>
    <n v="26251.4"/>
  </r>
  <r>
    <x v="914"/>
    <x v="420"/>
    <s v="CUST29245"/>
    <x v="1"/>
    <n v="31"/>
    <x v="1"/>
    <x v="5"/>
    <x v="1"/>
    <x v="2"/>
    <n v="5"/>
    <n v="4441"/>
    <n v="15"/>
    <n v="22205"/>
    <n v="3330.75"/>
    <n v="18874.25"/>
  </r>
  <r>
    <x v="915"/>
    <x v="518"/>
    <s v="CUST80414"/>
    <x v="0"/>
    <n v="58"/>
    <x v="0"/>
    <x v="2"/>
    <x v="2"/>
    <x v="3"/>
    <n v="3"/>
    <n v="6951"/>
    <n v="0"/>
    <n v="20853"/>
    <n v="0"/>
    <n v="20853"/>
  </r>
  <r>
    <x v="916"/>
    <x v="315"/>
    <s v="CUST43456"/>
    <x v="1"/>
    <n v="35"/>
    <x v="1"/>
    <x v="5"/>
    <x v="2"/>
    <x v="0"/>
    <n v="5"/>
    <n v="6248"/>
    <n v="15"/>
    <n v="31240"/>
    <n v="4686"/>
    <n v="26554"/>
  </r>
  <r>
    <x v="917"/>
    <x v="296"/>
    <s v="CUST77189"/>
    <x v="1"/>
    <n v="59"/>
    <x v="0"/>
    <x v="4"/>
    <x v="1"/>
    <x v="1"/>
    <n v="4"/>
    <n v="7257"/>
    <n v="15"/>
    <n v="29028"/>
    <n v="4354.2"/>
    <n v="24673.8"/>
  </r>
  <r>
    <x v="918"/>
    <x v="481"/>
    <s v="CUST96176"/>
    <x v="0"/>
    <n v="55"/>
    <x v="0"/>
    <x v="5"/>
    <x v="1"/>
    <x v="4"/>
    <n v="7"/>
    <n v="3407"/>
    <n v="5"/>
    <n v="23849"/>
    <n v="1192.45"/>
    <n v="22656.55"/>
  </r>
  <r>
    <x v="919"/>
    <x v="244"/>
    <s v="CUST91130"/>
    <x v="0"/>
    <n v="64"/>
    <x v="0"/>
    <x v="1"/>
    <x v="4"/>
    <x v="4"/>
    <n v="6"/>
    <n v="1737"/>
    <n v="15"/>
    <n v="10422"/>
    <n v="1563.3"/>
    <n v="8858.7000000000007"/>
  </r>
  <r>
    <x v="920"/>
    <x v="310"/>
    <s v="CUST71356"/>
    <x v="1"/>
    <n v="31"/>
    <x v="1"/>
    <x v="4"/>
    <x v="5"/>
    <x v="4"/>
    <n v="7"/>
    <n v="2751"/>
    <n v="15"/>
    <n v="19257"/>
    <n v="2888.55"/>
    <n v="16368.45"/>
  </r>
  <r>
    <x v="921"/>
    <x v="288"/>
    <s v="CUST66013"/>
    <x v="0"/>
    <n v="37"/>
    <x v="2"/>
    <x v="4"/>
    <x v="2"/>
    <x v="3"/>
    <n v="3"/>
    <n v="1705"/>
    <n v="20"/>
    <n v="5115"/>
    <n v="1023"/>
    <n v="4092"/>
  </r>
  <r>
    <x v="922"/>
    <x v="293"/>
    <s v="CUST61728"/>
    <x v="0"/>
    <n v="30"/>
    <x v="1"/>
    <x v="3"/>
    <x v="5"/>
    <x v="3"/>
    <n v="3"/>
    <n v="5812"/>
    <n v="5"/>
    <n v="17436"/>
    <n v="871.8"/>
    <n v="16564.2"/>
  </r>
  <r>
    <x v="923"/>
    <x v="132"/>
    <s v="CUST64331"/>
    <x v="0"/>
    <n v="49"/>
    <x v="0"/>
    <x v="3"/>
    <x v="3"/>
    <x v="2"/>
    <n v="1"/>
    <n v="193"/>
    <n v="0"/>
    <n v="193"/>
    <n v="0"/>
    <n v="193"/>
  </r>
  <r>
    <x v="924"/>
    <x v="519"/>
    <s v="CUST61985"/>
    <x v="0"/>
    <n v="52"/>
    <x v="0"/>
    <x v="1"/>
    <x v="0"/>
    <x v="1"/>
    <n v="6"/>
    <n v="850"/>
    <n v="5"/>
    <n v="5100"/>
    <n v="255"/>
    <n v="4845"/>
  </r>
  <r>
    <x v="925"/>
    <x v="415"/>
    <s v="CUST20103"/>
    <x v="0"/>
    <n v="38"/>
    <x v="2"/>
    <x v="2"/>
    <x v="0"/>
    <x v="3"/>
    <n v="7"/>
    <n v="3746"/>
    <n v="10"/>
    <n v="26222"/>
    <n v="2622.2"/>
    <n v="23599.8"/>
  </r>
  <r>
    <x v="926"/>
    <x v="130"/>
    <s v="CUST77463"/>
    <x v="1"/>
    <n v="27"/>
    <x v="1"/>
    <x v="3"/>
    <x v="0"/>
    <x v="0"/>
    <n v="7"/>
    <n v="3083"/>
    <n v="0"/>
    <n v="21581"/>
    <n v="0"/>
    <n v="21581"/>
  </r>
  <r>
    <x v="927"/>
    <x v="392"/>
    <s v="CUST26827"/>
    <x v="1"/>
    <n v="55"/>
    <x v="0"/>
    <x v="4"/>
    <x v="5"/>
    <x v="4"/>
    <n v="5"/>
    <n v="3269"/>
    <n v="0"/>
    <n v="16345"/>
    <n v="0"/>
    <n v="16345"/>
  </r>
  <r>
    <x v="928"/>
    <x v="25"/>
    <s v="CUST26340"/>
    <x v="1"/>
    <n v="28"/>
    <x v="1"/>
    <x v="4"/>
    <x v="0"/>
    <x v="0"/>
    <n v="4"/>
    <n v="4078"/>
    <n v="5"/>
    <n v="16312"/>
    <n v="815.6"/>
    <n v="15496.4"/>
  </r>
  <r>
    <x v="929"/>
    <x v="520"/>
    <s v="CUST29044"/>
    <x v="1"/>
    <n v="31"/>
    <x v="1"/>
    <x v="2"/>
    <x v="1"/>
    <x v="4"/>
    <n v="1"/>
    <n v="1190"/>
    <n v="10"/>
    <n v="1190"/>
    <n v="119"/>
    <n v="1071"/>
  </r>
  <r>
    <x v="930"/>
    <x v="200"/>
    <s v="CUST44870"/>
    <x v="1"/>
    <n v="18"/>
    <x v="3"/>
    <x v="5"/>
    <x v="3"/>
    <x v="1"/>
    <n v="6"/>
    <n v="2368"/>
    <n v="15"/>
    <n v="14208"/>
    <n v="2131.1999999999998"/>
    <n v="12076.8"/>
  </r>
  <r>
    <x v="931"/>
    <x v="109"/>
    <s v="CUST38965"/>
    <x v="1"/>
    <n v="43"/>
    <x v="2"/>
    <x v="0"/>
    <x v="1"/>
    <x v="0"/>
    <n v="7"/>
    <n v="6072"/>
    <n v="0"/>
    <n v="42504"/>
    <n v="0"/>
    <n v="42504"/>
  </r>
  <r>
    <x v="932"/>
    <x v="301"/>
    <s v="CUST11619"/>
    <x v="1"/>
    <n v="21"/>
    <x v="3"/>
    <x v="3"/>
    <x v="2"/>
    <x v="1"/>
    <n v="3"/>
    <n v="686"/>
    <n v="10"/>
    <n v="2058"/>
    <n v="205.8"/>
    <n v="1852.2"/>
  </r>
  <r>
    <x v="933"/>
    <x v="319"/>
    <s v="CUST65243"/>
    <x v="1"/>
    <n v="24"/>
    <x v="3"/>
    <x v="3"/>
    <x v="4"/>
    <x v="4"/>
    <n v="3"/>
    <n v="1835"/>
    <n v="10"/>
    <n v="5505"/>
    <n v="550.5"/>
    <n v="4954.5"/>
  </r>
  <r>
    <x v="934"/>
    <x v="233"/>
    <s v="CUST23405"/>
    <x v="1"/>
    <n v="32"/>
    <x v="1"/>
    <x v="5"/>
    <x v="2"/>
    <x v="2"/>
    <n v="2"/>
    <n v="1291"/>
    <n v="0"/>
    <n v="2582"/>
    <n v="0"/>
    <n v="2582"/>
  </r>
  <r>
    <x v="935"/>
    <x v="138"/>
    <s v="CUST75512"/>
    <x v="1"/>
    <n v="41"/>
    <x v="2"/>
    <x v="2"/>
    <x v="1"/>
    <x v="3"/>
    <n v="1"/>
    <n v="6267"/>
    <n v="10"/>
    <n v="6267"/>
    <n v="626.70000000000005"/>
    <n v="5640.3"/>
  </r>
  <r>
    <x v="936"/>
    <x v="454"/>
    <s v="CUST52259"/>
    <x v="0"/>
    <n v="42"/>
    <x v="2"/>
    <x v="2"/>
    <x v="4"/>
    <x v="0"/>
    <n v="3"/>
    <n v="4849"/>
    <n v="0"/>
    <n v="14547"/>
    <n v="0"/>
    <n v="14547"/>
  </r>
  <r>
    <x v="937"/>
    <x v="143"/>
    <s v="CUST98282"/>
    <x v="1"/>
    <n v="49"/>
    <x v="0"/>
    <x v="1"/>
    <x v="4"/>
    <x v="2"/>
    <n v="3"/>
    <n v="6680"/>
    <n v="10"/>
    <n v="20040"/>
    <n v="2004"/>
    <n v="18036"/>
  </r>
  <r>
    <x v="938"/>
    <x v="228"/>
    <s v="CUST10341"/>
    <x v="1"/>
    <n v="31"/>
    <x v="1"/>
    <x v="3"/>
    <x v="0"/>
    <x v="0"/>
    <n v="5"/>
    <n v="2035"/>
    <n v="0"/>
    <n v="10175"/>
    <n v="0"/>
    <n v="10175"/>
  </r>
  <r>
    <x v="939"/>
    <x v="1"/>
    <s v="CUST58430"/>
    <x v="1"/>
    <n v="34"/>
    <x v="1"/>
    <x v="1"/>
    <x v="2"/>
    <x v="1"/>
    <n v="3"/>
    <n v="204"/>
    <n v="10"/>
    <n v="612"/>
    <n v="61.2"/>
    <n v="550.79999999999995"/>
  </r>
  <r>
    <x v="940"/>
    <x v="521"/>
    <s v="CUST80168"/>
    <x v="0"/>
    <n v="29"/>
    <x v="1"/>
    <x v="0"/>
    <x v="2"/>
    <x v="2"/>
    <n v="1"/>
    <n v="3478"/>
    <n v="0"/>
    <n v="3478"/>
    <n v="0"/>
    <n v="3478"/>
  </r>
  <r>
    <x v="941"/>
    <x v="157"/>
    <s v="CUST19610"/>
    <x v="1"/>
    <n v="41"/>
    <x v="2"/>
    <x v="5"/>
    <x v="2"/>
    <x v="1"/>
    <n v="6"/>
    <n v="6092"/>
    <n v="15"/>
    <n v="36552"/>
    <n v="5482.8"/>
    <n v="31069.200000000001"/>
  </r>
  <r>
    <x v="942"/>
    <x v="255"/>
    <s v="CUST58597"/>
    <x v="1"/>
    <n v="42"/>
    <x v="2"/>
    <x v="2"/>
    <x v="5"/>
    <x v="2"/>
    <n v="2"/>
    <n v="5668"/>
    <n v="0"/>
    <n v="11336"/>
    <n v="0"/>
    <n v="11336"/>
  </r>
  <r>
    <x v="943"/>
    <x v="20"/>
    <s v="CUST46687"/>
    <x v="0"/>
    <n v="21"/>
    <x v="3"/>
    <x v="4"/>
    <x v="1"/>
    <x v="3"/>
    <n v="2"/>
    <n v="7987"/>
    <n v="5"/>
    <n v="15974"/>
    <n v="798.7"/>
    <n v="15175.3"/>
  </r>
  <r>
    <x v="944"/>
    <x v="5"/>
    <s v="CUST88674"/>
    <x v="1"/>
    <n v="22"/>
    <x v="3"/>
    <x v="3"/>
    <x v="5"/>
    <x v="2"/>
    <n v="3"/>
    <n v="1257"/>
    <n v="0"/>
    <n v="3771"/>
    <n v="0"/>
    <n v="3771"/>
  </r>
  <r>
    <x v="945"/>
    <x v="513"/>
    <s v="CUST33249"/>
    <x v="1"/>
    <n v="60"/>
    <x v="0"/>
    <x v="4"/>
    <x v="0"/>
    <x v="3"/>
    <n v="3"/>
    <n v="728"/>
    <n v="5"/>
    <n v="2184"/>
    <n v="109.2"/>
    <n v="2074.8000000000002"/>
  </r>
  <r>
    <x v="946"/>
    <x v="522"/>
    <s v="CUST91245"/>
    <x v="0"/>
    <n v="40"/>
    <x v="2"/>
    <x v="2"/>
    <x v="3"/>
    <x v="2"/>
    <n v="6"/>
    <n v="5931"/>
    <n v="5"/>
    <n v="35586"/>
    <n v="1779.3"/>
    <n v="33806.699999999997"/>
  </r>
  <r>
    <x v="947"/>
    <x v="298"/>
    <s v="CUST78343"/>
    <x v="0"/>
    <n v="19"/>
    <x v="3"/>
    <x v="5"/>
    <x v="0"/>
    <x v="2"/>
    <n v="7"/>
    <n v="7750"/>
    <n v="10"/>
    <n v="54250"/>
    <n v="5425"/>
    <n v="48825"/>
  </r>
  <r>
    <x v="948"/>
    <x v="23"/>
    <s v="CUST40728"/>
    <x v="1"/>
    <n v="28"/>
    <x v="1"/>
    <x v="0"/>
    <x v="5"/>
    <x v="2"/>
    <n v="6"/>
    <n v="6127"/>
    <n v="10"/>
    <n v="36762"/>
    <n v="3676.2"/>
    <n v="33085.800000000003"/>
  </r>
  <r>
    <x v="949"/>
    <x v="313"/>
    <s v="CUST21864"/>
    <x v="1"/>
    <n v="54"/>
    <x v="0"/>
    <x v="3"/>
    <x v="1"/>
    <x v="0"/>
    <n v="5"/>
    <n v="5998"/>
    <n v="0"/>
    <n v="29990"/>
    <n v="0"/>
    <n v="29990"/>
  </r>
  <r>
    <x v="950"/>
    <x v="90"/>
    <s v="CUST64967"/>
    <x v="0"/>
    <n v="25"/>
    <x v="3"/>
    <x v="2"/>
    <x v="3"/>
    <x v="1"/>
    <n v="4"/>
    <n v="5050"/>
    <n v="10"/>
    <n v="20200"/>
    <n v="2020"/>
    <n v="18180"/>
  </r>
  <r>
    <x v="951"/>
    <x v="523"/>
    <s v="CUST84114"/>
    <x v="0"/>
    <n v="60"/>
    <x v="0"/>
    <x v="4"/>
    <x v="0"/>
    <x v="4"/>
    <n v="3"/>
    <n v="4410"/>
    <n v="5"/>
    <n v="13230"/>
    <n v="661.5"/>
    <n v="12568.5"/>
  </r>
  <r>
    <x v="952"/>
    <x v="159"/>
    <s v="CUST43592"/>
    <x v="0"/>
    <n v="26"/>
    <x v="1"/>
    <x v="2"/>
    <x v="1"/>
    <x v="0"/>
    <n v="5"/>
    <n v="1140"/>
    <n v="15"/>
    <n v="5700"/>
    <n v="855"/>
    <n v="4845"/>
  </r>
  <r>
    <x v="953"/>
    <x v="134"/>
    <s v="CUST87576"/>
    <x v="1"/>
    <n v="37"/>
    <x v="2"/>
    <x v="3"/>
    <x v="0"/>
    <x v="0"/>
    <n v="2"/>
    <n v="4652"/>
    <n v="0"/>
    <n v="9304"/>
    <n v="0"/>
    <n v="9304"/>
  </r>
  <r>
    <x v="954"/>
    <x v="524"/>
    <s v="CUST22472"/>
    <x v="0"/>
    <n v="27"/>
    <x v="1"/>
    <x v="1"/>
    <x v="0"/>
    <x v="1"/>
    <n v="1"/>
    <n v="4719"/>
    <n v="10"/>
    <n v="4719"/>
    <n v="471.9"/>
    <n v="4247.1000000000004"/>
  </r>
  <r>
    <x v="955"/>
    <x v="525"/>
    <s v="CUST90911"/>
    <x v="0"/>
    <n v="58"/>
    <x v="0"/>
    <x v="5"/>
    <x v="2"/>
    <x v="2"/>
    <n v="4"/>
    <n v="4964"/>
    <n v="0"/>
    <n v="19856"/>
    <n v="0"/>
    <n v="19856"/>
  </r>
  <r>
    <x v="956"/>
    <x v="196"/>
    <s v="CUST28189"/>
    <x v="1"/>
    <n v="20"/>
    <x v="3"/>
    <x v="3"/>
    <x v="5"/>
    <x v="3"/>
    <n v="4"/>
    <n v="1169"/>
    <n v="5"/>
    <n v="4676"/>
    <n v="233.8"/>
    <n v="4442.2"/>
  </r>
  <r>
    <x v="957"/>
    <x v="74"/>
    <s v="CUST23542"/>
    <x v="0"/>
    <n v="21"/>
    <x v="3"/>
    <x v="5"/>
    <x v="1"/>
    <x v="1"/>
    <n v="4"/>
    <n v="4261"/>
    <n v="0"/>
    <n v="17044"/>
    <n v="0"/>
    <n v="17044"/>
  </r>
  <r>
    <x v="958"/>
    <x v="526"/>
    <s v="CUST56998"/>
    <x v="0"/>
    <n v="55"/>
    <x v="0"/>
    <x v="3"/>
    <x v="0"/>
    <x v="0"/>
    <n v="1"/>
    <n v="5680"/>
    <n v="0"/>
    <n v="5680"/>
    <n v="0"/>
    <n v="5680"/>
  </r>
  <r>
    <x v="959"/>
    <x v="527"/>
    <s v="CUST37303"/>
    <x v="1"/>
    <n v="27"/>
    <x v="1"/>
    <x v="4"/>
    <x v="5"/>
    <x v="0"/>
    <n v="7"/>
    <n v="902"/>
    <n v="0"/>
    <n v="6314"/>
    <n v="0"/>
    <n v="6314"/>
  </r>
  <r>
    <x v="960"/>
    <x v="528"/>
    <s v="CUST20044"/>
    <x v="1"/>
    <n v="55"/>
    <x v="0"/>
    <x v="0"/>
    <x v="1"/>
    <x v="4"/>
    <n v="5"/>
    <n v="7103"/>
    <n v="0"/>
    <n v="35515"/>
    <n v="0"/>
    <n v="35515"/>
  </r>
  <r>
    <x v="961"/>
    <x v="401"/>
    <s v="CUST65278"/>
    <x v="0"/>
    <n v="54"/>
    <x v="0"/>
    <x v="3"/>
    <x v="2"/>
    <x v="4"/>
    <n v="1"/>
    <n v="995"/>
    <n v="15"/>
    <n v="995"/>
    <n v="149.25"/>
    <n v="845.75"/>
  </r>
  <r>
    <x v="962"/>
    <x v="18"/>
    <s v="CUST16704"/>
    <x v="0"/>
    <n v="25"/>
    <x v="3"/>
    <x v="4"/>
    <x v="3"/>
    <x v="2"/>
    <n v="4"/>
    <n v="4504"/>
    <n v="5"/>
    <n v="18016"/>
    <n v="900.8"/>
    <n v="17115.2"/>
  </r>
  <r>
    <x v="963"/>
    <x v="198"/>
    <s v="CUST13461"/>
    <x v="0"/>
    <n v="52"/>
    <x v="0"/>
    <x v="0"/>
    <x v="0"/>
    <x v="3"/>
    <n v="2"/>
    <n v="2813"/>
    <n v="15"/>
    <n v="5626"/>
    <n v="843.9"/>
    <n v="4782.1000000000004"/>
  </r>
  <r>
    <x v="964"/>
    <x v="390"/>
    <s v="CUST91991"/>
    <x v="1"/>
    <n v="63"/>
    <x v="0"/>
    <x v="4"/>
    <x v="2"/>
    <x v="0"/>
    <n v="3"/>
    <n v="3884"/>
    <n v="0"/>
    <n v="11652"/>
    <n v="0"/>
    <n v="11652"/>
  </r>
  <r>
    <x v="965"/>
    <x v="529"/>
    <s v="CUST97582"/>
    <x v="1"/>
    <n v="38"/>
    <x v="2"/>
    <x v="1"/>
    <x v="2"/>
    <x v="2"/>
    <n v="2"/>
    <n v="1198"/>
    <n v="0"/>
    <n v="2396"/>
    <n v="0"/>
    <n v="2396"/>
  </r>
  <r>
    <x v="966"/>
    <x v="517"/>
    <s v="CUST82375"/>
    <x v="0"/>
    <n v="54"/>
    <x v="0"/>
    <x v="0"/>
    <x v="3"/>
    <x v="4"/>
    <n v="4"/>
    <n v="4745"/>
    <n v="5"/>
    <n v="18980"/>
    <n v="949"/>
    <n v="18031"/>
  </r>
  <r>
    <x v="967"/>
    <x v="391"/>
    <s v="CUST20264"/>
    <x v="1"/>
    <n v="38"/>
    <x v="2"/>
    <x v="3"/>
    <x v="2"/>
    <x v="2"/>
    <n v="2"/>
    <n v="7677"/>
    <n v="15"/>
    <n v="15354"/>
    <n v="2303.1"/>
    <n v="13050.9"/>
  </r>
  <r>
    <x v="968"/>
    <x v="320"/>
    <s v="CUST97314"/>
    <x v="0"/>
    <n v="49"/>
    <x v="0"/>
    <x v="1"/>
    <x v="5"/>
    <x v="0"/>
    <n v="1"/>
    <n v="6528"/>
    <n v="0"/>
    <n v="6528"/>
    <n v="0"/>
    <n v="6528"/>
  </r>
  <r>
    <x v="969"/>
    <x v="159"/>
    <s v="CUST67292"/>
    <x v="1"/>
    <n v="62"/>
    <x v="0"/>
    <x v="5"/>
    <x v="3"/>
    <x v="4"/>
    <n v="6"/>
    <n v="7100"/>
    <n v="5"/>
    <n v="42600"/>
    <n v="2130"/>
    <n v="40470"/>
  </r>
  <r>
    <x v="970"/>
    <x v="530"/>
    <s v="CUST41719"/>
    <x v="0"/>
    <n v="30"/>
    <x v="1"/>
    <x v="4"/>
    <x v="5"/>
    <x v="2"/>
    <n v="2"/>
    <n v="5170"/>
    <n v="0"/>
    <n v="10340"/>
    <n v="0"/>
    <n v="10340"/>
  </r>
  <r>
    <x v="971"/>
    <x v="242"/>
    <s v="CUST52894"/>
    <x v="0"/>
    <n v="23"/>
    <x v="3"/>
    <x v="3"/>
    <x v="1"/>
    <x v="2"/>
    <n v="6"/>
    <n v="5796"/>
    <n v="0"/>
    <n v="34776"/>
    <n v="0"/>
    <n v="34776"/>
  </r>
  <r>
    <x v="972"/>
    <x v="202"/>
    <s v="CUST57123"/>
    <x v="1"/>
    <n v="38"/>
    <x v="2"/>
    <x v="1"/>
    <x v="4"/>
    <x v="0"/>
    <n v="5"/>
    <n v="7884"/>
    <n v="10"/>
    <n v="39420"/>
    <n v="3942"/>
    <n v="35478"/>
  </r>
  <r>
    <x v="973"/>
    <x v="212"/>
    <s v="CUST21393"/>
    <x v="0"/>
    <n v="35"/>
    <x v="1"/>
    <x v="4"/>
    <x v="2"/>
    <x v="3"/>
    <n v="5"/>
    <n v="6801"/>
    <n v="10"/>
    <n v="34005"/>
    <n v="3400.5"/>
    <n v="30604.5"/>
  </r>
  <r>
    <x v="974"/>
    <x v="393"/>
    <s v="CUST17970"/>
    <x v="1"/>
    <n v="36"/>
    <x v="2"/>
    <x v="5"/>
    <x v="3"/>
    <x v="2"/>
    <n v="5"/>
    <n v="7162"/>
    <n v="10"/>
    <n v="35810"/>
    <n v="3581"/>
    <n v="32229"/>
  </r>
  <r>
    <x v="975"/>
    <x v="237"/>
    <s v="CUST77015"/>
    <x v="1"/>
    <n v="44"/>
    <x v="2"/>
    <x v="2"/>
    <x v="0"/>
    <x v="0"/>
    <n v="4"/>
    <n v="3958"/>
    <n v="5"/>
    <n v="15832"/>
    <n v="791.6"/>
    <n v="15040.4"/>
  </r>
  <r>
    <x v="976"/>
    <x v="531"/>
    <s v="CUST38818"/>
    <x v="1"/>
    <n v="18"/>
    <x v="3"/>
    <x v="2"/>
    <x v="2"/>
    <x v="1"/>
    <n v="3"/>
    <n v="7251"/>
    <n v="10"/>
    <n v="21753"/>
    <n v="2175.3000000000002"/>
    <n v="19577.7"/>
  </r>
  <r>
    <x v="977"/>
    <x v="188"/>
    <s v="CUST66575"/>
    <x v="0"/>
    <n v="58"/>
    <x v="0"/>
    <x v="5"/>
    <x v="2"/>
    <x v="3"/>
    <n v="2"/>
    <n v="5970"/>
    <n v="15"/>
    <n v="11940"/>
    <n v="1791"/>
    <n v="10149"/>
  </r>
  <r>
    <x v="978"/>
    <x v="470"/>
    <s v="CUST35766"/>
    <x v="0"/>
    <n v="18"/>
    <x v="3"/>
    <x v="4"/>
    <x v="3"/>
    <x v="0"/>
    <n v="7"/>
    <n v="3303"/>
    <n v="0"/>
    <n v="23121"/>
    <n v="0"/>
    <n v="23121"/>
  </r>
  <r>
    <x v="979"/>
    <x v="157"/>
    <s v="CUST66240"/>
    <x v="1"/>
    <n v="22"/>
    <x v="3"/>
    <x v="0"/>
    <x v="1"/>
    <x v="4"/>
    <n v="3"/>
    <n v="2243"/>
    <n v="10"/>
    <n v="6729"/>
    <n v="672.9"/>
    <n v="6056.1"/>
  </r>
  <r>
    <x v="980"/>
    <x v="332"/>
    <s v="CUST32864"/>
    <x v="1"/>
    <n v="61"/>
    <x v="0"/>
    <x v="5"/>
    <x v="4"/>
    <x v="0"/>
    <n v="4"/>
    <n v="6122"/>
    <n v="15"/>
    <n v="24488"/>
    <n v="3673.2"/>
    <n v="20814.8"/>
  </r>
  <r>
    <x v="981"/>
    <x v="251"/>
    <s v="CUST23139"/>
    <x v="1"/>
    <n v="32"/>
    <x v="1"/>
    <x v="3"/>
    <x v="0"/>
    <x v="3"/>
    <n v="3"/>
    <n v="393"/>
    <n v="10"/>
    <n v="1179"/>
    <n v="117.9"/>
    <n v="1061.0999999999999"/>
  </r>
  <r>
    <x v="982"/>
    <x v="55"/>
    <s v="CUST38782"/>
    <x v="1"/>
    <n v="21"/>
    <x v="3"/>
    <x v="1"/>
    <x v="4"/>
    <x v="3"/>
    <n v="4"/>
    <n v="1162"/>
    <n v="0"/>
    <n v="4648"/>
    <n v="0"/>
    <n v="4648"/>
  </r>
  <r>
    <x v="983"/>
    <x v="104"/>
    <s v="CUST53925"/>
    <x v="1"/>
    <n v="24"/>
    <x v="3"/>
    <x v="5"/>
    <x v="4"/>
    <x v="0"/>
    <n v="5"/>
    <n v="2896"/>
    <n v="15"/>
    <n v="14480"/>
    <n v="2172"/>
    <n v="12308"/>
  </r>
  <r>
    <x v="984"/>
    <x v="60"/>
    <s v="CUST98091"/>
    <x v="1"/>
    <n v="30"/>
    <x v="1"/>
    <x v="5"/>
    <x v="3"/>
    <x v="3"/>
    <n v="5"/>
    <n v="5736"/>
    <n v="5"/>
    <n v="28680"/>
    <n v="1434"/>
    <n v="27246"/>
  </r>
  <r>
    <x v="985"/>
    <x v="13"/>
    <s v="CUST85378"/>
    <x v="1"/>
    <n v="38"/>
    <x v="2"/>
    <x v="5"/>
    <x v="0"/>
    <x v="1"/>
    <n v="4"/>
    <n v="482"/>
    <n v="15"/>
    <n v="1928"/>
    <n v="289.2"/>
    <n v="1638.8"/>
  </r>
  <r>
    <x v="986"/>
    <x v="430"/>
    <s v="CUST80568"/>
    <x v="0"/>
    <n v="39"/>
    <x v="2"/>
    <x v="1"/>
    <x v="3"/>
    <x v="3"/>
    <n v="4"/>
    <n v="3838"/>
    <n v="0"/>
    <n v="15352"/>
    <n v="0"/>
    <n v="15352"/>
  </r>
  <r>
    <x v="987"/>
    <x v="532"/>
    <s v="CUST25367"/>
    <x v="0"/>
    <n v="49"/>
    <x v="0"/>
    <x v="2"/>
    <x v="2"/>
    <x v="2"/>
    <n v="5"/>
    <n v="6189"/>
    <n v="0"/>
    <n v="30945"/>
    <n v="0"/>
    <n v="30945"/>
  </r>
  <r>
    <x v="988"/>
    <x v="118"/>
    <s v="CUST67118"/>
    <x v="1"/>
    <n v="48"/>
    <x v="0"/>
    <x v="4"/>
    <x v="2"/>
    <x v="3"/>
    <n v="2"/>
    <n v="5643"/>
    <n v="0"/>
    <n v="11286"/>
    <n v="0"/>
    <n v="11286"/>
  </r>
  <r>
    <x v="989"/>
    <x v="503"/>
    <s v="CUST41361"/>
    <x v="0"/>
    <n v="51"/>
    <x v="0"/>
    <x v="3"/>
    <x v="5"/>
    <x v="4"/>
    <n v="5"/>
    <n v="4158"/>
    <n v="5"/>
    <n v="20790"/>
    <n v="1039.5"/>
    <n v="19750.5"/>
  </r>
  <r>
    <x v="990"/>
    <x v="79"/>
    <s v="CUST80610"/>
    <x v="0"/>
    <n v="60"/>
    <x v="0"/>
    <x v="3"/>
    <x v="3"/>
    <x v="1"/>
    <n v="1"/>
    <n v="5243"/>
    <n v="10"/>
    <n v="5243"/>
    <n v="524.29999999999995"/>
    <n v="4718.7"/>
  </r>
  <r>
    <x v="991"/>
    <x v="443"/>
    <s v="CUST77633"/>
    <x v="0"/>
    <n v="58"/>
    <x v="0"/>
    <x v="3"/>
    <x v="0"/>
    <x v="1"/>
    <n v="3"/>
    <n v="2783"/>
    <n v="0"/>
    <n v="8349"/>
    <n v="0"/>
    <n v="8349"/>
  </r>
  <r>
    <x v="992"/>
    <x v="370"/>
    <s v="CUST94523"/>
    <x v="1"/>
    <n v="49"/>
    <x v="0"/>
    <x v="3"/>
    <x v="4"/>
    <x v="3"/>
    <n v="4"/>
    <n v="669"/>
    <n v="15"/>
    <n v="2676"/>
    <n v="401.4"/>
    <n v="2274.6"/>
  </r>
  <r>
    <x v="993"/>
    <x v="72"/>
    <s v="CUST10010"/>
    <x v="0"/>
    <n v="19"/>
    <x v="3"/>
    <x v="3"/>
    <x v="0"/>
    <x v="0"/>
    <n v="3"/>
    <n v="2357"/>
    <n v="15"/>
    <n v="7071"/>
    <n v="1060.6500000000001"/>
    <n v="6010.35"/>
  </r>
  <r>
    <x v="994"/>
    <x v="210"/>
    <s v="CUST15820"/>
    <x v="0"/>
    <n v="61"/>
    <x v="0"/>
    <x v="5"/>
    <x v="5"/>
    <x v="1"/>
    <n v="7"/>
    <n v="3101"/>
    <n v="10"/>
    <n v="21707"/>
    <n v="2170.6999999999998"/>
    <n v="19536.3"/>
  </r>
  <r>
    <x v="995"/>
    <x v="47"/>
    <s v="CUST87283"/>
    <x v="0"/>
    <n v="37"/>
    <x v="2"/>
    <x v="2"/>
    <x v="1"/>
    <x v="2"/>
    <n v="6"/>
    <n v="369"/>
    <n v="0"/>
    <n v="2214"/>
    <n v="0"/>
    <n v="2214"/>
  </r>
  <r>
    <x v="996"/>
    <x v="533"/>
    <s v="CUST22615"/>
    <x v="1"/>
    <n v="29"/>
    <x v="1"/>
    <x v="1"/>
    <x v="4"/>
    <x v="2"/>
    <n v="2"/>
    <n v="6798"/>
    <n v="5"/>
    <n v="13596"/>
    <n v="679.8"/>
    <n v="12916.2"/>
  </r>
  <r>
    <x v="997"/>
    <x v="534"/>
    <s v="CUST16346"/>
    <x v="1"/>
    <n v="47"/>
    <x v="0"/>
    <x v="2"/>
    <x v="0"/>
    <x v="4"/>
    <n v="5"/>
    <n v="482"/>
    <n v="10"/>
    <n v="2410"/>
    <n v="241"/>
    <n v="2169"/>
  </r>
  <r>
    <x v="998"/>
    <x v="535"/>
    <s v="CUST32799"/>
    <x v="1"/>
    <n v="48"/>
    <x v="0"/>
    <x v="0"/>
    <x v="1"/>
    <x v="4"/>
    <n v="6"/>
    <n v="3161"/>
    <n v="15"/>
    <n v="18966"/>
    <n v="2844.9"/>
    <n v="16121.1"/>
  </r>
  <r>
    <x v="999"/>
    <x v="481"/>
    <s v="CUST16351"/>
    <x v="1"/>
    <n v="20"/>
    <x v="3"/>
    <x v="1"/>
    <x v="0"/>
    <x v="3"/>
    <n v="7"/>
    <n v="5695"/>
    <n v="15"/>
    <n v="39865"/>
    <n v="5979.75"/>
    <n v="33885.25"/>
  </r>
  <r>
    <x v="1000"/>
    <x v="22"/>
    <s v="CUST57780"/>
    <x v="1"/>
    <n v="24"/>
    <x v="3"/>
    <x v="3"/>
    <x v="0"/>
    <x v="0"/>
    <n v="6"/>
    <n v="4534"/>
    <n v="5"/>
    <n v="27204"/>
    <n v="1360.2"/>
    <n v="25843.8"/>
  </r>
  <r>
    <x v="1001"/>
    <x v="531"/>
    <s v="CUST31496"/>
    <x v="1"/>
    <n v="31"/>
    <x v="1"/>
    <x v="2"/>
    <x v="3"/>
    <x v="0"/>
    <n v="4"/>
    <n v="739"/>
    <n v="0"/>
    <n v="2956"/>
    <n v="0"/>
    <n v="2956"/>
  </r>
  <r>
    <x v="1002"/>
    <x v="536"/>
    <s v="CUST14065"/>
    <x v="0"/>
    <n v="52"/>
    <x v="0"/>
    <x v="2"/>
    <x v="0"/>
    <x v="4"/>
    <n v="6"/>
    <n v="1112"/>
    <n v="0"/>
    <n v="6672"/>
    <n v="0"/>
    <n v="6672"/>
  </r>
  <r>
    <x v="1003"/>
    <x v="537"/>
    <s v="CUST63736"/>
    <x v="1"/>
    <n v="49"/>
    <x v="0"/>
    <x v="4"/>
    <x v="4"/>
    <x v="0"/>
    <n v="5"/>
    <n v="2162"/>
    <n v="0"/>
    <n v="10810"/>
    <n v="0"/>
    <n v="10810"/>
  </r>
  <r>
    <x v="1004"/>
    <x v="278"/>
    <s v="CUST47749"/>
    <x v="1"/>
    <n v="56"/>
    <x v="0"/>
    <x v="4"/>
    <x v="3"/>
    <x v="0"/>
    <n v="6"/>
    <n v="5777"/>
    <n v="10"/>
    <n v="34662"/>
    <n v="3466.2"/>
    <n v="31195.8"/>
  </r>
  <r>
    <x v="1005"/>
    <x v="424"/>
    <s v="CUST51711"/>
    <x v="1"/>
    <n v="45"/>
    <x v="2"/>
    <x v="0"/>
    <x v="0"/>
    <x v="3"/>
    <n v="1"/>
    <n v="3838"/>
    <n v="0"/>
    <n v="3838"/>
    <n v="0"/>
    <n v="3838"/>
  </r>
  <r>
    <x v="1006"/>
    <x v="36"/>
    <s v="CUST70212"/>
    <x v="0"/>
    <n v="29"/>
    <x v="1"/>
    <x v="1"/>
    <x v="2"/>
    <x v="0"/>
    <n v="6"/>
    <n v="1389"/>
    <n v="15"/>
    <n v="8334"/>
    <n v="1250.0999999999999"/>
    <n v="7083.9"/>
  </r>
  <r>
    <x v="1007"/>
    <x v="263"/>
    <s v="CUST85124"/>
    <x v="1"/>
    <n v="25"/>
    <x v="3"/>
    <x v="2"/>
    <x v="5"/>
    <x v="3"/>
    <n v="5"/>
    <n v="6877"/>
    <n v="0"/>
    <n v="34385"/>
    <n v="0"/>
    <n v="34385"/>
  </r>
  <r>
    <x v="1008"/>
    <x v="345"/>
    <s v="CUST61818"/>
    <x v="1"/>
    <n v="44"/>
    <x v="2"/>
    <x v="5"/>
    <x v="4"/>
    <x v="4"/>
    <n v="1"/>
    <n v="5081"/>
    <n v="5"/>
    <n v="5081"/>
    <n v="254.05"/>
    <n v="4826.95"/>
  </r>
  <r>
    <x v="1009"/>
    <x v="150"/>
    <s v="CUST73588"/>
    <x v="1"/>
    <n v="22"/>
    <x v="3"/>
    <x v="3"/>
    <x v="3"/>
    <x v="1"/>
    <n v="5"/>
    <n v="5825"/>
    <n v="0"/>
    <n v="29125"/>
    <n v="0"/>
    <n v="29125"/>
  </r>
  <r>
    <x v="1010"/>
    <x v="39"/>
    <s v="CUST71679"/>
    <x v="1"/>
    <n v="38"/>
    <x v="2"/>
    <x v="3"/>
    <x v="2"/>
    <x v="3"/>
    <n v="7"/>
    <n v="6001"/>
    <n v="5"/>
    <n v="42007"/>
    <n v="2100.35"/>
    <n v="39906.65"/>
  </r>
  <r>
    <x v="1011"/>
    <x v="273"/>
    <s v="CUST84901"/>
    <x v="0"/>
    <n v="46"/>
    <x v="0"/>
    <x v="2"/>
    <x v="0"/>
    <x v="4"/>
    <n v="5"/>
    <n v="4726"/>
    <n v="15"/>
    <n v="23630"/>
    <n v="3544.5"/>
    <n v="20085.5"/>
  </r>
  <r>
    <x v="1012"/>
    <x v="129"/>
    <s v="CUST83794"/>
    <x v="1"/>
    <n v="21"/>
    <x v="3"/>
    <x v="1"/>
    <x v="1"/>
    <x v="4"/>
    <n v="5"/>
    <n v="5506"/>
    <n v="10"/>
    <n v="27530"/>
    <n v="2753"/>
    <n v="24777"/>
  </r>
  <r>
    <x v="1013"/>
    <x v="538"/>
    <s v="CUST23018"/>
    <x v="0"/>
    <n v="23"/>
    <x v="3"/>
    <x v="5"/>
    <x v="4"/>
    <x v="0"/>
    <n v="5"/>
    <n v="1347"/>
    <n v="15"/>
    <n v="6735"/>
    <n v="1010.25"/>
    <n v="5724.75"/>
  </r>
  <r>
    <x v="1014"/>
    <x v="539"/>
    <s v="CUST41278"/>
    <x v="1"/>
    <n v="27"/>
    <x v="1"/>
    <x v="3"/>
    <x v="0"/>
    <x v="3"/>
    <n v="3"/>
    <n v="7448"/>
    <n v="5"/>
    <n v="22344"/>
    <n v="1117.2"/>
    <n v="21226.799999999999"/>
  </r>
  <r>
    <x v="1015"/>
    <x v="425"/>
    <s v="CUST73270"/>
    <x v="0"/>
    <n v="21"/>
    <x v="3"/>
    <x v="0"/>
    <x v="0"/>
    <x v="3"/>
    <n v="4"/>
    <n v="6858"/>
    <n v="10"/>
    <n v="27432"/>
    <n v="2743.2"/>
    <n v="24688.799999999999"/>
  </r>
  <r>
    <x v="1016"/>
    <x v="540"/>
    <s v="CUST42357"/>
    <x v="1"/>
    <n v="34"/>
    <x v="1"/>
    <x v="5"/>
    <x v="2"/>
    <x v="3"/>
    <n v="3"/>
    <n v="5822"/>
    <n v="0"/>
    <n v="17466"/>
    <n v="0"/>
    <n v="17466"/>
  </r>
  <r>
    <x v="1017"/>
    <x v="370"/>
    <s v="CUST23280"/>
    <x v="1"/>
    <n v="54"/>
    <x v="0"/>
    <x v="1"/>
    <x v="5"/>
    <x v="3"/>
    <n v="3"/>
    <n v="3739"/>
    <n v="5"/>
    <n v="11217"/>
    <n v="560.85"/>
    <n v="10656.15"/>
  </r>
  <r>
    <x v="1018"/>
    <x v="517"/>
    <s v="CUST88362"/>
    <x v="1"/>
    <n v="26"/>
    <x v="1"/>
    <x v="0"/>
    <x v="3"/>
    <x v="1"/>
    <n v="7"/>
    <n v="5652"/>
    <n v="15"/>
    <n v="39564"/>
    <n v="5934.6"/>
    <n v="33629.4"/>
  </r>
  <r>
    <x v="1019"/>
    <x v="541"/>
    <s v="CUST39207"/>
    <x v="0"/>
    <n v="22"/>
    <x v="3"/>
    <x v="0"/>
    <x v="3"/>
    <x v="0"/>
    <n v="4"/>
    <n v="1161"/>
    <n v="5"/>
    <n v="4644"/>
    <n v="232.2"/>
    <n v="4411.8"/>
  </r>
  <r>
    <x v="1020"/>
    <x v="542"/>
    <s v="CUST89243"/>
    <x v="1"/>
    <n v="23"/>
    <x v="3"/>
    <x v="0"/>
    <x v="1"/>
    <x v="3"/>
    <n v="1"/>
    <n v="6850"/>
    <n v="10"/>
    <n v="6850"/>
    <n v="685"/>
    <n v="6165"/>
  </r>
  <r>
    <x v="1021"/>
    <x v="524"/>
    <s v="CUST81342"/>
    <x v="0"/>
    <n v="41"/>
    <x v="2"/>
    <x v="3"/>
    <x v="0"/>
    <x v="3"/>
    <n v="2"/>
    <n v="5943"/>
    <n v="0"/>
    <n v="11886"/>
    <n v="0"/>
    <n v="11886"/>
  </r>
  <r>
    <x v="1022"/>
    <x v="543"/>
    <s v="CUST77601"/>
    <x v="1"/>
    <n v="55"/>
    <x v="0"/>
    <x v="1"/>
    <x v="0"/>
    <x v="3"/>
    <n v="2"/>
    <n v="7593"/>
    <n v="10"/>
    <n v="15186"/>
    <n v="1518.6"/>
    <n v="13667.4"/>
  </r>
  <r>
    <x v="1023"/>
    <x v="320"/>
    <s v="CUST94432"/>
    <x v="1"/>
    <n v="49"/>
    <x v="0"/>
    <x v="0"/>
    <x v="0"/>
    <x v="0"/>
    <n v="3"/>
    <n v="6800"/>
    <n v="0"/>
    <n v="20400"/>
    <n v="0"/>
    <n v="20400"/>
  </r>
  <r>
    <x v="1024"/>
    <x v="189"/>
    <s v="CUST77376"/>
    <x v="0"/>
    <n v="40"/>
    <x v="2"/>
    <x v="5"/>
    <x v="4"/>
    <x v="4"/>
    <n v="4"/>
    <n v="6257"/>
    <n v="0"/>
    <n v="25028"/>
    <n v="0"/>
    <n v="25028"/>
  </r>
  <r>
    <x v="1025"/>
    <x v="544"/>
    <s v="CUST94020"/>
    <x v="0"/>
    <n v="20"/>
    <x v="3"/>
    <x v="2"/>
    <x v="0"/>
    <x v="4"/>
    <n v="7"/>
    <n v="7924"/>
    <n v="0"/>
    <n v="55468"/>
    <n v="0"/>
    <n v="55468"/>
  </r>
  <r>
    <x v="1026"/>
    <x v="40"/>
    <s v="CUST69734"/>
    <x v="0"/>
    <n v="37"/>
    <x v="2"/>
    <x v="5"/>
    <x v="4"/>
    <x v="4"/>
    <n v="3"/>
    <n v="5049"/>
    <n v="5"/>
    <n v="15147"/>
    <n v="757.35"/>
    <n v="14389.65"/>
  </r>
  <r>
    <x v="1027"/>
    <x v="399"/>
    <s v="CUST84204"/>
    <x v="0"/>
    <n v="26"/>
    <x v="1"/>
    <x v="0"/>
    <x v="1"/>
    <x v="3"/>
    <n v="2"/>
    <n v="7849"/>
    <n v="10"/>
    <n v="15698"/>
    <n v="1569.8"/>
    <n v="14128.2"/>
  </r>
  <r>
    <x v="1028"/>
    <x v="482"/>
    <s v="CUST10031"/>
    <x v="0"/>
    <n v="33"/>
    <x v="1"/>
    <x v="0"/>
    <x v="1"/>
    <x v="1"/>
    <n v="7"/>
    <n v="3267"/>
    <n v="0"/>
    <n v="22869"/>
    <n v="0"/>
    <n v="22869"/>
  </r>
  <r>
    <x v="1029"/>
    <x v="362"/>
    <s v="CUST30806"/>
    <x v="1"/>
    <n v="26"/>
    <x v="1"/>
    <x v="3"/>
    <x v="5"/>
    <x v="4"/>
    <n v="7"/>
    <n v="3309"/>
    <n v="20"/>
    <n v="23163"/>
    <n v="4632.6000000000004"/>
    <n v="18530.400000000001"/>
  </r>
  <r>
    <x v="1030"/>
    <x v="304"/>
    <s v="CUST18213"/>
    <x v="1"/>
    <n v="24"/>
    <x v="3"/>
    <x v="3"/>
    <x v="1"/>
    <x v="4"/>
    <n v="2"/>
    <n v="1714"/>
    <n v="0"/>
    <n v="3428"/>
    <n v="0"/>
    <n v="3428"/>
  </r>
  <r>
    <x v="1031"/>
    <x v="177"/>
    <s v="CUST97426"/>
    <x v="1"/>
    <n v="58"/>
    <x v="0"/>
    <x v="3"/>
    <x v="2"/>
    <x v="4"/>
    <n v="6"/>
    <n v="1653"/>
    <n v="15"/>
    <n v="9918"/>
    <n v="1487.7"/>
    <n v="8430.2999999999993"/>
  </r>
  <r>
    <x v="1032"/>
    <x v="543"/>
    <s v="CUST11655"/>
    <x v="0"/>
    <n v="30"/>
    <x v="1"/>
    <x v="2"/>
    <x v="0"/>
    <x v="1"/>
    <n v="7"/>
    <n v="7367"/>
    <n v="0"/>
    <n v="51569"/>
    <n v="0"/>
    <n v="51569"/>
  </r>
  <r>
    <x v="1033"/>
    <x v="132"/>
    <s v="CUST20968"/>
    <x v="1"/>
    <n v="19"/>
    <x v="3"/>
    <x v="3"/>
    <x v="3"/>
    <x v="0"/>
    <n v="5"/>
    <n v="621"/>
    <n v="15"/>
    <n v="3105"/>
    <n v="465.75"/>
    <n v="2639.25"/>
  </r>
  <r>
    <x v="1034"/>
    <x v="181"/>
    <s v="CUST56511"/>
    <x v="0"/>
    <n v="52"/>
    <x v="0"/>
    <x v="2"/>
    <x v="0"/>
    <x v="4"/>
    <n v="3"/>
    <n v="4138"/>
    <n v="10"/>
    <n v="12414"/>
    <n v="1241.4000000000001"/>
    <n v="11172.6"/>
  </r>
  <r>
    <x v="1035"/>
    <x v="545"/>
    <s v="CUST42660"/>
    <x v="1"/>
    <n v="54"/>
    <x v="0"/>
    <x v="4"/>
    <x v="1"/>
    <x v="3"/>
    <n v="3"/>
    <n v="4488"/>
    <n v="0"/>
    <n v="13464"/>
    <n v="0"/>
    <n v="13464"/>
  </r>
  <r>
    <x v="1036"/>
    <x v="546"/>
    <s v="CUST50125"/>
    <x v="1"/>
    <n v="23"/>
    <x v="3"/>
    <x v="0"/>
    <x v="0"/>
    <x v="4"/>
    <n v="6"/>
    <n v="6517"/>
    <n v="5"/>
    <n v="39102"/>
    <n v="1955.1"/>
    <n v="37146.9"/>
  </r>
  <r>
    <x v="1037"/>
    <x v="147"/>
    <s v="CUST26675"/>
    <x v="1"/>
    <n v="63"/>
    <x v="0"/>
    <x v="4"/>
    <x v="2"/>
    <x v="1"/>
    <n v="4"/>
    <n v="3145"/>
    <n v="0"/>
    <n v="12580"/>
    <n v="0"/>
    <n v="12580"/>
  </r>
  <r>
    <x v="1038"/>
    <x v="547"/>
    <s v="CUST62880"/>
    <x v="1"/>
    <n v="59"/>
    <x v="0"/>
    <x v="4"/>
    <x v="4"/>
    <x v="0"/>
    <n v="7"/>
    <n v="621"/>
    <n v="20"/>
    <n v="4347"/>
    <n v="869.4"/>
    <n v="3477.6"/>
  </r>
  <r>
    <x v="1039"/>
    <x v="548"/>
    <s v="CUST45642"/>
    <x v="0"/>
    <n v="48"/>
    <x v="0"/>
    <x v="1"/>
    <x v="0"/>
    <x v="4"/>
    <n v="5"/>
    <n v="7415"/>
    <n v="0"/>
    <n v="37075"/>
    <n v="0"/>
    <n v="37075"/>
  </r>
  <r>
    <x v="1040"/>
    <x v="304"/>
    <s v="CUST43475"/>
    <x v="0"/>
    <n v="39"/>
    <x v="2"/>
    <x v="5"/>
    <x v="3"/>
    <x v="4"/>
    <n v="2"/>
    <n v="3234"/>
    <n v="0"/>
    <n v="6468"/>
    <n v="0"/>
    <n v="6468"/>
  </r>
  <r>
    <x v="1041"/>
    <x v="359"/>
    <s v="CUST93759"/>
    <x v="1"/>
    <n v="43"/>
    <x v="2"/>
    <x v="2"/>
    <x v="4"/>
    <x v="3"/>
    <n v="5"/>
    <n v="4995"/>
    <n v="0"/>
    <n v="24975"/>
    <n v="0"/>
    <n v="24975"/>
  </r>
  <r>
    <x v="1042"/>
    <x v="55"/>
    <s v="CUST24395"/>
    <x v="0"/>
    <n v="40"/>
    <x v="2"/>
    <x v="2"/>
    <x v="0"/>
    <x v="2"/>
    <n v="7"/>
    <n v="2698"/>
    <n v="5"/>
    <n v="18886"/>
    <n v="944.3"/>
    <n v="17941.7"/>
  </r>
  <r>
    <x v="1043"/>
    <x v="549"/>
    <s v="CUST16441"/>
    <x v="1"/>
    <n v="38"/>
    <x v="2"/>
    <x v="5"/>
    <x v="0"/>
    <x v="0"/>
    <n v="7"/>
    <n v="6295"/>
    <n v="10"/>
    <n v="44065"/>
    <n v="4406.5"/>
    <n v="39658.5"/>
  </r>
  <r>
    <x v="1044"/>
    <x v="249"/>
    <s v="CUST74360"/>
    <x v="1"/>
    <n v="34"/>
    <x v="1"/>
    <x v="4"/>
    <x v="0"/>
    <x v="1"/>
    <n v="6"/>
    <n v="5903"/>
    <n v="10"/>
    <n v="35418"/>
    <n v="3541.8"/>
    <n v="31876.2"/>
  </r>
  <r>
    <x v="1045"/>
    <x v="10"/>
    <s v="CUST87010"/>
    <x v="1"/>
    <n v="26"/>
    <x v="1"/>
    <x v="0"/>
    <x v="3"/>
    <x v="3"/>
    <n v="7"/>
    <n v="4760"/>
    <n v="15"/>
    <n v="33320"/>
    <n v="4998"/>
    <n v="28322"/>
  </r>
  <r>
    <x v="1046"/>
    <x v="392"/>
    <s v="CUST90643"/>
    <x v="1"/>
    <n v="31"/>
    <x v="1"/>
    <x v="3"/>
    <x v="3"/>
    <x v="4"/>
    <n v="7"/>
    <n v="1755"/>
    <n v="10"/>
    <n v="12285"/>
    <n v="1228.5"/>
    <n v="11056.5"/>
  </r>
  <r>
    <x v="1047"/>
    <x v="105"/>
    <s v="CUST76876"/>
    <x v="0"/>
    <n v="56"/>
    <x v="0"/>
    <x v="4"/>
    <x v="5"/>
    <x v="4"/>
    <n v="7"/>
    <n v="3042"/>
    <n v="15"/>
    <n v="21294"/>
    <n v="3194.1"/>
    <n v="18099.900000000001"/>
  </r>
  <r>
    <x v="1048"/>
    <x v="121"/>
    <s v="CUST33899"/>
    <x v="1"/>
    <n v="19"/>
    <x v="3"/>
    <x v="3"/>
    <x v="3"/>
    <x v="2"/>
    <n v="5"/>
    <n v="1773"/>
    <n v="5"/>
    <n v="8865"/>
    <n v="443.25"/>
    <n v="8421.75"/>
  </r>
  <r>
    <x v="1049"/>
    <x v="337"/>
    <s v="CUST83607"/>
    <x v="0"/>
    <n v="29"/>
    <x v="1"/>
    <x v="5"/>
    <x v="1"/>
    <x v="2"/>
    <n v="1"/>
    <n v="4900"/>
    <n v="0"/>
    <n v="4900"/>
    <n v="0"/>
    <n v="4900"/>
  </r>
  <r>
    <x v="1050"/>
    <x v="310"/>
    <s v="CUST61289"/>
    <x v="1"/>
    <n v="59"/>
    <x v="0"/>
    <x v="1"/>
    <x v="0"/>
    <x v="0"/>
    <n v="7"/>
    <n v="6851"/>
    <n v="0"/>
    <n v="47957"/>
    <n v="0"/>
    <n v="47957"/>
  </r>
  <r>
    <x v="1051"/>
    <x v="550"/>
    <s v="CUST54844"/>
    <x v="0"/>
    <n v="61"/>
    <x v="0"/>
    <x v="1"/>
    <x v="2"/>
    <x v="4"/>
    <n v="2"/>
    <n v="2176"/>
    <n v="10"/>
    <n v="4352"/>
    <n v="435.2"/>
    <n v="3916.8"/>
  </r>
  <r>
    <x v="1052"/>
    <x v="132"/>
    <s v="CUST54863"/>
    <x v="1"/>
    <n v="61"/>
    <x v="0"/>
    <x v="5"/>
    <x v="4"/>
    <x v="0"/>
    <n v="3"/>
    <n v="3877"/>
    <n v="5"/>
    <n v="11631"/>
    <n v="581.54999999999995"/>
    <n v="11049.45"/>
  </r>
  <r>
    <x v="1053"/>
    <x v="551"/>
    <s v="CUST13669"/>
    <x v="0"/>
    <n v="26"/>
    <x v="1"/>
    <x v="4"/>
    <x v="1"/>
    <x v="3"/>
    <n v="5"/>
    <n v="1919"/>
    <n v="0"/>
    <n v="9595"/>
    <n v="0"/>
    <n v="9595"/>
  </r>
  <r>
    <x v="1054"/>
    <x v="370"/>
    <s v="CUST17705"/>
    <x v="0"/>
    <n v="19"/>
    <x v="3"/>
    <x v="5"/>
    <x v="5"/>
    <x v="1"/>
    <n v="2"/>
    <n v="1222"/>
    <n v="0"/>
    <n v="2444"/>
    <n v="0"/>
    <n v="2444"/>
  </r>
  <r>
    <x v="1055"/>
    <x v="125"/>
    <s v="CUST76667"/>
    <x v="0"/>
    <n v="61"/>
    <x v="0"/>
    <x v="5"/>
    <x v="1"/>
    <x v="0"/>
    <n v="7"/>
    <n v="2296"/>
    <n v="5"/>
    <n v="16072"/>
    <n v="803.6"/>
    <n v="15268.4"/>
  </r>
  <r>
    <x v="1056"/>
    <x v="394"/>
    <s v="CUST93043"/>
    <x v="0"/>
    <n v="35"/>
    <x v="1"/>
    <x v="5"/>
    <x v="0"/>
    <x v="4"/>
    <n v="2"/>
    <n v="1702"/>
    <n v="15"/>
    <n v="3404"/>
    <n v="510.6"/>
    <n v="2893.4"/>
  </r>
  <r>
    <x v="1057"/>
    <x v="484"/>
    <s v="CUST24680"/>
    <x v="0"/>
    <n v="20"/>
    <x v="3"/>
    <x v="3"/>
    <x v="0"/>
    <x v="0"/>
    <n v="5"/>
    <n v="2919"/>
    <n v="10"/>
    <n v="14595"/>
    <n v="1459.5"/>
    <n v="13135.5"/>
  </r>
  <r>
    <x v="1058"/>
    <x v="36"/>
    <s v="CUST97493"/>
    <x v="0"/>
    <n v="50"/>
    <x v="0"/>
    <x v="4"/>
    <x v="4"/>
    <x v="2"/>
    <n v="7"/>
    <n v="1271"/>
    <n v="5"/>
    <n v="8897"/>
    <n v="444.85"/>
    <n v="8452.15"/>
  </r>
  <r>
    <x v="1059"/>
    <x v="220"/>
    <s v="CUST17389"/>
    <x v="0"/>
    <n v="23"/>
    <x v="3"/>
    <x v="1"/>
    <x v="0"/>
    <x v="1"/>
    <n v="4"/>
    <n v="1723"/>
    <n v="10"/>
    <n v="6892"/>
    <n v="689.2"/>
    <n v="6202.8"/>
  </r>
  <r>
    <x v="1060"/>
    <x v="287"/>
    <s v="CUST13288"/>
    <x v="0"/>
    <n v="54"/>
    <x v="0"/>
    <x v="0"/>
    <x v="5"/>
    <x v="4"/>
    <n v="7"/>
    <n v="3612"/>
    <n v="0"/>
    <n v="25284"/>
    <n v="0"/>
    <n v="25284"/>
  </r>
  <r>
    <x v="1061"/>
    <x v="522"/>
    <s v="CUST51297"/>
    <x v="0"/>
    <n v="53"/>
    <x v="0"/>
    <x v="5"/>
    <x v="5"/>
    <x v="0"/>
    <n v="4"/>
    <n v="699"/>
    <n v="5"/>
    <n v="2796"/>
    <n v="139.80000000000001"/>
    <n v="2656.2"/>
  </r>
  <r>
    <x v="1062"/>
    <x v="305"/>
    <s v="CUST93387"/>
    <x v="0"/>
    <n v="54"/>
    <x v="0"/>
    <x v="1"/>
    <x v="0"/>
    <x v="1"/>
    <n v="6"/>
    <n v="4018"/>
    <n v="10"/>
    <n v="24108"/>
    <n v="2410.8000000000002"/>
    <n v="21697.200000000001"/>
  </r>
  <r>
    <x v="1063"/>
    <x v="506"/>
    <s v="CUST26337"/>
    <x v="1"/>
    <n v="53"/>
    <x v="0"/>
    <x v="1"/>
    <x v="0"/>
    <x v="0"/>
    <n v="6"/>
    <n v="7798"/>
    <n v="15"/>
    <n v="46788"/>
    <n v="7018.2"/>
    <n v="39769.800000000003"/>
  </r>
  <r>
    <x v="1064"/>
    <x v="552"/>
    <s v="CUST71598"/>
    <x v="0"/>
    <n v="19"/>
    <x v="3"/>
    <x v="1"/>
    <x v="1"/>
    <x v="4"/>
    <n v="5"/>
    <n v="4977"/>
    <n v="10"/>
    <n v="24885"/>
    <n v="2488.5"/>
    <n v="22396.5"/>
  </r>
  <r>
    <x v="1065"/>
    <x v="553"/>
    <s v="CUST39270"/>
    <x v="1"/>
    <n v="58"/>
    <x v="0"/>
    <x v="3"/>
    <x v="4"/>
    <x v="4"/>
    <n v="1"/>
    <n v="6221"/>
    <n v="15"/>
    <n v="6221"/>
    <n v="933.15"/>
    <n v="5287.85"/>
  </r>
  <r>
    <x v="1066"/>
    <x v="554"/>
    <s v="CUST11597"/>
    <x v="0"/>
    <n v="19"/>
    <x v="3"/>
    <x v="4"/>
    <x v="3"/>
    <x v="0"/>
    <n v="7"/>
    <n v="4060"/>
    <n v="5"/>
    <n v="28420"/>
    <n v="1421"/>
    <n v="26999"/>
  </r>
  <r>
    <x v="1067"/>
    <x v="555"/>
    <s v="CUST32682"/>
    <x v="1"/>
    <n v="61"/>
    <x v="0"/>
    <x v="5"/>
    <x v="1"/>
    <x v="0"/>
    <n v="3"/>
    <n v="4090"/>
    <n v="10"/>
    <n v="12270"/>
    <n v="1227"/>
    <n v="11043"/>
  </r>
  <r>
    <x v="1068"/>
    <x v="556"/>
    <s v="CUST77084"/>
    <x v="0"/>
    <n v="56"/>
    <x v="0"/>
    <x v="0"/>
    <x v="4"/>
    <x v="0"/>
    <n v="7"/>
    <n v="7872"/>
    <n v="15"/>
    <n v="55104"/>
    <n v="8265.6"/>
    <n v="46838.400000000001"/>
  </r>
  <r>
    <x v="1069"/>
    <x v="557"/>
    <s v="CUST62289"/>
    <x v="1"/>
    <n v="64"/>
    <x v="0"/>
    <x v="1"/>
    <x v="3"/>
    <x v="3"/>
    <n v="3"/>
    <n v="3632"/>
    <n v="10"/>
    <n v="10896"/>
    <n v="1089.5999999999999"/>
    <n v="9806.4"/>
  </r>
  <r>
    <x v="1070"/>
    <x v="187"/>
    <s v="CUST37493"/>
    <x v="1"/>
    <n v="62"/>
    <x v="0"/>
    <x v="1"/>
    <x v="3"/>
    <x v="0"/>
    <n v="6"/>
    <n v="779"/>
    <n v="0"/>
    <n v="4674"/>
    <n v="0"/>
    <n v="4674"/>
  </r>
  <r>
    <x v="1071"/>
    <x v="558"/>
    <s v="CUST46967"/>
    <x v="0"/>
    <n v="43"/>
    <x v="2"/>
    <x v="2"/>
    <x v="0"/>
    <x v="3"/>
    <n v="3"/>
    <n v="5656"/>
    <n v="0"/>
    <n v="16968"/>
    <n v="0"/>
    <n v="16968"/>
  </r>
  <r>
    <x v="1072"/>
    <x v="34"/>
    <s v="CUST29165"/>
    <x v="1"/>
    <n v="64"/>
    <x v="0"/>
    <x v="0"/>
    <x v="0"/>
    <x v="1"/>
    <n v="1"/>
    <n v="3433"/>
    <n v="5"/>
    <n v="3433"/>
    <n v="171.65"/>
    <n v="3261.35"/>
  </r>
  <r>
    <x v="1073"/>
    <x v="508"/>
    <s v="CUST65623"/>
    <x v="0"/>
    <n v="41"/>
    <x v="2"/>
    <x v="3"/>
    <x v="1"/>
    <x v="3"/>
    <n v="5"/>
    <n v="6132"/>
    <n v="15"/>
    <n v="30660"/>
    <n v="4599"/>
    <n v="26061"/>
  </r>
  <r>
    <x v="1074"/>
    <x v="25"/>
    <s v="CUST35287"/>
    <x v="0"/>
    <n v="23"/>
    <x v="3"/>
    <x v="5"/>
    <x v="0"/>
    <x v="2"/>
    <n v="3"/>
    <n v="7773"/>
    <n v="5"/>
    <n v="23319"/>
    <n v="1165.95"/>
    <n v="22153.05"/>
  </r>
  <r>
    <x v="1075"/>
    <x v="225"/>
    <s v="CUST38433"/>
    <x v="1"/>
    <n v="54"/>
    <x v="0"/>
    <x v="5"/>
    <x v="4"/>
    <x v="0"/>
    <n v="1"/>
    <n v="4334"/>
    <n v="15"/>
    <n v="4334"/>
    <n v="650.1"/>
    <n v="3683.9"/>
  </r>
  <r>
    <x v="1076"/>
    <x v="244"/>
    <s v="CUST81780"/>
    <x v="0"/>
    <n v="59"/>
    <x v="0"/>
    <x v="2"/>
    <x v="1"/>
    <x v="0"/>
    <n v="2"/>
    <n v="3547"/>
    <n v="0"/>
    <n v="7094"/>
    <n v="0"/>
    <n v="7094"/>
  </r>
  <r>
    <x v="1077"/>
    <x v="469"/>
    <s v="CUST33795"/>
    <x v="1"/>
    <n v="38"/>
    <x v="2"/>
    <x v="5"/>
    <x v="3"/>
    <x v="3"/>
    <n v="6"/>
    <n v="6294"/>
    <n v="0"/>
    <n v="37764"/>
    <n v="0"/>
    <n v="37764"/>
  </r>
  <r>
    <x v="1078"/>
    <x v="234"/>
    <s v="CUST29975"/>
    <x v="1"/>
    <n v="64"/>
    <x v="0"/>
    <x v="1"/>
    <x v="2"/>
    <x v="0"/>
    <n v="7"/>
    <n v="6281"/>
    <n v="0"/>
    <n v="43967"/>
    <n v="0"/>
    <n v="43967"/>
  </r>
  <r>
    <x v="1079"/>
    <x v="288"/>
    <s v="CUST18677"/>
    <x v="1"/>
    <n v="36"/>
    <x v="2"/>
    <x v="2"/>
    <x v="2"/>
    <x v="3"/>
    <n v="6"/>
    <n v="2797"/>
    <n v="10"/>
    <n v="16782"/>
    <n v="1678.2"/>
    <n v="15103.8"/>
  </r>
  <r>
    <x v="1080"/>
    <x v="430"/>
    <s v="CUST36636"/>
    <x v="1"/>
    <n v="52"/>
    <x v="0"/>
    <x v="1"/>
    <x v="0"/>
    <x v="1"/>
    <n v="6"/>
    <n v="5367"/>
    <n v="15"/>
    <n v="32202"/>
    <n v="4830.3"/>
    <n v="27371.7"/>
  </r>
  <r>
    <x v="1081"/>
    <x v="12"/>
    <s v="CUST47211"/>
    <x v="1"/>
    <n v="53"/>
    <x v="0"/>
    <x v="3"/>
    <x v="1"/>
    <x v="0"/>
    <n v="4"/>
    <n v="7364"/>
    <n v="5"/>
    <n v="29456"/>
    <n v="1472.8"/>
    <n v="27983.200000000001"/>
  </r>
  <r>
    <x v="1082"/>
    <x v="324"/>
    <s v="CUST15290"/>
    <x v="1"/>
    <n v="33"/>
    <x v="1"/>
    <x v="4"/>
    <x v="5"/>
    <x v="1"/>
    <n v="4"/>
    <n v="2306"/>
    <n v="5"/>
    <n v="9224"/>
    <n v="461.2"/>
    <n v="8762.7999999999993"/>
  </r>
  <r>
    <x v="1083"/>
    <x v="545"/>
    <s v="CUST15482"/>
    <x v="0"/>
    <n v="44"/>
    <x v="2"/>
    <x v="4"/>
    <x v="5"/>
    <x v="2"/>
    <n v="3"/>
    <n v="4021"/>
    <n v="15"/>
    <n v="12063"/>
    <n v="1809.45"/>
    <n v="10253.549999999999"/>
  </r>
  <r>
    <x v="1084"/>
    <x v="412"/>
    <s v="CUST87677"/>
    <x v="0"/>
    <n v="48"/>
    <x v="0"/>
    <x v="0"/>
    <x v="0"/>
    <x v="0"/>
    <n v="3"/>
    <n v="2362"/>
    <n v="0"/>
    <n v="7086"/>
    <n v="0"/>
    <n v="7086"/>
  </r>
  <r>
    <x v="1085"/>
    <x v="232"/>
    <s v="CUST43903"/>
    <x v="1"/>
    <n v="39"/>
    <x v="2"/>
    <x v="4"/>
    <x v="0"/>
    <x v="2"/>
    <n v="7"/>
    <n v="1497"/>
    <n v="0"/>
    <n v="10479"/>
    <n v="0"/>
    <n v="10479"/>
  </r>
  <r>
    <x v="1086"/>
    <x v="221"/>
    <s v="CUST35989"/>
    <x v="0"/>
    <n v="32"/>
    <x v="1"/>
    <x v="3"/>
    <x v="1"/>
    <x v="0"/>
    <n v="4"/>
    <n v="7381"/>
    <n v="5"/>
    <n v="29524"/>
    <n v="1476.2"/>
    <n v="28047.8"/>
  </r>
  <r>
    <x v="1087"/>
    <x v="286"/>
    <s v="CUST86407"/>
    <x v="1"/>
    <n v="52"/>
    <x v="0"/>
    <x v="5"/>
    <x v="3"/>
    <x v="1"/>
    <n v="3"/>
    <n v="3564"/>
    <n v="10"/>
    <n v="10692"/>
    <n v="1069.2"/>
    <n v="9622.7999999999993"/>
  </r>
  <r>
    <x v="1088"/>
    <x v="461"/>
    <s v="CUST43434"/>
    <x v="0"/>
    <n v="19"/>
    <x v="3"/>
    <x v="1"/>
    <x v="5"/>
    <x v="4"/>
    <n v="5"/>
    <n v="6030"/>
    <n v="10"/>
    <n v="30150"/>
    <n v="3015"/>
    <n v="27135"/>
  </r>
  <r>
    <x v="1089"/>
    <x v="114"/>
    <s v="CUST39076"/>
    <x v="1"/>
    <n v="21"/>
    <x v="3"/>
    <x v="1"/>
    <x v="3"/>
    <x v="4"/>
    <n v="7"/>
    <n v="5346"/>
    <n v="10"/>
    <n v="37422"/>
    <n v="3742.2"/>
    <n v="33679.800000000003"/>
  </r>
  <r>
    <x v="1090"/>
    <x v="253"/>
    <s v="CUST12144"/>
    <x v="1"/>
    <n v="38"/>
    <x v="2"/>
    <x v="4"/>
    <x v="5"/>
    <x v="0"/>
    <n v="4"/>
    <n v="1065"/>
    <n v="10"/>
    <n v="4260"/>
    <n v="426"/>
    <n v="3834"/>
  </r>
  <r>
    <x v="1091"/>
    <x v="522"/>
    <s v="CUST12357"/>
    <x v="0"/>
    <n v="58"/>
    <x v="0"/>
    <x v="5"/>
    <x v="2"/>
    <x v="2"/>
    <n v="5"/>
    <n v="2344"/>
    <n v="5"/>
    <n v="11720"/>
    <n v="586"/>
    <n v="11134"/>
  </r>
  <r>
    <x v="1092"/>
    <x v="232"/>
    <s v="CUST94707"/>
    <x v="1"/>
    <n v="18"/>
    <x v="3"/>
    <x v="4"/>
    <x v="0"/>
    <x v="2"/>
    <n v="7"/>
    <n v="2722"/>
    <n v="5"/>
    <n v="19054"/>
    <n v="952.7"/>
    <n v="18101.3"/>
  </r>
  <r>
    <x v="1093"/>
    <x v="559"/>
    <s v="CUST45896"/>
    <x v="1"/>
    <n v="30"/>
    <x v="1"/>
    <x v="1"/>
    <x v="0"/>
    <x v="1"/>
    <n v="2"/>
    <n v="3745"/>
    <n v="0"/>
    <n v="7490"/>
    <n v="0"/>
    <n v="7490"/>
  </r>
  <r>
    <x v="1094"/>
    <x v="560"/>
    <s v="CUST84726"/>
    <x v="1"/>
    <n v="64"/>
    <x v="0"/>
    <x v="1"/>
    <x v="5"/>
    <x v="1"/>
    <n v="1"/>
    <n v="3529"/>
    <n v="10"/>
    <n v="3529"/>
    <n v="352.9"/>
    <n v="3176.1"/>
  </r>
  <r>
    <x v="1095"/>
    <x v="561"/>
    <s v="CUST23137"/>
    <x v="0"/>
    <n v="38"/>
    <x v="2"/>
    <x v="1"/>
    <x v="1"/>
    <x v="2"/>
    <n v="4"/>
    <n v="3199"/>
    <n v="5"/>
    <n v="12796"/>
    <n v="639.79999999999995"/>
    <n v="12156.2"/>
  </r>
  <r>
    <x v="1096"/>
    <x v="501"/>
    <s v="CUST43517"/>
    <x v="1"/>
    <n v="30"/>
    <x v="1"/>
    <x v="1"/>
    <x v="0"/>
    <x v="0"/>
    <n v="6"/>
    <n v="7079"/>
    <n v="0"/>
    <n v="42474"/>
    <n v="0"/>
    <n v="42474"/>
  </r>
  <r>
    <x v="1097"/>
    <x v="143"/>
    <s v="CUST58747"/>
    <x v="0"/>
    <n v="57"/>
    <x v="0"/>
    <x v="2"/>
    <x v="5"/>
    <x v="0"/>
    <n v="5"/>
    <n v="5838"/>
    <n v="10"/>
    <n v="29190"/>
    <n v="2919"/>
    <n v="26271"/>
  </r>
  <r>
    <x v="1098"/>
    <x v="83"/>
    <s v="CUST41848"/>
    <x v="1"/>
    <n v="35"/>
    <x v="1"/>
    <x v="2"/>
    <x v="3"/>
    <x v="2"/>
    <n v="2"/>
    <n v="2212"/>
    <n v="0"/>
    <n v="4424"/>
    <n v="0"/>
    <n v="4424"/>
  </r>
  <r>
    <x v="1099"/>
    <x v="114"/>
    <s v="CUST33019"/>
    <x v="0"/>
    <n v="64"/>
    <x v="0"/>
    <x v="3"/>
    <x v="1"/>
    <x v="0"/>
    <n v="5"/>
    <n v="5499"/>
    <n v="5"/>
    <n v="27495"/>
    <n v="1374.75"/>
    <n v="26120.25"/>
  </r>
  <r>
    <x v="1100"/>
    <x v="248"/>
    <s v="CUST89204"/>
    <x v="0"/>
    <n v="58"/>
    <x v="0"/>
    <x v="3"/>
    <x v="0"/>
    <x v="3"/>
    <n v="2"/>
    <n v="1010"/>
    <n v="0"/>
    <n v="2020"/>
    <n v="0"/>
    <n v="2020"/>
  </r>
  <r>
    <x v="1101"/>
    <x v="497"/>
    <s v="CUST27792"/>
    <x v="1"/>
    <n v="43"/>
    <x v="2"/>
    <x v="0"/>
    <x v="2"/>
    <x v="0"/>
    <n v="1"/>
    <n v="5836"/>
    <n v="10"/>
    <n v="5836"/>
    <n v="583.6"/>
    <n v="5252.4"/>
  </r>
  <r>
    <x v="1102"/>
    <x v="6"/>
    <s v="CUST78843"/>
    <x v="1"/>
    <n v="59"/>
    <x v="0"/>
    <x v="3"/>
    <x v="0"/>
    <x v="3"/>
    <n v="5"/>
    <n v="4253"/>
    <n v="0"/>
    <n v="21265"/>
    <n v="0"/>
    <n v="21265"/>
  </r>
  <r>
    <x v="1103"/>
    <x v="79"/>
    <s v="CUST96265"/>
    <x v="1"/>
    <n v="25"/>
    <x v="3"/>
    <x v="1"/>
    <x v="2"/>
    <x v="3"/>
    <n v="1"/>
    <n v="323"/>
    <n v="15"/>
    <n v="323"/>
    <n v="48.45"/>
    <n v="274.55"/>
  </r>
  <r>
    <x v="1104"/>
    <x v="562"/>
    <s v="CUST35119"/>
    <x v="1"/>
    <n v="24"/>
    <x v="3"/>
    <x v="5"/>
    <x v="4"/>
    <x v="2"/>
    <n v="2"/>
    <n v="3958"/>
    <n v="10"/>
    <n v="7916"/>
    <n v="791.6"/>
    <n v="7124.4"/>
  </r>
  <r>
    <x v="1105"/>
    <x v="563"/>
    <s v="CUST35129"/>
    <x v="0"/>
    <n v="36"/>
    <x v="2"/>
    <x v="5"/>
    <x v="5"/>
    <x v="2"/>
    <n v="5"/>
    <n v="3340"/>
    <n v="0"/>
    <n v="16700"/>
    <n v="0"/>
    <n v="16700"/>
  </r>
  <r>
    <x v="1106"/>
    <x v="12"/>
    <s v="CUST97637"/>
    <x v="0"/>
    <n v="30"/>
    <x v="1"/>
    <x v="5"/>
    <x v="1"/>
    <x v="4"/>
    <n v="7"/>
    <n v="4518"/>
    <n v="10"/>
    <n v="31626"/>
    <n v="3162.6"/>
    <n v="28463.4"/>
  </r>
  <r>
    <x v="1107"/>
    <x v="39"/>
    <s v="CUST31962"/>
    <x v="1"/>
    <n v="55"/>
    <x v="0"/>
    <x v="5"/>
    <x v="1"/>
    <x v="0"/>
    <n v="5"/>
    <n v="6801"/>
    <n v="0"/>
    <n v="34005"/>
    <n v="0"/>
    <n v="34005"/>
  </r>
  <r>
    <x v="1108"/>
    <x v="131"/>
    <s v="CUST71629"/>
    <x v="0"/>
    <n v="61"/>
    <x v="0"/>
    <x v="4"/>
    <x v="5"/>
    <x v="2"/>
    <n v="5"/>
    <n v="1076"/>
    <n v="0"/>
    <n v="5380"/>
    <n v="0"/>
    <n v="5380"/>
  </r>
  <r>
    <x v="1109"/>
    <x v="357"/>
    <s v="CUST36285"/>
    <x v="0"/>
    <n v="49"/>
    <x v="0"/>
    <x v="1"/>
    <x v="3"/>
    <x v="1"/>
    <n v="2"/>
    <n v="5595"/>
    <n v="10"/>
    <n v="11190"/>
    <n v="1119"/>
    <n v="10071"/>
  </r>
  <r>
    <x v="1110"/>
    <x v="28"/>
    <s v="CUST84032"/>
    <x v="1"/>
    <n v="41"/>
    <x v="2"/>
    <x v="5"/>
    <x v="1"/>
    <x v="1"/>
    <n v="1"/>
    <n v="6075"/>
    <n v="5"/>
    <n v="6075"/>
    <n v="303.75"/>
    <n v="5771.25"/>
  </r>
  <r>
    <x v="1111"/>
    <x v="130"/>
    <s v="CUST69672"/>
    <x v="1"/>
    <n v="49"/>
    <x v="0"/>
    <x v="1"/>
    <x v="1"/>
    <x v="4"/>
    <n v="1"/>
    <n v="1326"/>
    <n v="5"/>
    <n v="1326"/>
    <n v="66.3"/>
    <n v="1259.7"/>
  </r>
  <r>
    <x v="1112"/>
    <x v="277"/>
    <s v="CUST34470"/>
    <x v="1"/>
    <n v="44"/>
    <x v="2"/>
    <x v="3"/>
    <x v="4"/>
    <x v="0"/>
    <n v="2"/>
    <n v="5849"/>
    <n v="0"/>
    <n v="11698"/>
    <n v="0"/>
    <n v="11698"/>
  </r>
  <r>
    <x v="1113"/>
    <x v="388"/>
    <s v="CUST21669"/>
    <x v="0"/>
    <n v="53"/>
    <x v="0"/>
    <x v="3"/>
    <x v="3"/>
    <x v="0"/>
    <n v="4"/>
    <n v="1389"/>
    <n v="10"/>
    <n v="5556"/>
    <n v="555.6"/>
    <n v="5000.3999999999996"/>
  </r>
  <r>
    <x v="1114"/>
    <x v="428"/>
    <s v="CUST32331"/>
    <x v="1"/>
    <n v="44"/>
    <x v="2"/>
    <x v="4"/>
    <x v="3"/>
    <x v="3"/>
    <n v="1"/>
    <n v="4964"/>
    <n v="10"/>
    <n v="4964"/>
    <n v="496.4"/>
    <n v="4467.6000000000004"/>
  </r>
  <r>
    <x v="1115"/>
    <x v="36"/>
    <s v="CUST12445"/>
    <x v="1"/>
    <n v="62"/>
    <x v="0"/>
    <x v="1"/>
    <x v="3"/>
    <x v="0"/>
    <n v="4"/>
    <n v="3526"/>
    <n v="15"/>
    <n v="14104"/>
    <n v="2115.6"/>
    <n v="11988.4"/>
  </r>
  <r>
    <x v="1116"/>
    <x v="351"/>
    <s v="CUST60565"/>
    <x v="0"/>
    <n v="54"/>
    <x v="0"/>
    <x v="4"/>
    <x v="1"/>
    <x v="4"/>
    <n v="6"/>
    <n v="5638"/>
    <n v="0"/>
    <n v="33828"/>
    <n v="0"/>
    <n v="33828"/>
  </r>
  <r>
    <x v="1117"/>
    <x v="89"/>
    <s v="CUST51684"/>
    <x v="0"/>
    <n v="35"/>
    <x v="1"/>
    <x v="4"/>
    <x v="5"/>
    <x v="0"/>
    <n v="6"/>
    <n v="2666"/>
    <n v="5"/>
    <n v="15996"/>
    <n v="799.8"/>
    <n v="15196.2"/>
  </r>
  <r>
    <x v="1118"/>
    <x v="401"/>
    <s v="CUST84866"/>
    <x v="1"/>
    <n v="51"/>
    <x v="0"/>
    <x v="3"/>
    <x v="1"/>
    <x v="2"/>
    <n v="7"/>
    <n v="2651"/>
    <n v="5"/>
    <n v="18557"/>
    <n v="927.85"/>
    <n v="17629.150000000001"/>
  </r>
  <r>
    <x v="1119"/>
    <x v="351"/>
    <s v="CUST31995"/>
    <x v="1"/>
    <n v="53"/>
    <x v="0"/>
    <x v="2"/>
    <x v="1"/>
    <x v="3"/>
    <n v="6"/>
    <n v="4409"/>
    <n v="5"/>
    <n v="26454"/>
    <n v="1322.7"/>
    <n v="25131.3"/>
  </r>
  <r>
    <x v="1120"/>
    <x v="228"/>
    <s v="CUST18585"/>
    <x v="1"/>
    <n v="31"/>
    <x v="1"/>
    <x v="2"/>
    <x v="5"/>
    <x v="4"/>
    <n v="5"/>
    <n v="635"/>
    <n v="5"/>
    <n v="3175"/>
    <n v="158.75"/>
    <n v="3016.25"/>
  </r>
  <r>
    <x v="1121"/>
    <x v="564"/>
    <s v="CUST48227"/>
    <x v="0"/>
    <n v="52"/>
    <x v="0"/>
    <x v="1"/>
    <x v="5"/>
    <x v="3"/>
    <n v="2"/>
    <n v="257"/>
    <n v="0"/>
    <n v="514"/>
    <n v="0"/>
    <n v="514"/>
  </r>
  <r>
    <x v="1122"/>
    <x v="130"/>
    <s v="CUST18778"/>
    <x v="0"/>
    <n v="24"/>
    <x v="3"/>
    <x v="3"/>
    <x v="5"/>
    <x v="4"/>
    <n v="6"/>
    <n v="4550"/>
    <n v="0"/>
    <n v="27300"/>
    <n v="0"/>
    <n v="27300"/>
  </r>
  <r>
    <x v="1123"/>
    <x v="73"/>
    <s v="CUST32729"/>
    <x v="1"/>
    <n v="51"/>
    <x v="0"/>
    <x v="1"/>
    <x v="2"/>
    <x v="4"/>
    <n v="2"/>
    <n v="2400"/>
    <n v="5"/>
    <n v="4800"/>
    <n v="240"/>
    <n v="4560"/>
  </r>
  <r>
    <x v="1124"/>
    <x v="516"/>
    <s v="CUST72260"/>
    <x v="1"/>
    <n v="36"/>
    <x v="2"/>
    <x v="5"/>
    <x v="0"/>
    <x v="3"/>
    <n v="7"/>
    <n v="2337"/>
    <n v="15"/>
    <n v="16359"/>
    <n v="2453.85"/>
    <n v="13905.15"/>
  </r>
  <r>
    <x v="1125"/>
    <x v="565"/>
    <s v="CUST49152"/>
    <x v="1"/>
    <n v="38"/>
    <x v="2"/>
    <x v="5"/>
    <x v="1"/>
    <x v="2"/>
    <n v="6"/>
    <n v="3080"/>
    <n v="0"/>
    <n v="18480"/>
    <n v="0"/>
    <n v="18480"/>
  </r>
  <r>
    <x v="1126"/>
    <x v="451"/>
    <s v="CUST19219"/>
    <x v="1"/>
    <n v="54"/>
    <x v="0"/>
    <x v="5"/>
    <x v="3"/>
    <x v="4"/>
    <n v="2"/>
    <n v="2536"/>
    <n v="10"/>
    <n v="5072"/>
    <n v="507.2"/>
    <n v="4564.8"/>
  </r>
  <r>
    <x v="1127"/>
    <x v="448"/>
    <s v="CUST88539"/>
    <x v="0"/>
    <n v="63"/>
    <x v="0"/>
    <x v="1"/>
    <x v="1"/>
    <x v="1"/>
    <n v="4"/>
    <n v="1216"/>
    <n v="20"/>
    <n v="4864"/>
    <n v="972.8"/>
    <n v="3891.2"/>
  </r>
  <r>
    <x v="1128"/>
    <x v="566"/>
    <s v="CUST59266"/>
    <x v="0"/>
    <n v="54"/>
    <x v="0"/>
    <x v="2"/>
    <x v="2"/>
    <x v="3"/>
    <n v="2"/>
    <n v="6863"/>
    <n v="5"/>
    <n v="13726"/>
    <n v="686.3"/>
    <n v="13039.7"/>
  </r>
  <r>
    <x v="1129"/>
    <x v="58"/>
    <s v="CUST32285"/>
    <x v="1"/>
    <n v="46"/>
    <x v="0"/>
    <x v="2"/>
    <x v="1"/>
    <x v="3"/>
    <n v="6"/>
    <n v="2862"/>
    <n v="0"/>
    <n v="17172"/>
    <n v="0"/>
    <n v="17172"/>
  </r>
  <r>
    <x v="1130"/>
    <x v="291"/>
    <s v="CUST26416"/>
    <x v="0"/>
    <n v="37"/>
    <x v="2"/>
    <x v="2"/>
    <x v="1"/>
    <x v="0"/>
    <n v="3"/>
    <n v="2628"/>
    <n v="10"/>
    <n v="7884"/>
    <n v="788.4"/>
    <n v="7095.6"/>
  </r>
  <r>
    <x v="1131"/>
    <x v="567"/>
    <s v="CUST94975"/>
    <x v="1"/>
    <n v="18"/>
    <x v="3"/>
    <x v="0"/>
    <x v="4"/>
    <x v="2"/>
    <n v="1"/>
    <n v="7769"/>
    <n v="0"/>
    <n v="7769"/>
    <n v="0"/>
    <n v="7769"/>
  </r>
  <r>
    <x v="1132"/>
    <x v="568"/>
    <s v="CUST32667"/>
    <x v="1"/>
    <n v="29"/>
    <x v="1"/>
    <x v="5"/>
    <x v="3"/>
    <x v="4"/>
    <n v="5"/>
    <n v="2821"/>
    <n v="20"/>
    <n v="14105"/>
    <n v="2821"/>
    <n v="11284"/>
  </r>
  <r>
    <x v="1133"/>
    <x v="569"/>
    <s v="CUST81249"/>
    <x v="1"/>
    <n v="57"/>
    <x v="0"/>
    <x v="4"/>
    <x v="4"/>
    <x v="3"/>
    <n v="1"/>
    <n v="3117"/>
    <n v="10"/>
    <n v="3117"/>
    <n v="311.7"/>
    <n v="2805.3"/>
  </r>
  <r>
    <x v="1134"/>
    <x v="264"/>
    <s v="CUST60845"/>
    <x v="0"/>
    <n v="41"/>
    <x v="2"/>
    <x v="4"/>
    <x v="1"/>
    <x v="1"/>
    <n v="1"/>
    <n v="2099"/>
    <n v="0"/>
    <n v="2099"/>
    <n v="0"/>
    <n v="2099"/>
  </r>
  <r>
    <x v="1135"/>
    <x v="570"/>
    <s v="CUST85035"/>
    <x v="0"/>
    <n v="56"/>
    <x v="0"/>
    <x v="2"/>
    <x v="5"/>
    <x v="2"/>
    <n v="6"/>
    <n v="3328"/>
    <n v="5"/>
    <n v="19968"/>
    <n v="998.4"/>
    <n v="18969.599999999999"/>
  </r>
  <r>
    <x v="1136"/>
    <x v="571"/>
    <s v="CUST62555"/>
    <x v="0"/>
    <n v="32"/>
    <x v="1"/>
    <x v="4"/>
    <x v="2"/>
    <x v="0"/>
    <n v="7"/>
    <n v="5289"/>
    <n v="0"/>
    <n v="37023"/>
    <n v="0"/>
    <n v="37023"/>
  </r>
  <r>
    <x v="1137"/>
    <x v="62"/>
    <s v="CUST90739"/>
    <x v="1"/>
    <n v="60"/>
    <x v="0"/>
    <x v="3"/>
    <x v="2"/>
    <x v="4"/>
    <n v="6"/>
    <n v="5737"/>
    <n v="0"/>
    <n v="34422"/>
    <n v="0"/>
    <n v="34422"/>
  </r>
  <r>
    <x v="1138"/>
    <x v="327"/>
    <s v="CUST24186"/>
    <x v="0"/>
    <n v="35"/>
    <x v="1"/>
    <x v="5"/>
    <x v="2"/>
    <x v="1"/>
    <n v="3"/>
    <n v="611"/>
    <n v="0"/>
    <n v="1833"/>
    <n v="0"/>
    <n v="1833"/>
  </r>
  <r>
    <x v="1139"/>
    <x v="85"/>
    <s v="CUST68456"/>
    <x v="0"/>
    <n v="56"/>
    <x v="0"/>
    <x v="1"/>
    <x v="3"/>
    <x v="2"/>
    <n v="4"/>
    <n v="215"/>
    <n v="0"/>
    <n v="860"/>
    <n v="0"/>
    <n v="860"/>
  </r>
  <r>
    <x v="1140"/>
    <x v="572"/>
    <s v="CUST29770"/>
    <x v="0"/>
    <n v="63"/>
    <x v="0"/>
    <x v="0"/>
    <x v="5"/>
    <x v="0"/>
    <n v="5"/>
    <n v="5958"/>
    <n v="10"/>
    <n v="29790"/>
    <n v="2979"/>
    <n v="26811"/>
  </r>
  <r>
    <x v="1141"/>
    <x v="573"/>
    <s v="CUST21057"/>
    <x v="0"/>
    <n v="54"/>
    <x v="0"/>
    <x v="1"/>
    <x v="3"/>
    <x v="4"/>
    <n v="5"/>
    <n v="5276"/>
    <n v="0"/>
    <n v="26380"/>
    <n v="0"/>
    <n v="26380"/>
  </r>
  <r>
    <x v="1142"/>
    <x v="107"/>
    <s v="CUST46194"/>
    <x v="0"/>
    <n v="63"/>
    <x v="0"/>
    <x v="3"/>
    <x v="0"/>
    <x v="0"/>
    <n v="4"/>
    <n v="3916"/>
    <n v="5"/>
    <n v="15664"/>
    <n v="783.2"/>
    <n v="14880.8"/>
  </r>
  <r>
    <x v="1143"/>
    <x v="476"/>
    <s v="CUST78371"/>
    <x v="1"/>
    <n v="54"/>
    <x v="0"/>
    <x v="2"/>
    <x v="5"/>
    <x v="4"/>
    <n v="1"/>
    <n v="322"/>
    <n v="15"/>
    <n v="322"/>
    <n v="48.3"/>
    <n v="273.7"/>
  </r>
  <r>
    <x v="1144"/>
    <x v="574"/>
    <s v="CUST42549"/>
    <x v="0"/>
    <n v="35"/>
    <x v="1"/>
    <x v="1"/>
    <x v="0"/>
    <x v="1"/>
    <n v="3"/>
    <n v="6447"/>
    <n v="0"/>
    <n v="19341"/>
    <n v="0"/>
    <n v="19341"/>
  </r>
  <r>
    <x v="1145"/>
    <x v="94"/>
    <s v="CUST15198"/>
    <x v="1"/>
    <n v="29"/>
    <x v="1"/>
    <x v="3"/>
    <x v="5"/>
    <x v="1"/>
    <n v="4"/>
    <n v="6795"/>
    <n v="0"/>
    <n v="27180"/>
    <n v="0"/>
    <n v="27180"/>
  </r>
  <r>
    <x v="1146"/>
    <x v="122"/>
    <s v="CUST87291"/>
    <x v="0"/>
    <n v="56"/>
    <x v="0"/>
    <x v="5"/>
    <x v="5"/>
    <x v="4"/>
    <n v="1"/>
    <n v="4751"/>
    <n v="5"/>
    <n v="4751"/>
    <n v="237.55"/>
    <n v="4513.45"/>
  </r>
  <r>
    <x v="1147"/>
    <x v="388"/>
    <s v="CUST34791"/>
    <x v="0"/>
    <n v="19"/>
    <x v="3"/>
    <x v="5"/>
    <x v="2"/>
    <x v="4"/>
    <n v="7"/>
    <n v="2031"/>
    <n v="10"/>
    <n v="14217"/>
    <n v="1421.7"/>
    <n v="12795.3"/>
  </r>
  <r>
    <x v="1148"/>
    <x v="546"/>
    <s v="CUST39075"/>
    <x v="0"/>
    <n v="38"/>
    <x v="2"/>
    <x v="3"/>
    <x v="0"/>
    <x v="1"/>
    <n v="4"/>
    <n v="4533"/>
    <n v="0"/>
    <n v="18132"/>
    <n v="0"/>
    <n v="18132"/>
  </r>
  <r>
    <x v="1149"/>
    <x v="268"/>
    <s v="CUST18573"/>
    <x v="0"/>
    <n v="20"/>
    <x v="3"/>
    <x v="0"/>
    <x v="4"/>
    <x v="2"/>
    <n v="3"/>
    <n v="4054"/>
    <n v="15"/>
    <n v="12162"/>
    <n v="1824.3"/>
    <n v="10337.700000000001"/>
  </r>
  <r>
    <x v="1150"/>
    <x v="423"/>
    <s v="CUST88599"/>
    <x v="0"/>
    <n v="60"/>
    <x v="0"/>
    <x v="3"/>
    <x v="0"/>
    <x v="2"/>
    <n v="1"/>
    <n v="7573"/>
    <n v="5"/>
    <n v="7573"/>
    <n v="378.65"/>
    <n v="7194.35"/>
  </r>
  <r>
    <x v="1151"/>
    <x v="267"/>
    <s v="CUST92183"/>
    <x v="1"/>
    <n v="40"/>
    <x v="2"/>
    <x v="1"/>
    <x v="2"/>
    <x v="3"/>
    <n v="4"/>
    <n v="2156"/>
    <n v="0"/>
    <n v="8624"/>
    <n v="0"/>
    <n v="8624"/>
  </r>
  <r>
    <x v="1152"/>
    <x v="157"/>
    <s v="CUST42454"/>
    <x v="1"/>
    <n v="28"/>
    <x v="1"/>
    <x v="5"/>
    <x v="0"/>
    <x v="0"/>
    <n v="4"/>
    <n v="2242"/>
    <n v="0"/>
    <n v="8968"/>
    <n v="0"/>
    <n v="8968"/>
  </r>
  <r>
    <x v="1153"/>
    <x v="215"/>
    <s v="CUST32831"/>
    <x v="1"/>
    <n v="28"/>
    <x v="1"/>
    <x v="5"/>
    <x v="5"/>
    <x v="4"/>
    <n v="6"/>
    <n v="4256"/>
    <n v="15"/>
    <n v="25536"/>
    <n v="3830.4"/>
    <n v="21705.599999999999"/>
  </r>
  <r>
    <x v="1154"/>
    <x v="367"/>
    <s v="CUST54016"/>
    <x v="0"/>
    <n v="57"/>
    <x v="0"/>
    <x v="2"/>
    <x v="1"/>
    <x v="4"/>
    <n v="2"/>
    <n v="5867"/>
    <n v="0"/>
    <n v="11734"/>
    <n v="0"/>
    <n v="11734"/>
  </r>
  <r>
    <x v="1155"/>
    <x v="575"/>
    <s v="CUST33387"/>
    <x v="0"/>
    <n v="34"/>
    <x v="1"/>
    <x v="4"/>
    <x v="4"/>
    <x v="2"/>
    <n v="4"/>
    <n v="7855"/>
    <n v="5"/>
    <n v="31420"/>
    <n v="1571"/>
    <n v="29849"/>
  </r>
  <r>
    <x v="1156"/>
    <x v="480"/>
    <s v="CUST26159"/>
    <x v="0"/>
    <n v="25"/>
    <x v="3"/>
    <x v="4"/>
    <x v="0"/>
    <x v="3"/>
    <n v="3"/>
    <n v="2410"/>
    <n v="0"/>
    <n v="7230"/>
    <n v="0"/>
    <n v="7230"/>
  </r>
  <r>
    <x v="1157"/>
    <x v="476"/>
    <s v="CUST23713"/>
    <x v="1"/>
    <n v="63"/>
    <x v="0"/>
    <x v="3"/>
    <x v="4"/>
    <x v="1"/>
    <n v="5"/>
    <n v="1880"/>
    <n v="10"/>
    <n v="9400"/>
    <n v="940"/>
    <n v="8460"/>
  </r>
  <r>
    <x v="1158"/>
    <x v="297"/>
    <s v="CUST11292"/>
    <x v="0"/>
    <n v="20"/>
    <x v="3"/>
    <x v="2"/>
    <x v="5"/>
    <x v="4"/>
    <n v="6"/>
    <n v="577"/>
    <n v="5"/>
    <n v="3462"/>
    <n v="173.1"/>
    <n v="3288.9"/>
  </r>
  <r>
    <x v="1159"/>
    <x v="422"/>
    <s v="CUST38171"/>
    <x v="0"/>
    <n v="44"/>
    <x v="2"/>
    <x v="5"/>
    <x v="0"/>
    <x v="0"/>
    <n v="6"/>
    <n v="6519"/>
    <n v="15"/>
    <n v="39114"/>
    <n v="5867.1"/>
    <n v="33246.9"/>
  </r>
  <r>
    <x v="1160"/>
    <x v="50"/>
    <s v="CUST56820"/>
    <x v="1"/>
    <n v="26"/>
    <x v="1"/>
    <x v="3"/>
    <x v="0"/>
    <x v="1"/>
    <n v="4"/>
    <n v="5779"/>
    <n v="0"/>
    <n v="23116"/>
    <n v="0"/>
    <n v="23116"/>
  </r>
  <r>
    <x v="1161"/>
    <x v="67"/>
    <s v="CUST48226"/>
    <x v="1"/>
    <n v="64"/>
    <x v="0"/>
    <x v="1"/>
    <x v="0"/>
    <x v="3"/>
    <n v="2"/>
    <n v="2783"/>
    <n v="10"/>
    <n v="5566"/>
    <n v="556.6"/>
    <n v="5009.3999999999996"/>
  </r>
  <r>
    <x v="1162"/>
    <x v="506"/>
    <s v="CUST41283"/>
    <x v="0"/>
    <n v="21"/>
    <x v="3"/>
    <x v="2"/>
    <x v="3"/>
    <x v="3"/>
    <n v="6"/>
    <n v="3132"/>
    <n v="0"/>
    <n v="18792"/>
    <n v="0"/>
    <n v="18792"/>
  </r>
  <r>
    <x v="1163"/>
    <x v="531"/>
    <s v="CUST65388"/>
    <x v="1"/>
    <n v="52"/>
    <x v="0"/>
    <x v="1"/>
    <x v="3"/>
    <x v="0"/>
    <n v="4"/>
    <n v="3309"/>
    <n v="10"/>
    <n v="13236"/>
    <n v="1323.6"/>
    <n v="11912.4"/>
  </r>
  <r>
    <x v="1164"/>
    <x v="444"/>
    <s v="CUST80670"/>
    <x v="0"/>
    <n v="57"/>
    <x v="0"/>
    <x v="1"/>
    <x v="3"/>
    <x v="3"/>
    <n v="7"/>
    <n v="1009"/>
    <n v="10"/>
    <n v="7063"/>
    <n v="706.3"/>
    <n v="6356.7"/>
  </r>
  <r>
    <x v="1165"/>
    <x v="499"/>
    <s v="CUST51793"/>
    <x v="1"/>
    <n v="43"/>
    <x v="2"/>
    <x v="2"/>
    <x v="2"/>
    <x v="0"/>
    <n v="1"/>
    <n v="7464"/>
    <n v="5"/>
    <n v="7464"/>
    <n v="373.2"/>
    <n v="7090.8"/>
  </r>
  <r>
    <x v="1166"/>
    <x v="576"/>
    <s v="CUST37566"/>
    <x v="1"/>
    <n v="57"/>
    <x v="0"/>
    <x v="0"/>
    <x v="4"/>
    <x v="4"/>
    <n v="3"/>
    <n v="6004"/>
    <n v="15"/>
    <n v="18012"/>
    <n v="2701.8"/>
    <n v="15310.2"/>
  </r>
  <r>
    <x v="1167"/>
    <x v="504"/>
    <s v="CUST93563"/>
    <x v="1"/>
    <n v="62"/>
    <x v="0"/>
    <x v="3"/>
    <x v="2"/>
    <x v="1"/>
    <n v="3"/>
    <n v="3942"/>
    <n v="0"/>
    <n v="11826"/>
    <n v="0"/>
    <n v="11826"/>
  </r>
  <r>
    <x v="1168"/>
    <x v="298"/>
    <s v="CUST48096"/>
    <x v="0"/>
    <n v="19"/>
    <x v="3"/>
    <x v="4"/>
    <x v="1"/>
    <x v="2"/>
    <n v="6"/>
    <n v="4990"/>
    <n v="15"/>
    <n v="29940"/>
    <n v="4491"/>
    <n v="25449"/>
  </r>
  <r>
    <x v="1169"/>
    <x v="577"/>
    <s v="CUST80927"/>
    <x v="0"/>
    <n v="22"/>
    <x v="3"/>
    <x v="3"/>
    <x v="0"/>
    <x v="2"/>
    <n v="7"/>
    <n v="4507"/>
    <n v="0"/>
    <n v="31549"/>
    <n v="0"/>
    <n v="31549"/>
  </r>
  <r>
    <x v="1170"/>
    <x v="456"/>
    <s v="CUST82170"/>
    <x v="0"/>
    <n v="21"/>
    <x v="3"/>
    <x v="5"/>
    <x v="0"/>
    <x v="0"/>
    <n v="3"/>
    <n v="5745"/>
    <n v="5"/>
    <n v="17235"/>
    <n v="861.75"/>
    <n v="16373.25"/>
  </r>
  <r>
    <x v="1171"/>
    <x v="578"/>
    <s v="CUST60456"/>
    <x v="1"/>
    <n v="60"/>
    <x v="0"/>
    <x v="1"/>
    <x v="3"/>
    <x v="4"/>
    <n v="7"/>
    <n v="5988"/>
    <n v="10"/>
    <n v="41916"/>
    <n v="4191.6000000000004"/>
    <n v="37724.400000000001"/>
  </r>
  <r>
    <x v="1172"/>
    <x v="136"/>
    <s v="CUST19771"/>
    <x v="1"/>
    <n v="64"/>
    <x v="0"/>
    <x v="0"/>
    <x v="1"/>
    <x v="3"/>
    <n v="4"/>
    <n v="1226"/>
    <n v="0"/>
    <n v="4904"/>
    <n v="0"/>
    <n v="4904"/>
  </r>
  <r>
    <x v="1173"/>
    <x v="35"/>
    <s v="CUST97024"/>
    <x v="1"/>
    <n v="25"/>
    <x v="3"/>
    <x v="3"/>
    <x v="0"/>
    <x v="0"/>
    <n v="5"/>
    <n v="6795"/>
    <n v="20"/>
    <n v="33975"/>
    <n v="6795"/>
    <n v="27180"/>
  </r>
  <r>
    <x v="1174"/>
    <x v="496"/>
    <s v="CUST46370"/>
    <x v="1"/>
    <n v="18"/>
    <x v="3"/>
    <x v="3"/>
    <x v="1"/>
    <x v="4"/>
    <n v="7"/>
    <n v="1206"/>
    <n v="5"/>
    <n v="8442"/>
    <n v="422.1"/>
    <n v="8019.9"/>
  </r>
  <r>
    <x v="1175"/>
    <x v="134"/>
    <s v="CUST73029"/>
    <x v="1"/>
    <n v="38"/>
    <x v="2"/>
    <x v="0"/>
    <x v="3"/>
    <x v="0"/>
    <n v="4"/>
    <n v="6477"/>
    <n v="20"/>
    <n v="25908"/>
    <n v="5181.6000000000004"/>
    <n v="20726.400000000001"/>
  </r>
  <r>
    <x v="1176"/>
    <x v="277"/>
    <s v="CUST70415"/>
    <x v="0"/>
    <n v="27"/>
    <x v="1"/>
    <x v="0"/>
    <x v="3"/>
    <x v="0"/>
    <n v="7"/>
    <n v="1581"/>
    <n v="15"/>
    <n v="11067"/>
    <n v="1660.05"/>
    <n v="9406.9500000000007"/>
  </r>
  <r>
    <x v="1177"/>
    <x v="579"/>
    <s v="CUST14561"/>
    <x v="0"/>
    <n v="49"/>
    <x v="0"/>
    <x v="4"/>
    <x v="4"/>
    <x v="2"/>
    <n v="7"/>
    <n v="6384"/>
    <n v="0"/>
    <n v="44688"/>
    <n v="0"/>
    <n v="44688"/>
  </r>
  <r>
    <x v="1178"/>
    <x v="404"/>
    <s v="CUST70419"/>
    <x v="1"/>
    <n v="27"/>
    <x v="1"/>
    <x v="0"/>
    <x v="5"/>
    <x v="0"/>
    <n v="1"/>
    <n v="4958"/>
    <n v="10"/>
    <n v="4958"/>
    <n v="495.8"/>
    <n v="4462.2"/>
  </r>
  <r>
    <x v="1179"/>
    <x v="321"/>
    <s v="CUST32048"/>
    <x v="0"/>
    <n v="56"/>
    <x v="0"/>
    <x v="4"/>
    <x v="2"/>
    <x v="4"/>
    <n v="1"/>
    <n v="5556"/>
    <n v="0"/>
    <n v="5556"/>
    <n v="0"/>
    <n v="5556"/>
  </r>
  <r>
    <x v="1180"/>
    <x v="46"/>
    <s v="CUST40146"/>
    <x v="0"/>
    <n v="25"/>
    <x v="3"/>
    <x v="2"/>
    <x v="4"/>
    <x v="1"/>
    <n v="7"/>
    <n v="5439"/>
    <n v="10"/>
    <n v="38073"/>
    <n v="3807.3"/>
    <n v="34265.699999999997"/>
  </r>
  <r>
    <x v="1181"/>
    <x v="476"/>
    <s v="CUST17605"/>
    <x v="1"/>
    <n v="40"/>
    <x v="2"/>
    <x v="5"/>
    <x v="4"/>
    <x v="3"/>
    <n v="2"/>
    <n v="587"/>
    <n v="0"/>
    <n v="1174"/>
    <n v="0"/>
    <n v="1174"/>
  </r>
  <r>
    <x v="1182"/>
    <x v="130"/>
    <s v="CUST82946"/>
    <x v="1"/>
    <n v="59"/>
    <x v="0"/>
    <x v="4"/>
    <x v="1"/>
    <x v="4"/>
    <n v="3"/>
    <n v="1947"/>
    <n v="10"/>
    <n v="5841"/>
    <n v="584.1"/>
    <n v="5256.9"/>
  </r>
  <r>
    <x v="1183"/>
    <x v="97"/>
    <s v="CUST79037"/>
    <x v="0"/>
    <n v="64"/>
    <x v="0"/>
    <x v="2"/>
    <x v="1"/>
    <x v="2"/>
    <n v="4"/>
    <n v="6810"/>
    <n v="5"/>
    <n v="27240"/>
    <n v="1362"/>
    <n v="25878"/>
  </r>
  <r>
    <x v="1184"/>
    <x v="580"/>
    <s v="CUST67990"/>
    <x v="1"/>
    <n v="27"/>
    <x v="1"/>
    <x v="1"/>
    <x v="3"/>
    <x v="2"/>
    <n v="6"/>
    <n v="5147"/>
    <n v="5"/>
    <n v="30882"/>
    <n v="1544.1"/>
    <n v="29337.9"/>
  </r>
  <r>
    <x v="1185"/>
    <x v="308"/>
    <s v="CUST27838"/>
    <x v="1"/>
    <n v="59"/>
    <x v="0"/>
    <x v="4"/>
    <x v="0"/>
    <x v="1"/>
    <n v="2"/>
    <n v="6178"/>
    <n v="15"/>
    <n v="12356"/>
    <n v="1853.4"/>
    <n v="10502.6"/>
  </r>
  <r>
    <x v="1186"/>
    <x v="532"/>
    <s v="CUST93123"/>
    <x v="1"/>
    <n v="59"/>
    <x v="0"/>
    <x v="0"/>
    <x v="3"/>
    <x v="3"/>
    <n v="2"/>
    <n v="7519"/>
    <n v="5"/>
    <n v="15038"/>
    <n v="751.9"/>
    <n v="14286.1"/>
  </r>
  <r>
    <x v="1187"/>
    <x v="194"/>
    <s v="CUST26543"/>
    <x v="0"/>
    <n v="35"/>
    <x v="1"/>
    <x v="1"/>
    <x v="0"/>
    <x v="1"/>
    <n v="4"/>
    <n v="5741"/>
    <n v="5"/>
    <n v="22964"/>
    <n v="1148.2"/>
    <n v="21815.8"/>
  </r>
  <r>
    <x v="1188"/>
    <x v="581"/>
    <s v="CUST20384"/>
    <x v="0"/>
    <n v="41"/>
    <x v="2"/>
    <x v="4"/>
    <x v="2"/>
    <x v="2"/>
    <n v="1"/>
    <n v="1985"/>
    <n v="0"/>
    <n v="1985"/>
    <n v="0"/>
    <n v="1985"/>
  </r>
  <r>
    <x v="1189"/>
    <x v="380"/>
    <s v="CUST87488"/>
    <x v="1"/>
    <n v="36"/>
    <x v="2"/>
    <x v="5"/>
    <x v="0"/>
    <x v="1"/>
    <n v="1"/>
    <n v="4605"/>
    <n v="10"/>
    <n v="4605"/>
    <n v="460.5"/>
    <n v="4144.5"/>
  </r>
  <r>
    <x v="1190"/>
    <x v="557"/>
    <s v="CUST85789"/>
    <x v="0"/>
    <n v="64"/>
    <x v="0"/>
    <x v="5"/>
    <x v="0"/>
    <x v="0"/>
    <n v="1"/>
    <n v="6326"/>
    <n v="0"/>
    <n v="6326"/>
    <n v="0"/>
    <n v="6326"/>
  </r>
  <r>
    <x v="1191"/>
    <x v="319"/>
    <s v="CUST21750"/>
    <x v="1"/>
    <n v="62"/>
    <x v="0"/>
    <x v="1"/>
    <x v="1"/>
    <x v="2"/>
    <n v="1"/>
    <n v="5348"/>
    <n v="10"/>
    <n v="5348"/>
    <n v="534.79999999999995"/>
    <n v="4813.2"/>
  </r>
  <r>
    <x v="1192"/>
    <x v="582"/>
    <s v="CUST74413"/>
    <x v="1"/>
    <n v="56"/>
    <x v="0"/>
    <x v="4"/>
    <x v="1"/>
    <x v="0"/>
    <n v="2"/>
    <n v="2118"/>
    <n v="0"/>
    <n v="4236"/>
    <n v="0"/>
    <n v="4236"/>
  </r>
  <r>
    <x v="1193"/>
    <x v="362"/>
    <s v="CUST52005"/>
    <x v="1"/>
    <n v="56"/>
    <x v="0"/>
    <x v="5"/>
    <x v="0"/>
    <x v="0"/>
    <n v="6"/>
    <n v="6303"/>
    <n v="5"/>
    <n v="37818"/>
    <n v="1890.9"/>
    <n v="35927.1"/>
  </r>
  <r>
    <x v="1194"/>
    <x v="464"/>
    <s v="CUST25799"/>
    <x v="1"/>
    <n v="52"/>
    <x v="0"/>
    <x v="5"/>
    <x v="3"/>
    <x v="0"/>
    <n v="5"/>
    <n v="3532"/>
    <n v="15"/>
    <n v="17660"/>
    <n v="2649"/>
    <n v="15011"/>
  </r>
  <r>
    <x v="1195"/>
    <x v="529"/>
    <s v="CUST93224"/>
    <x v="1"/>
    <n v="51"/>
    <x v="0"/>
    <x v="1"/>
    <x v="3"/>
    <x v="4"/>
    <n v="6"/>
    <n v="7591"/>
    <n v="15"/>
    <n v="45546"/>
    <n v="6831.9"/>
    <n v="38714.1"/>
  </r>
  <r>
    <x v="1196"/>
    <x v="19"/>
    <s v="CUST14123"/>
    <x v="1"/>
    <n v="42"/>
    <x v="2"/>
    <x v="3"/>
    <x v="0"/>
    <x v="2"/>
    <n v="5"/>
    <n v="2035"/>
    <n v="5"/>
    <n v="10175"/>
    <n v="508.75"/>
    <n v="9666.25"/>
  </r>
  <r>
    <x v="1197"/>
    <x v="474"/>
    <s v="CUST83416"/>
    <x v="0"/>
    <n v="56"/>
    <x v="0"/>
    <x v="1"/>
    <x v="3"/>
    <x v="0"/>
    <n v="5"/>
    <n v="190"/>
    <n v="0"/>
    <n v="950"/>
    <n v="0"/>
    <n v="950"/>
  </r>
  <r>
    <x v="1198"/>
    <x v="563"/>
    <s v="CUST22051"/>
    <x v="1"/>
    <n v="50"/>
    <x v="0"/>
    <x v="5"/>
    <x v="4"/>
    <x v="4"/>
    <n v="5"/>
    <n v="6883"/>
    <n v="10"/>
    <n v="34415"/>
    <n v="3441.5"/>
    <n v="30973.5"/>
  </r>
  <r>
    <x v="1199"/>
    <x v="583"/>
    <s v="CUST90454"/>
    <x v="1"/>
    <n v="52"/>
    <x v="0"/>
    <x v="0"/>
    <x v="0"/>
    <x v="3"/>
    <n v="1"/>
    <n v="2764"/>
    <n v="15"/>
    <n v="2764"/>
    <n v="414.6"/>
    <n v="2349.4"/>
  </r>
  <r>
    <x v="1200"/>
    <x v="120"/>
    <s v="CUST16170"/>
    <x v="0"/>
    <n v="39"/>
    <x v="2"/>
    <x v="2"/>
    <x v="5"/>
    <x v="4"/>
    <n v="4"/>
    <n v="7282"/>
    <n v="0"/>
    <n v="29128"/>
    <n v="0"/>
    <n v="29128"/>
  </r>
  <r>
    <x v="1201"/>
    <x v="199"/>
    <s v="CUST82105"/>
    <x v="0"/>
    <n v="60"/>
    <x v="0"/>
    <x v="5"/>
    <x v="0"/>
    <x v="2"/>
    <n v="6"/>
    <n v="3759"/>
    <n v="0"/>
    <n v="22554"/>
    <n v="0"/>
    <n v="22554"/>
  </r>
  <r>
    <x v="1202"/>
    <x v="279"/>
    <s v="CUST95199"/>
    <x v="1"/>
    <n v="18"/>
    <x v="3"/>
    <x v="1"/>
    <x v="5"/>
    <x v="2"/>
    <n v="2"/>
    <n v="3377"/>
    <n v="0"/>
    <n v="6754"/>
    <n v="0"/>
    <n v="6754"/>
  </r>
  <r>
    <x v="1203"/>
    <x v="580"/>
    <s v="CUST98342"/>
    <x v="0"/>
    <n v="40"/>
    <x v="2"/>
    <x v="3"/>
    <x v="0"/>
    <x v="0"/>
    <n v="7"/>
    <n v="627"/>
    <n v="10"/>
    <n v="4389"/>
    <n v="438.9"/>
    <n v="3950.1"/>
  </r>
  <r>
    <x v="1204"/>
    <x v="584"/>
    <s v="CUST71524"/>
    <x v="0"/>
    <n v="20"/>
    <x v="3"/>
    <x v="1"/>
    <x v="3"/>
    <x v="4"/>
    <n v="3"/>
    <n v="4487"/>
    <n v="5"/>
    <n v="13461"/>
    <n v="673.05"/>
    <n v="12787.95"/>
  </r>
  <r>
    <x v="1205"/>
    <x v="585"/>
    <s v="CUST20420"/>
    <x v="1"/>
    <n v="47"/>
    <x v="0"/>
    <x v="1"/>
    <x v="0"/>
    <x v="3"/>
    <n v="3"/>
    <n v="2036"/>
    <n v="0"/>
    <n v="6108"/>
    <n v="0"/>
    <n v="6108"/>
  </r>
  <r>
    <x v="1206"/>
    <x v="109"/>
    <s v="CUST79503"/>
    <x v="1"/>
    <n v="22"/>
    <x v="3"/>
    <x v="0"/>
    <x v="0"/>
    <x v="4"/>
    <n v="5"/>
    <n v="264"/>
    <n v="10"/>
    <n v="1320"/>
    <n v="132"/>
    <n v="1188"/>
  </r>
  <r>
    <x v="1207"/>
    <x v="18"/>
    <s v="CUST77733"/>
    <x v="1"/>
    <n v="31"/>
    <x v="1"/>
    <x v="3"/>
    <x v="4"/>
    <x v="3"/>
    <n v="5"/>
    <n v="5852"/>
    <n v="0"/>
    <n v="29260"/>
    <n v="0"/>
    <n v="29260"/>
  </r>
  <r>
    <x v="1208"/>
    <x v="22"/>
    <s v="CUST79866"/>
    <x v="1"/>
    <n v="31"/>
    <x v="1"/>
    <x v="4"/>
    <x v="4"/>
    <x v="4"/>
    <n v="4"/>
    <n v="366"/>
    <n v="15"/>
    <n v="1464"/>
    <n v="219.6"/>
    <n v="1244.4000000000001"/>
  </r>
  <r>
    <x v="1209"/>
    <x v="386"/>
    <s v="CUST17921"/>
    <x v="1"/>
    <n v="36"/>
    <x v="2"/>
    <x v="0"/>
    <x v="4"/>
    <x v="4"/>
    <n v="3"/>
    <n v="2771"/>
    <n v="5"/>
    <n v="8313"/>
    <n v="415.65"/>
    <n v="7897.35"/>
  </r>
  <r>
    <x v="1210"/>
    <x v="452"/>
    <s v="CUST30208"/>
    <x v="1"/>
    <n v="20"/>
    <x v="3"/>
    <x v="4"/>
    <x v="0"/>
    <x v="4"/>
    <n v="1"/>
    <n v="1405"/>
    <n v="5"/>
    <n v="1405"/>
    <n v="70.25"/>
    <n v="1334.75"/>
  </r>
  <r>
    <x v="1211"/>
    <x v="302"/>
    <s v="CUST84635"/>
    <x v="1"/>
    <n v="64"/>
    <x v="0"/>
    <x v="2"/>
    <x v="2"/>
    <x v="2"/>
    <n v="3"/>
    <n v="662"/>
    <n v="10"/>
    <n v="1986"/>
    <n v="198.6"/>
    <n v="1787.4"/>
  </r>
  <r>
    <x v="1212"/>
    <x v="586"/>
    <s v="CUST44437"/>
    <x v="1"/>
    <n v="22"/>
    <x v="3"/>
    <x v="2"/>
    <x v="3"/>
    <x v="3"/>
    <n v="5"/>
    <n v="2430"/>
    <n v="5"/>
    <n v="12150"/>
    <n v="607.5"/>
    <n v="11542.5"/>
  </r>
  <r>
    <x v="1213"/>
    <x v="587"/>
    <s v="CUST38746"/>
    <x v="0"/>
    <n v="23"/>
    <x v="3"/>
    <x v="0"/>
    <x v="2"/>
    <x v="0"/>
    <n v="4"/>
    <n v="1676"/>
    <n v="5"/>
    <n v="6704"/>
    <n v="335.2"/>
    <n v="6368.8"/>
  </r>
  <r>
    <x v="1214"/>
    <x v="574"/>
    <s v="CUST26512"/>
    <x v="0"/>
    <n v="30"/>
    <x v="1"/>
    <x v="2"/>
    <x v="5"/>
    <x v="3"/>
    <n v="1"/>
    <n v="7662"/>
    <n v="10"/>
    <n v="7662"/>
    <n v="766.2"/>
    <n v="6895.8"/>
  </r>
  <r>
    <x v="1215"/>
    <x v="588"/>
    <s v="CUST82303"/>
    <x v="1"/>
    <n v="54"/>
    <x v="0"/>
    <x v="4"/>
    <x v="4"/>
    <x v="1"/>
    <n v="3"/>
    <n v="5754"/>
    <n v="10"/>
    <n v="17262"/>
    <n v="1726.2"/>
    <n v="15535.8"/>
  </r>
  <r>
    <x v="1216"/>
    <x v="523"/>
    <s v="CUST83683"/>
    <x v="1"/>
    <n v="37"/>
    <x v="2"/>
    <x v="3"/>
    <x v="1"/>
    <x v="3"/>
    <n v="1"/>
    <n v="6676"/>
    <n v="10"/>
    <n v="6676"/>
    <n v="667.6"/>
    <n v="6008.4"/>
  </r>
  <r>
    <x v="1217"/>
    <x v="505"/>
    <s v="CUST74423"/>
    <x v="0"/>
    <n v="43"/>
    <x v="2"/>
    <x v="1"/>
    <x v="5"/>
    <x v="1"/>
    <n v="4"/>
    <n v="1819"/>
    <n v="0"/>
    <n v="7276"/>
    <n v="0"/>
    <n v="7276"/>
  </r>
  <r>
    <x v="1218"/>
    <x v="589"/>
    <s v="CUST36698"/>
    <x v="1"/>
    <n v="30"/>
    <x v="1"/>
    <x v="2"/>
    <x v="0"/>
    <x v="0"/>
    <n v="2"/>
    <n v="6558"/>
    <n v="5"/>
    <n v="13116"/>
    <n v="655.8"/>
    <n v="12460.2"/>
  </r>
  <r>
    <x v="1219"/>
    <x v="401"/>
    <s v="CUST63269"/>
    <x v="1"/>
    <n v="49"/>
    <x v="0"/>
    <x v="1"/>
    <x v="3"/>
    <x v="0"/>
    <n v="7"/>
    <n v="5809"/>
    <n v="20"/>
    <n v="40663"/>
    <n v="8132.6"/>
    <n v="32530.400000000001"/>
  </r>
  <r>
    <x v="1220"/>
    <x v="446"/>
    <s v="CUST85209"/>
    <x v="1"/>
    <n v="47"/>
    <x v="0"/>
    <x v="3"/>
    <x v="4"/>
    <x v="4"/>
    <n v="6"/>
    <n v="501"/>
    <n v="0"/>
    <n v="3006"/>
    <n v="0"/>
    <n v="3006"/>
  </r>
  <r>
    <x v="1221"/>
    <x v="346"/>
    <s v="CUST97362"/>
    <x v="1"/>
    <n v="41"/>
    <x v="2"/>
    <x v="2"/>
    <x v="1"/>
    <x v="2"/>
    <n v="7"/>
    <n v="4627"/>
    <n v="15"/>
    <n v="32389"/>
    <n v="4858.3500000000004"/>
    <n v="27530.65"/>
  </r>
  <r>
    <x v="1222"/>
    <x v="454"/>
    <s v="CUST23893"/>
    <x v="0"/>
    <n v="29"/>
    <x v="1"/>
    <x v="4"/>
    <x v="5"/>
    <x v="2"/>
    <n v="2"/>
    <n v="6761"/>
    <n v="10"/>
    <n v="13522"/>
    <n v="1352.2"/>
    <n v="12169.8"/>
  </r>
  <r>
    <x v="1223"/>
    <x v="57"/>
    <s v="CUST18752"/>
    <x v="1"/>
    <n v="44"/>
    <x v="2"/>
    <x v="1"/>
    <x v="2"/>
    <x v="3"/>
    <n v="2"/>
    <n v="2555"/>
    <n v="0"/>
    <n v="5110"/>
    <n v="0"/>
    <n v="5110"/>
  </r>
  <r>
    <x v="1224"/>
    <x v="373"/>
    <s v="CUST45019"/>
    <x v="0"/>
    <n v="42"/>
    <x v="2"/>
    <x v="2"/>
    <x v="0"/>
    <x v="2"/>
    <n v="7"/>
    <n v="1267"/>
    <n v="10"/>
    <n v="8869"/>
    <n v="886.9"/>
    <n v="7982.1"/>
  </r>
  <r>
    <x v="1225"/>
    <x v="225"/>
    <s v="CUST95834"/>
    <x v="0"/>
    <n v="47"/>
    <x v="0"/>
    <x v="2"/>
    <x v="0"/>
    <x v="0"/>
    <n v="2"/>
    <n v="1151"/>
    <n v="0"/>
    <n v="2302"/>
    <n v="0"/>
    <n v="2302"/>
  </r>
  <r>
    <x v="1226"/>
    <x v="590"/>
    <s v="CUST27463"/>
    <x v="0"/>
    <n v="35"/>
    <x v="1"/>
    <x v="3"/>
    <x v="0"/>
    <x v="4"/>
    <n v="4"/>
    <n v="5412"/>
    <n v="0"/>
    <n v="21648"/>
    <n v="0"/>
    <n v="21648"/>
  </r>
  <r>
    <x v="1227"/>
    <x v="406"/>
    <s v="CUST95419"/>
    <x v="1"/>
    <n v="47"/>
    <x v="0"/>
    <x v="0"/>
    <x v="2"/>
    <x v="4"/>
    <n v="5"/>
    <n v="6326"/>
    <n v="0"/>
    <n v="31630"/>
    <n v="0"/>
    <n v="31630"/>
  </r>
  <r>
    <x v="1228"/>
    <x v="211"/>
    <s v="CUST40061"/>
    <x v="1"/>
    <n v="42"/>
    <x v="2"/>
    <x v="1"/>
    <x v="3"/>
    <x v="0"/>
    <n v="7"/>
    <n v="3378"/>
    <n v="0"/>
    <n v="23646"/>
    <n v="0"/>
    <n v="23646"/>
  </r>
  <r>
    <x v="1229"/>
    <x v="34"/>
    <s v="CUST30341"/>
    <x v="0"/>
    <n v="50"/>
    <x v="0"/>
    <x v="0"/>
    <x v="0"/>
    <x v="4"/>
    <n v="6"/>
    <n v="7512"/>
    <n v="10"/>
    <n v="45072"/>
    <n v="4507.2"/>
    <n v="40564.800000000003"/>
  </r>
  <r>
    <x v="1230"/>
    <x v="90"/>
    <s v="CUST90407"/>
    <x v="1"/>
    <n v="47"/>
    <x v="0"/>
    <x v="2"/>
    <x v="0"/>
    <x v="4"/>
    <n v="2"/>
    <n v="2078"/>
    <n v="5"/>
    <n v="4156"/>
    <n v="207.8"/>
    <n v="3948.2"/>
  </r>
  <r>
    <x v="1231"/>
    <x v="384"/>
    <s v="CUST90564"/>
    <x v="1"/>
    <n v="31"/>
    <x v="1"/>
    <x v="0"/>
    <x v="4"/>
    <x v="4"/>
    <n v="1"/>
    <n v="2106"/>
    <n v="0"/>
    <n v="2106"/>
    <n v="0"/>
    <n v="2106"/>
  </r>
  <r>
    <x v="1232"/>
    <x v="556"/>
    <s v="CUST25653"/>
    <x v="0"/>
    <n v="42"/>
    <x v="2"/>
    <x v="1"/>
    <x v="4"/>
    <x v="2"/>
    <n v="2"/>
    <n v="1486"/>
    <n v="0"/>
    <n v="2972"/>
    <n v="0"/>
    <n v="2972"/>
  </r>
  <r>
    <x v="1233"/>
    <x v="226"/>
    <s v="CUST46401"/>
    <x v="0"/>
    <n v="40"/>
    <x v="2"/>
    <x v="0"/>
    <x v="5"/>
    <x v="1"/>
    <n v="4"/>
    <n v="3713"/>
    <n v="5"/>
    <n v="14852"/>
    <n v="742.6"/>
    <n v="14109.4"/>
  </r>
  <r>
    <x v="1234"/>
    <x v="353"/>
    <s v="CUST80534"/>
    <x v="1"/>
    <n v="22"/>
    <x v="3"/>
    <x v="5"/>
    <x v="1"/>
    <x v="2"/>
    <n v="1"/>
    <n v="5983"/>
    <n v="15"/>
    <n v="5983"/>
    <n v="897.45"/>
    <n v="5085.55"/>
  </r>
  <r>
    <x v="1235"/>
    <x v="481"/>
    <s v="CUST72328"/>
    <x v="0"/>
    <n v="53"/>
    <x v="0"/>
    <x v="3"/>
    <x v="2"/>
    <x v="0"/>
    <n v="4"/>
    <n v="7678"/>
    <n v="10"/>
    <n v="30712"/>
    <n v="3071.2"/>
    <n v="27640.799999999999"/>
  </r>
  <r>
    <x v="1236"/>
    <x v="503"/>
    <s v="CUST83727"/>
    <x v="0"/>
    <n v="27"/>
    <x v="1"/>
    <x v="1"/>
    <x v="2"/>
    <x v="2"/>
    <n v="3"/>
    <n v="2329"/>
    <n v="10"/>
    <n v="6987"/>
    <n v="698.7"/>
    <n v="6288.3"/>
  </r>
  <r>
    <x v="1237"/>
    <x v="348"/>
    <s v="CUST10076"/>
    <x v="1"/>
    <n v="41"/>
    <x v="2"/>
    <x v="0"/>
    <x v="0"/>
    <x v="3"/>
    <n v="2"/>
    <n v="4860"/>
    <n v="20"/>
    <n v="9720"/>
    <n v="1944"/>
    <n v="7776"/>
  </r>
  <r>
    <x v="1238"/>
    <x v="197"/>
    <s v="CUST60704"/>
    <x v="1"/>
    <n v="29"/>
    <x v="1"/>
    <x v="2"/>
    <x v="3"/>
    <x v="3"/>
    <n v="6"/>
    <n v="5600"/>
    <n v="10"/>
    <n v="33600"/>
    <n v="3360"/>
    <n v="30240"/>
  </r>
  <r>
    <x v="1239"/>
    <x v="21"/>
    <s v="CUST32821"/>
    <x v="1"/>
    <n v="45"/>
    <x v="2"/>
    <x v="5"/>
    <x v="1"/>
    <x v="0"/>
    <n v="4"/>
    <n v="944"/>
    <n v="5"/>
    <n v="3776"/>
    <n v="188.8"/>
    <n v="3587.2"/>
  </r>
  <r>
    <x v="1240"/>
    <x v="591"/>
    <s v="CUST25015"/>
    <x v="0"/>
    <n v="62"/>
    <x v="0"/>
    <x v="0"/>
    <x v="0"/>
    <x v="4"/>
    <n v="4"/>
    <n v="3263"/>
    <n v="10"/>
    <n v="13052"/>
    <n v="1305.2"/>
    <n v="11746.8"/>
  </r>
  <r>
    <x v="1241"/>
    <x v="152"/>
    <s v="CUST73489"/>
    <x v="0"/>
    <n v="28"/>
    <x v="1"/>
    <x v="4"/>
    <x v="0"/>
    <x v="4"/>
    <n v="2"/>
    <n v="790"/>
    <n v="0"/>
    <n v="1580"/>
    <n v="0"/>
    <n v="1580"/>
  </r>
  <r>
    <x v="1242"/>
    <x v="258"/>
    <s v="CUST46303"/>
    <x v="1"/>
    <n v="45"/>
    <x v="2"/>
    <x v="2"/>
    <x v="3"/>
    <x v="2"/>
    <n v="4"/>
    <n v="3667"/>
    <n v="20"/>
    <n v="14668"/>
    <n v="2933.6"/>
    <n v="11734.4"/>
  </r>
  <r>
    <x v="1243"/>
    <x v="152"/>
    <s v="CUST56258"/>
    <x v="0"/>
    <n v="31"/>
    <x v="1"/>
    <x v="5"/>
    <x v="3"/>
    <x v="4"/>
    <n v="4"/>
    <n v="5345"/>
    <n v="0"/>
    <n v="21380"/>
    <n v="0"/>
    <n v="21380"/>
  </r>
  <r>
    <x v="1244"/>
    <x v="524"/>
    <s v="CUST65518"/>
    <x v="1"/>
    <n v="27"/>
    <x v="1"/>
    <x v="5"/>
    <x v="3"/>
    <x v="3"/>
    <n v="5"/>
    <n v="1952"/>
    <n v="15"/>
    <n v="9760"/>
    <n v="1464"/>
    <n v="8296"/>
  </r>
  <r>
    <x v="1245"/>
    <x v="363"/>
    <s v="CUST66576"/>
    <x v="1"/>
    <n v="21"/>
    <x v="3"/>
    <x v="2"/>
    <x v="3"/>
    <x v="2"/>
    <n v="4"/>
    <n v="5654"/>
    <n v="0"/>
    <n v="22616"/>
    <n v="0"/>
    <n v="22616"/>
  </r>
  <r>
    <x v="1246"/>
    <x v="316"/>
    <s v="CUST38768"/>
    <x v="1"/>
    <n v="42"/>
    <x v="2"/>
    <x v="5"/>
    <x v="3"/>
    <x v="3"/>
    <n v="4"/>
    <n v="1659"/>
    <n v="0"/>
    <n v="6636"/>
    <n v="0"/>
    <n v="6636"/>
  </r>
  <r>
    <x v="1247"/>
    <x v="550"/>
    <s v="CUST62621"/>
    <x v="0"/>
    <n v="56"/>
    <x v="0"/>
    <x v="1"/>
    <x v="0"/>
    <x v="3"/>
    <n v="1"/>
    <n v="5143"/>
    <n v="5"/>
    <n v="5143"/>
    <n v="257.14999999999998"/>
    <n v="4885.8500000000004"/>
  </r>
  <r>
    <x v="1248"/>
    <x v="370"/>
    <s v="CUST60656"/>
    <x v="1"/>
    <n v="38"/>
    <x v="2"/>
    <x v="2"/>
    <x v="2"/>
    <x v="3"/>
    <n v="2"/>
    <n v="2902"/>
    <n v="0"/>
    <n v="5804"/>
    <n v="0"/>
    <n v="5804"/>
  </r>
  <r>
    <x v="1249"/>
    <x v="437"/>
    <s v="CUST80275"/>
    <x v="0"/>
    <n v="53"/>
    <x v="0"/>
    <x v="3"/>
    <x v="5"/>
    <x v="4"/>
    <n v="1"/>
    <n v="3435"/>
    <n v="0"/>
    <n v="3435"/>
    <n v="0"/>
    <n v="3435"/>
  </r>
  <r>
    <x v="1250"/>
    <x v="27"/>
    <s v="CUST34828"/>
    <x v="0"/>
    <n v="26"/>
    <x v="1"/>
    <x v="5"/>
    <x v="0"/>
    <x v="0"/>
    <n v="5"/>
    <n v="2470"/>
    <n v="5"/>
    <n v="12350"/>
    <n v="617.5"/>
    <n v="11732.5"/>
  </r>
  <r>
    <x v="1251"/>
    <x v="592"/>
    <s v="CUST24563"/>
    <x v="0"/>
    <n v="56"/>
    <x v="0"/>
    <x v="4"/>
    <x v="1"/>
    <x v="2"/>
    <n v="3"/>
    <n v="5502"/>
    <n v="0"/>
    <n v="16506"/>
    <n v="0"/>
    <n v="16506"/>
  </r>
  <r>
    <x v="1252"/>
    <x v="593"/>
    <s v="CUST47642"/>
    <x v="1"/>
    <n v="61"/>
    <x v="0"/>
    <x v="3"/>
    <x v="1"/>
    <x v="0"/>
    <n v="7"/>
    <n v="3215"/>
    <n v="5"/>
    <n v="22505"/>
    <n v="1125.25"/>
    <n v="21379.75"/>
  </r>
  <r>
    <x v="1253"/>
    <x v="302"/>
    <s v="CUST41674"/>
    <x v="1"/>
    <n v="46"/>
    <x v="0"/>
    <x v="0"/>
    <x v="3"/>
    <x v="1"/>
    <n v="5"/>
    <n v="7498"/>
    <n v="0"/>
    <n v="37490"/>
    <n v="0"/>
    <n v="37490"/>
  </r>
  <r>
    <x v="1254"/>
    <x v="211"/>
    <s v="CUST19343"/>
    <x v="0"/>
    <n v="34"/>
    <x v="1"/>
    <x v="3"/>
    <x v="1"/>
    <x v="3"/>
    <n v="5"/>
    <n v="5668"/>
    <n v="0"/>
    <n v="28340"/>
    <n v="0"/>
    <n v="28340"/>
  </r>
  <r>
    <x v="1255"/>
    <x v="588"/>
    <s v="CUST82253"/>
    <x v="0"/>
    <n v="42"/>
    <x v="2"/>
    <x v="3"/>
    <x v="0"/>
    <x v="0"/>
    <n v="1"/>
    <n v="5335"/>
    <n v="5"/>
    <n v="5335"/>
    <n v="266.75"/>
    <n v="5068.25"/>
  </r>
  <r>
    <x v="1256"/>
    <x v="412"/>
    <s v="CUST26401"/>
    <x v="0"/>
    <n v="27"/>
    <x v="1"/>
    <x v="4"/>
    <x v="2"/>
    <x v="2"/>
    <n v="5"/>
    <n v="5212"/>
    <n v="0"/>
    <n v="26060"/>
    <n v="0"/>
    <n v="26060"/>
  </r>
  <r>
    <x v="1257"/>
    <x v="594"/>
    <s v="CUST77798"/>
    <x v="1"/>
    <n v="49"/>
    <x v="0"/>
    <x v="1"/>
    <x v="3"/>
    <x v="0"/>
    <n v="2"/>
    <n v="3804"/>
    <n v="10"/>
    <n v="7608"/>
    <n v="760.8"/>
    <n v="6847.2"/>
  </r>
  <r>
    <x v="1258"/>
    <x v="595"/>
    <s v="CUST71275"/>
    <x v="0"/>
    <n v="56"/>
    <x v="0"/>
    <x v="2"/>
    <x v="0"/>
    <x v="0"/>
    <n v="3"/>
    <n v="4517"/>
    <n v="10"/>
    <n v="13551"/>
    <n v="1355.1"/>
    <n v="12195.9"/>
  </r>
  <r>
    <x v="1259"/>
    <x v="596"/>
    <s v="CUST77752"/>
    <x v="1"/>
    <n v="51"/>
    <x v="0"/>
    <x v="3"/>
    <x v="1"/>
    <x v="2"/>
    <n v="2"/>
    <n v="4436"/>
    <n v="0"/>
    <n v="8872"/>
    <n v="0"/>
    <n v="8872"/>
  </r>
  <r>
    <x v="1260"/>
    <x v="597"/>
    <s v="CUST79487"/>
    <x v="1"/>
    <n v="27"/>
    <x v="1"/>
    <x v="0"/>
    <x v="5"/>
    <x v="4"/>
    <n v="5"/>
    <n v="656"/>
    <n v="5"/>
    <n v="3280"/>
    <n v="164"/>
    <n v="3116"/>
  </r>
  <r>
    <x v="1261"/>
    <x v="258"/>
    <s v="CUST61131"/>
    <x v="1"/>
    <n v="43"/>
    <x v="2"/>
    <x v="2"/>
    <x v="1"/>
    <x v="1"/>
    <n v="4"/>
    <n v="1054"/>
    <n v="15"/>
    <n v="4216"/>
    <n v="632.4"/>
    <n v="3583.6"/>
  </r>
  <r>
    <x v="1262"/>
    <x v="524"/>
    <s v="CUST91964"/>
    <x v="0"/>
    <n v="28"/>
    <x v="1"/>
    <x v="4"/>
    <x v="1"/>
    <x v="0"/>
    <n v="7"/>
    <n v="784"/>
    <n v="0"/>
    <n v="5488"/>
    <n v="0"/>
    <n v="5488"/>
  </r>
  <r>
    <x v="1263"/>
    <x v="33"/>
    <s v="CUST71016"/>
    <x v="0"/>
    <n v="18"/>
    <x v="3"/>
    <x v="1"/>
    <x v="4"/>
    <x v="3"/>
    <n v="1"/>
    <n v="6628"/>
    <n v="15"/>
    <n v="6628"/>
    <n v="994.2"/>
    <n v="5633.8"/>
  </r>
  <r>
    <x v="1264"/>
    <x v="306"/>
    <s v="CUST43197"/>
    <x v="1"/>
    <n v="22"/>
    <x v="3"/>
    <x v="4"/>
    <x v="1"/>
    <x v="1"/>
    <n v="7"/>
    <n v="624"/>
    <n v="0"/>
    <n v="4368"/>
    <n v="0"/>
    <n v="4368"/>
  </r>
  <r>
    <x v="1265"/>
    <x v="427"/>
    <s v="CUST75591"/>
    <x v="0"/>
    <n v="19"/>
    <x v="3"/>
    <x v="3"/>
    <x v="1"/>
    <x v="2"/>
    <n v="4"/>
    <n v="3394"/>
    <n v="0"/>
    <n v="13576"/>
    <n v="0"/>
    <n v="13576"/>
  </r>
  <r>
    <x v="1266"/>
    <x v="216"/>
    <s v="CUST98749"/>
    <x v="0"/>
    <n v="18"/>
    <x v="3"/>
    <x v="4"/>
    <x v="0"/>
    <x v="3"/>
    <n v="6"/>
    <n v="4810"/>
    <n v="10"/>
    <n v="28860"/>
    <n v="2886"/>
    <n v="25974"/>
  </r>
  <r>
    <x v="1267"/>
    <x v="0"/>
    <s v="CUST13209"/>
    <x v="0"/>
    <n v="33"/>
    <x v="1"/>
    <x v="3"/>
    <x v="1"/>
    <x v="1"/>
    <n v="2"/>
    <n v="3661"/>
    <n v="5"/>
    <n v="7322"/>
    <n v="366.1"/>
    <n v="6955.9"/>
  </r>
  <r>
    <x v="1268"/>
    <x v="93"/>
    <s v="CUST86137"/>
    <x v="1"/>
    <n v="37"/>
    <x v="2"/>
    <x v="2"/>
    <x v="1"/>
    <x v="0"/>
    <n v="2"/>
    <n v="4595"/>
    <n v="0"/>
    <n v="9190"/>
    <n v="0"/>
    <n v="9190"/>
  </r>
  <r>
    <x v="1269"/>
    <x v="598"/>
    <s v="CUST59697"/>
    <x v="1"/>
    <n v="42"/>
    <x v="2"/>
    <x v="5"/>
    <x v="5"/>
    <x v="0"/>
    <n v="6"/>
    <n v="1682"/>
    <n v="15"/>
    <n v="10092"/>
    <n v="1513.8"/>
    <n v="8578.2000000000007"/>
  </r>
  <r>
    <x v="1270"/>
    <x v="590"/>
    <s v="CUST97395"/>
    <x v="1"/>
    <n v="60"/>
    <x v="0"/>
    <x v="1"/>
    <x v="4"/>
    <x v="4"/>
    <n v="5"/>
    <n v="3051"/>
    <n v="0"/>
    <n v="15255"/>
    <n v="0"/>
    <n v="15255"/>
  </r>
  <r>
    <x v="1271"/>
    <x v="370"/>
    <s v="CUST25307"/>
    <x v="1"/>
    <n v="30"/>
    <x v="1"/>
    <x v="4"/>
    <x v="0"/>
    <x v="0"/>
    <n v="1"/>
    <n v="2486"/>
    <n v="0"/>
    <n v="2486"/>
    <n v="0"/>
    <n v="2486"/>
  </r>
  <r>
    <x v="1272"/>
    <x v="566"/>
    <s v="CUST58151"/>
    <x v="1"/>
    <n v="47"/>
    <x v="0"/>
    <x v="5"/>
    <x v="4"/>
    <x v="0"/>
    <n v="7"/>
    <n v="4118"/>
    <n v="10"/>
    <n v="28826"/>
    <n v="2882.6"/>
    <n v="25943.4"/>
  </r>
  <r>
    <x v="1273"/>
    <x v="309"/>
    <s v="CUST99085"/>
    <x v="1"/>
    <n v="58"/>
    <x v="0"/>
    <x v="1"/>
    <x v="0"/>
    <x v="1"/>
    <n v="1"/>
    <n v="1578"/>
    <n v="0"/>
    <n v="1578"/>
    <n v="0"/>
    <n v="1578"/>
  </r>
  <r>
    <x v="1274"/>
    <x v="199"/>
    <s v="CUST56826"/>
    <x v="1"/>
    <n v="52"/>
    <x v="0"/>
    <x v="0"/>
    <x v="3"/>
    <x v="1"/>
    <n v="2"/>
    <n v="4323"/>
    <n v="20"/>
    <n v="8646"/>
    <n v="1729.2"/>
    <n v="6916.8"/>
  </r>
  <r>
    <x v="1275"/>
    <x v="85"/>
    <s v="CUST51796"/>
    <x v="0"/>
    <n v="64"/>
    <x v="0"/>
    <x v="4"/>
    <x v="3"/>
    <x v="4"/>
    <n v="1"/>
    <n v="2373"/>
    <n v="5"/>
    <n v="2373"/>
    <n v="118.65"/>
    <n v="2254.35"/>
  </r>
  <r>
    <x v="1276"/>
    <x v="461"/>
    <s v="CUST72962"/>
    <x v="0"/>
    <n v="61"/>
    <x v="0"/>
    <x v="0"/>
    <x v="5"/>
    <x v="1"/>
    <n v="1"/>
    <n v="3007"/>
    <n v="10"/>
    <n v="3007"/>
    <n v="300.7"/>
    <n v="2706.3"/>
  </r>
  <r>
    <x v="1277"/>
    <x v="599"/>
    <s v="CUST63047"/>
    <x v="1"/>
    <n v="48"/>
    <x v="0"/>
    <x v="5"/>
    <x v="5"/>
    <x v="2"/>
    <n v="4"/>
    <n v="3279"/>
    <n v="0"/>
    <n v="13116"/>
    <n v="0"/>
    <n v="13116"/>
  </r>
  <r>
    <x v="1278"/>
    <x v="244"/>
    <s v="CUST31035"/>
    <x v="1"/>
    <n v="18"/>
    <x v="3"/>
    <x v="1"/>
    <x v="2"/>
    <x v="0"/>
    <n v="6"/>
    <n v="3462"/>
    <n v="0"/>
    <n v="20772"/>
    <n v="0"/>
    <n v="20772"/>
  </r>
  <r>
    <x v="1279"/>
    <x v="600"/>
    <s v="CUST12802"/>
    <x v="0"/>
    <n v="54"/>
    <x v="0"/>
    <x v="2"/>
    <x v="1"/>
    <x v="2"/>
    <n v="7"/>
    <n v="7859"/>
    <n v="15"/>
    <n v="55013"/>
    <n v="8251.9500000000007"/>
    <n v="46761.05"/>
  </r>
  <r>
    <x v="1280"/>
    <x v="533"/>
    <s v="CUST30862"/>
    <x v="1"/>
    <n v="62"/>
    <x v="0"/>
    <x v="5"/>
    <x v="0"/>
    <x v="4"/>
    <n v="5"/>
    <n v="4249"/>
    <n v="0"/>
    <n v="21245"/>
    <n v="0"/>
    <n v="21245"/>
  </r>
  <r>
    <x v="1281"/>
    <x v="601"/>
    <s v="CUST95955"/>
    <x v="1"/>
    <n v="42"/>
    <x v="2"/>
    <x v="1"/>
    <x v="2"/>
    <x v="4"/>
    <n v="5"/>
    <n v="5370"/>
    <n v="15"/>
    <n v="26850"/>
    <n v="4027.5"/>
    <n v="22822.5"/>
  </r>
  <r>
    <x v="1282"/>
    <x v="602"/>
    <s v="CUST99840"/>
    <x v="1"/>
    <n v="56"/>
    <x v="0"/>
    <x v="2"/>
    <x v="3"/>
    <x v="2"/>
    <n v="7"/>
    <n v="2397"/>
    <n v="0"/>
    <n v="16779"/>
    <n v="0"/>
    <n v="16779"/>
  </r>
  <r>
    <x v="1283"/>
    <x v="543"/>
    <s v="CUST18338"/>
    <x v="0"/>
    <n v="20"/>
    <x v="3"/>
    <x v="5"/>
    <x v="1"/>
    <x v="3"/>
    <n v="4"/>
    <n v="4273"/>
    <n v="15"/>
    <n v="17092"/>
    <n v="2563.8000000000002"/>
    <n v="14528.2"/>
  </r>
  <r>
    <x v="1284"/>
    <x v="332"/>
    <s v="CUST51530"/>
    <x v="1"/>
    <n v="38"/>
    <x v="2"/>
    <x v="4"/>
    <x v="0"/>
    <x v="0"/>
    <n v="2"/>
    <n v="7294"/>
    <n v="15"/>
    <n v="14588"/>
    <n v="2188.1999999999998"/>
    <n v="12399.8"/>
  </r>
  <r>
    <x v="1285"/>
    <x v="603"/>
    <s v="CUST73252"/>
    <x v="1"/>
    <n v="42"/>
    <x v="2"/>
    <x v="3"/>
    <x v="5"/>
    <x v="3"/>
    <n v="2"/>
    <n v="6536"/>
    <n v="10"/>
    <n v="13072"/>
    <n v="1307.2"/>
    <n v="11764.8"/>
  </r>
  <r>
    <x v="1286"/>
    <x v="82"/>
    <s v="CUST16761"/>
    <x v="0"/>
    <n v="53"/>
    <x v="0"/>
    <x v="3"/>
    <x v="0"/>
    <x v="4"/>
    <n v="7"/>
    <n v="5813"/>
    <n v="0"/>
    <n v="40691"/>
    <n v="0"/>
    <n v="40691"/>
  </r>
  <r>
    <x v="1287"/>
    <x v="21"/>
    <s v="CUST82983"/>
    <x v="1"/>
    <n v="42"/>
    <x v="2"/>
    <x v="3"/>
    <x v="4"/>
    <x v="4"/>
    <n v="6"/>
    <n v="4120"/>
    <n v="0"/>
    <n v="24720"/>
    <n v="0"/>
    <n v="24720"/>
  </r>
  <r>
    <x v="1288"/>
    <x v="312"/>
    <s v="CUST72053"/>
    <x v="1"/>
    <n v="34"/>
    <x v="1"/>
    <x v="3"/>
    <x v="1"/>
    <x v="4"/>
    <n v="1"/>
    <n v="1713"/>
    <n v="10"/>
    <n v="1713"/>
    <n v="171.3"/>
    <n v="1541.7"/>
  </r>
  <r>
    <x v="1289"/>
    <x v="524"/>
    <s v="CUST70369"/>
    <x v="0"/>
    <n v="64"/>
    <x v="0"/>
    <x v="1"/>
    <x v="5"/>
    <x v="1"/>
    <n v="7"/>
    <n v="7762"/>
    <n v="15"/>
    <n v="54334"/>
    <n v="8150.1"/>
    <n v="46183.9"/>
  </r>
  <r>
    <x v="1290"/>
    <x v="308"/>
    <s v="CUST85246"/>
    <x v="0"/>
    <n v="19"/>
    <x v="3"/>
    <x v="0"/>
    <x v="3"/>
    <x v="1"/>
    <n v="6"/>
    <n v="3876"/>
    <n v="0"/>
    <n v="23256"/>
    <n v="0"/>
    <n v="23256"/>
  </r>
  <r>
    <x v="1291"/>
    <x v="0"/>
    <s v="CUST81933"/>
    <x v="1"/>
    <n v="48"/>
    <x v="0"/>
    <x v="4"/>
    <x v="3"/>
    <x v="0"/>
    <n v="5"/>
    <n v="3194"/>
    <n v="15"/>
    <n v="15970"/>
    <n v="2395.5"/>
    <n v="13574.5"/>
  </r>
  <r>
    <x v="1292"/>
    <x v="407"/>
    <s v="CUST98336"/>
    <x v="1"/>
    <n v="19"/>
    <x v="3"/>
    <x v="2"/>
    <x v="3"/>
    <x v="3"/>
    <n v="2"/>
    <n v="7191"/>
    <n v="10"/>
    <n v="14382"/>
    <n v="1438.2"/>
    <n v="12943.8"/>
  </r>
  <r>
    <x v="1293"/>
    <x v="337"/>
    <s v="CUST53832"/>
    <x v="0"/>
    <n v="39"/>
    <x v="2"/>
    <x v="3"/>
    <x v="3"/>
    <x v="0"/>
    <n v="1"/>
    <n v="6384"/>
    <n v="10"/>
    <n v="6384"/>
    <n v="638.4"/>
    <n v="5745.6"/>
  </r>
  <r>
    <x v="1294"/>
    <x v="281"/>
    <s v="CUST17452"/>
    <x v="1"/>
    <n v="47"/>
    <x v="0"/>
    <x v="2"/>
    <x v="0"/>
    <x v="1"/>
    <n v="4"/>
    <n v="3236"/>
    <n v="0"/>
    <n v="12944"/>
    <n v="0"/>
    <n v="12944"/>
  </r>
  <r>
    <x v="1295"/>
    <x v="604"/>
    <s v="CUST42606"/>
    <x v="0"/>
    <n v="49"/>
    <x v="0"/>
    <x v="5"/>
    <x v="3"/>
    <x v="1"/>
    <n v="1"/>
    <n v="7801"/>
    <n v="5"/>
    <n v="7801"/>
    <n v="390.05"/>
    <n v="7410.95"/>
  </r>
  <r>
    <x v="1296"/>
    <x v="443"/>
    <s v="CUST35863"/>
    <x v="1"/>
    <n v="61"/>
    <x v="0"/>
    <x v="0"/>
    <x v="2"/>
    <x v="2"/>
    <n v="2"/>
    <n v="5084"/>
    <n v="0"/>
    <n v="10168"/>
    <n v="0"/>
    <n v="10168"/>
  </r>
  <r>
    <x v="1297"/>
    <x v="351"/>
    <s v="CUST85882"/>
    <x v="1"/>
    <n v="19"/>
    <x v="3"/>
    <x v="1"/>
    <x v="2"/>
    <x v="0"/>
    <n v="2"/>
    <n v="5800"/>
    <n v="15"/>
    <n v="11600"/>
    <n v="1740"/>
    <n v="9860"/>
  </r>
  <r>
    <x v="1298"/>
    <x v="161"/>
    <s v="CUST27103"/>
    <x v="1"/>
    <n v="30"/>
    <x v="1"/>
    <x v="4"/>
    <x v="1"/>
    <x v="2"/>
    <n v="1"/>
    <n v="6936"/>
    <n v="15"/>
    <n v="6936"/>
    <n v="1040.4000000000001"/>
    <n v="5895.6"/>
  </r>
  <r>
    <x v="1299"/>
    <x v="520"/>
    <s v="CUST56660"/>
    <x v="1"/>
    <n v="56"/>
    <x v="0"/>
    <x v="5"/>
    <x v="0"/>
    <x v="3"/>
    <n v="3"/>
    <n v="6877"/>
    <n v="15"/>
    <n v="20631"/>
    <n v="3094.65"/>
    <n v="17536.349999999999"/>
  </r>
  <r>
    <x v="1300"/>
    <x v="204"/>
    <s v="CUST28474"/>
    <x v="0"/>
    <n v="45"/>
    <x v="2"/>
    <x v="5"/>
    <x v="0"/>
    <x v="3"/>
    <n v="4"/>
    <n v="175"/>
    <n v="15"/>
    <n v="700"/>
    <n v="105"/>
    <n v="595"/>
  </r>
  <r>
    <x v="1301"/>
    <x v="62"/>
    <s v="CUST76149"/>
    <x v="0"/>
    <n v="43"/>
    <x v="2"/>
    <x v="4"/>
    <x v="5"/>
    <x v="1"/>
    <n v="5"/>
    <n v="2622"/>
    <n v="10"/>
    <n v="13110"/>
    <n v="1311"/>
    <n v="11799"/>
  </r>
  <r>
    <x v="1302"/>
    <x v="383"/>
    <s v="CUST33740"/>
    <x v="1"/>
    <n v="19"/>
    <x v="3"/>
    <x v="3"/>
    <x v="0"/>
    <x v="0"/>
    <n v="2"/>
    <n v="3307"/>
    <n v="15"/>
    <n v="6614"/>
    <n v="992.1"/>
    <n v="5621.9"/>
  </r>
  <r>
    <x v="1303"/>
    <x v="308"/>
    <s v="CUST14675"/>
    <x v="1"/>
    <n v="37"/>
    <x v="2"/>
    <x v="5"/>
    <x v="5"/>
    <x v="2"/>
    <n v="4"/>
    <n v="4932"/>
    <n v="0"/>
    <n v="19728"/>
    <n v="0"/>
    <n v="19728"/>
  </r>
  <r>
    <x v="1304"/>
    <x v="121"/>
    <s v="CUST58076"/>
    <x v="0"/>
    <n v="29"/>
    <x v="1"/>
    <x v="1"/>
    <x v="0"/>
    <x v="3"/>
    <n v="4"/>
    <n v="6276"/>
    <n v="0"/>
    <n v="25104"/>
    <n v="0"/>
    <n v="25104"/>
  </r>
  <r>
    <x v="1305"/>
    <x v="16"/>
    <s v="CUST92639"/>
    <x v="0"/>
    <n v="21"/>
    <x v="3"/>
    <x v="4"/>
    <x v="2"/>
    <x v="2"/>
    <n v="2"/>
    <n v="393"/>
    <n v="20"/>
    <n v="786"/>
    <n v="157.19999999999999"/>
    <n v="628.79999999999995"/>
  </r>
  <r>
    <x v="1306"/>
    <x v="499"/>
    <s v="CUST83265"/>
    <x v="0"/>
    <n v="22"/>
    <x v="3"/>
    <x v="2"/>
    <x v="5"/>
    <x v="4"/>
    <n v="5"/>
    <n v="2894"/>
    <n v="0"/>
    <n v="14470"/>
    <n v="0"/>
    <n v="14470"/>
  </r>
  <r>
    <x v="1307"/>
    <x v="25"/>
    <s v="CUST97016"/>
    <x v="0"/>
    <n v="64"/>
    <x v="0"/>
    <x v="4"/>
    <x v="1"/>
    <x v="2"/>
    <n v="6"/>
    <n v="2966"/>
    <n v="15"/>
    <n v="17796"/>
    <n v="2669.4"/>
    <n v="15126.6"/>
  </r>
  <r>
    <x v="1308"/>
    <x v="489"/>
    <s v="CUST57224"/>
    <x v="1"/>
    <n v="42"/>
    <x v="2"/>
    <x v="2"/>
    <x v="3"/>
    <x v="3"/>
    <n v="7"/>
    <n v="5810"/>
    <n v="0"/>
    <n v="40670"/>
    <n v="0"/>
    <n v="40670"/>
  </r>
  <r>
    <x v="1309"/>
    <x v="17"/>
    <s v="CUST35620"/>
    <x v="0"/>
    <n v="51"/>
    <x v="0"/>
    <x v="5"/>
    <x v="4"/>
    <x v="3"/>
    <n v="6"/>
    <n v="5807"/>
    <n v="0"/>
    <n v="34842"/>
    <n v="0"/>
    <n v="34842"/>
  </r>
  <r>
    <x v="1310"/>
    <x v="305"/>
    <s v="CUST52318"/>
    <x v="1"/>
    <n v="34"/>
    <x v="1"/>
    <x v="4"/>
    <x v="1"/>
    <x v="0"/>
    <n v="6"/>
    <n v="1105"/>
    <n v="0"/>
    <n v="6630"/>
    <n v="0"/>
    <n v="6630"/>
  </r>
  <r>
    <x v="1311"/>
    <x v="227"/>
    <s v="CUST28708"/>
    <x v="0"/>
    <n v="39"/>
    <x v="2"/>
    <x v="1"/>
    <x v="0"/>
    <x v="4"/>
    <n v="1"/>
    <n v="736"/>
    <n v="10"/>
    <n v="736"/>
    <n v="73.599999999999994"/>
    <n v="662.4"/>
  </r>
  <r>
    <x v="1312"/>
    <x v="364"/>
    <s v="CUST34872"/>
    <x v="1"/>
    <n v="63"/>
    <x v="0"/>
    <x v="5"/>
    <x v="0"/>
    <x v="1"/>
    <n v="4"/>
    <n v="7189"/>
    <n v="5"/>
    <n v="28756"/>
    <n v="1437.8"/>
    <n v="27318.2"/>
  </r>
  <r>
    <x v="1313"/>
    <x v="191"/>
    <s v="CUST99905"/>
    <x v="1"/>
    <n v="30"/>
    <x v="1"/>
    <x v="1"/>
    <x v="0"/>
    <x v="0"/>
    <n v="5"/>
    <n v="2348"/>
    <n v="10"/>
    <n v="11740"/>
    <n v="1174"/>
    <n v="10566"/>
  </r>
  <r>
    <x v="1314"/>
    <x v="412"/>
    <s v="CUST48901"/>
    <x v="0"/>
    <n v="25"/>
    <x v="3"/>
    <x v="5"/>
    <x v="1"/>
    <x v="4"/>
    <n v="4"/>
    <n v="1498"/>
    <n v="15"/>
    <n v="5992"/>
    <n v="898.8"/>
    <n v="5093.2"/>
  </r>
  <r>
    <x v="1315"/>
    <x v="605"/>
    <s v="CUST83572"/>
    <x v="1"/>
    <n v="59"/>
    <x v="0"/>
    <x v="5"/>
    <x v="4"/>
    <x v="3"/>
    <n v="3"/>
    <n v="565"/>
    <n v="5"/>
    <n v="1695"/>
    <n v="84.75"/>
    <n v="1610.25"/>
  </r>
  <r>
    <x v="1316"/>
    <x v="70"/>
    <s v="CUST22934"/>
    <x v="1"/>
    <n v="52"/>
    <x v="0"/>
    <x v="5"/>
    <x v="4"/>
    <x v="3"/>
    <n v="2"/>
    <n v="6385"/>
    <n v="20"/>
    <n v="12770"/>
    <n v="2554"/>
    <n v="10216"/>
  </r>
  <r>
    <x v="1317"/>
    <x v="435"/>
    <s v="CUST84586"/>
    <x v="0"/>
    <n v="53"/>
    <x v="0"/>
    <x v="4"/>
    <x v="1"/>
    <x v="1"/>
    <n v="3"/>
    <n v="2203"/>
    <n v="10"/>
    <n v="6609"/>
    <n v="660.9"/>
    <n v="5948.1"/>
  </r>
  <r>
    <x v="1318"/>
    <x v="269"/>
    <s v="CUST17306"/>
    <x v="0"/>
    <n v="53"/>
    <x v="0"/>
    <x v="1"/>
    <x v="5"/>
    <x v="2"/>
    <n v="7"/>
    <n v="4635"/>
    <n v="15"/>
    <n v="32445"/>
    <n v="4866.75"/>
    <n v="27578.25"/>
  </r>
  <r>
    <x v="1319"/>
    <x v="132"/>
    <s v="CUST80851"/>
    <x v="0"/>
    <n v="56"/>
    <x v="0"/>
    <x v="3"/>
    <x v="5"/>
    <x v="1"/>
    <n v="7"/>
    <n v="7705"/>
    <n v="0"/>
    <n v="53935"/>
    <n v="0"/>
    <n v="53935"/>
  </r>
  <r>
    <x v="1320"/>
    <x v="534"/>
    <s v="CUST66125"/>
    <x v="0"/>
    <n v="33"/>
    <x v="1"/>
    <x v="4"/>
    <x v="0"/>
    <x v="3"/>
    <n v="1"/>
    <n v="7658"/>
    <n v="15"/>
    <n v="7658"/>
    <n v="1148.7"/>
    <n v="6509.3"/>
  </r>
  <r>
    <x v="1321"/>
    <x v="606"/>
    <s v="CUST94086"/>
    <x v="1"/>
    <n v="41"/>
    <x v="2"/>
    <x v="0"/>
    <x v="5"/>
    <x v="4"/>
    <n v="3"/>
    <n v="7431"/>
    <n v="10"/>
    <n v="22293"/>
    <n v="2229.3000000000002"/>
    <n v="20063.7"/>
  </r>
  <r>
    <x v="1322"/>
    <x v="49"/>
    <s v="CUST89755"/>
    <x v="1"/>
    <n v="63"/>
    <x v="0"/>
    <x v="5"/>
    <x v="2"/>
    <x v="2"/>
    <n v="5"/>
    <n v="7611"/>
    <n v="0"/>
    <n v="38055"/>
    <n v="0"/>
    <n v="38055"/>
  </r>
  <r>
    <x v="1323"/>
    <x v="405"/>
    <s v="CUST71008"/>
    <x v="0"/>
    <n v="45"/>
    <x v="2"/>
    <x v="3"/>
    <x v="0"/>
    <x v="2"/>
    <n v="2"/>
    <n v="6611"/>
    <n v="10"/>
    <n v="13222"/>
    <n v="1322.2"/>
    <n v="11899.8"/>
  </r>
  <r>
    <x v="1324"/>
    <x v="380"/>
    <s v="CUST40675"/>
    <x v="0"/>
    <n v="32"/>
    <x v="1"/>
    <x v="4"/>
    <x v="0"/>
    <x v="3"/>
    <n v="1"/>
    <n v="1915"/>
    <n v="10"/>
    <n v="1915"/>
    <n v="191.5"/>
    <n v="1723.5"/>
  </r>
  <r>
    <x v="1325"/>
    <x v="407"/>
    <s v="CUST37895"/>
    <x v="1"/>
    <n v="28"/>
    <x v="1"/>
    <x v="2"/>
    <x v="2"/>
    <x v="1"/>
    <n v="3"/>
    <n v="2385"/>
    <n v="10"/>
    <n v="7155"/>
    <n v="715.5"/>
    <n v="6439.5"/>
  </r>
  <r>
    <x v="1326"/>
    <x v="370"/>
    <s v="CUST76528"/>
    <x v="1"/>
    <n v="30"/>
    <x v="1"/>
    <x v="2"/>
    <x v="4"/>
    <x v="3"/>
    <n v="7"/>
    <n v="4780"/>
    <n v="10"/>
    <n v="33460"/>
    <n v="3346"/>
    <n v="30114"/>
  </r>
  <r>
    <x v="1327"/>
    <x v="607"/>
    <s v="CUST11571"/>
    <x v="0"/>
    <n v="56"/>
    <x v="0"/>
    <x v="2"/>
    <x v="0"/>
    <x v="4"/>
    <n v="7"/>
    <n v="2752"/>
    <n v="5"/>
    <n v="19264"/>
    <n v="963.2"/>
    <n v="18300.8"/>
  </r>
  <r>
    <x v="1328"/>
    <x v="557"/>
    <s v="CUST69774"/>
    <x v="0"/>
    <n v="37"/>
    <x v="2"/>
    <x v="3"/>
    <x v="1"/>
    <x v="3"/>
    <n v="3"/>
    <n v="4272"/>
    <n v="10"/>
    <n v="12816"/>
    <n v="1281.5999999999999"/>
    <n v="11534.4"/>
  </r>
  <r>
    <x v="1329"/>
    <x v="585"/>
    <s v="CUST83797"/>
    <x v="1"/>
    <n v="36"/>
    <x v="2"/>
    <x v="4"/>
    <x v="0"/>
    <x v="2"/>
    <n v="6"/>
    <n v="1086"/>
    <n v="0"/>
    <n v="6516"/>
    <n v="0"/>
    <n v="6516"/>
  </r>
  <r>
    <x v="1330"/>
    <x v="170"/>
    <s v="CUST21179"/>
    <x v="0"/>
    <n v="53"/>
    <x v="0"/>
    <x v="0"/>
    <x v="1"/>
    <x v="3"/>
    <n v="2"/>
    <n v="7331"/>
    <n v="0"/>
    <n v="14662"/>
    <n v="0"/>
    <n v="14662"/>
  </r>
  <r>
    <x v="1331"/>
    <x v="427"/>
    <s v="CUST80822"/>
    <x v="0"/>
    <n v="64"/>
    <x v="0"/>
    <x v="3"/>
    <x v="3"/>
    <x v="1"/>
    <n v="5"/>
    <n v="2221"/>
    <n v="0"/>
    <n v="11105"/>
    <n v="0"/>
    <n v="11105"/>
  </r>
  <r>
    <x v="1332"/>
    <x v="147"/>
    <s v="CUST96467"/>
    <x v="1"/>
    <n v="24"/>
    <x v="3"/>
    <x v="2"/>
    <x v="5"/>
    <x v="3"/>
    <n v="4"/>
    <n v="7744"/>
    <n v="0"/>
    <n v="30976"/>
    <n v="0"/>
    <n v="30976"/>
  </r>
  <r>
    <x v="1333"/>
    <x v="125"/>
    <s v="CUST29483"/>
    <x v="1"/>
    <n v="22"/>
    <x v="3"/>
    <x v="0"/>
    <x v="1"/>
    <x v="0"/>
    <n v="4"/>
    <n v="5554"/>
    <n v="15"/>
    <n v="22216"/>
    <n v="3332.4"/>
    <n v="18883.599999999999"/>
  </r>
  <r>
    <x v="1334"/>
    <x v="313"/>
    <s v="CUST51166"/>
    <x v="0"/>
    <n v="29"/>
    <x v="1"/>
    <x v="2"/>
    <x v="0"/>
    <x v="3"/>
    <n v="5"/>
    <n v="6800"/>
    <n v="10"/>
    <n v="34000"/>
    <n v="3400"/>
    <n v="30600"/>
  </r>
  <r>
    <x v="1335"/>
    <x v="316"/>
    <s v="CUST43336"/>
    <x v="1"/>
    <n v="39"/>
    <x v="2"/>
    <x v="3"/>
    <x v="3"/>
    <x v="3"/>
    <n v="2"/>
    <n v="6936"/>
    <n v="10"/>
    <n v="13872"/>
    <n v="1387.2"/>
    <n v="12484.8"/>
  </r>
  <r>
    <x v="1336"/>
    <x v="105"/>
    <s v="CUST80788"/>
    <x v="1"/>
    <n v="50"/>
    <x v="0"/>
    <x v="3"/>
    <x v="4"/>
    <x v="4"/>
    <n v="5"/>
    <n v="6430"/>
    <n v="15"/>
    <n v="32150"/>
    <n v="4822.5"/>
    <n v="27327.5"/>
  </r>
  <r>
    <x v="1337"/>
    <x v="444"/>
    <s v="CUST90691"/>
    <x v="1"/>
    <n v="24"/>
    <x v="3"/>
    <x v="1"/>
    <x v="1"/>
    <x v="1"/>
    <n v="1"/>
    <n v="5580"/>
    <n v="15"/>
    <n v="5580"/>
    <n v="837"/>
    <n v="4743"/>
  </r>
  <r>
    <x v="1338"/>
    <x v="254"/>
    <s v="CUST85646"/>
    <x v="0"/>
    <n v="57"/>
    <x v="0"/>
    <x v="5"/>
    <x v="3"/>
    <x v="2"/>
    <n v="4"/>
    <n v="4594"/>
    <n v="15"/>
    <n v="18376"/>
    <n v="2756.4"/>
    <n v="15619.6"/>
  </r>
  <r>
    <x v="1339"/>
    <x v="529"/>
    <s v="CUST68146"/>
    <x v="1"/>
    <n v="29"/>
    <x v="1"/>
    <x v="0"/>
    <x v="2"/>
    <x v="2"/>
    <n v="5"/>
    <n v="2592"/>
    <n v="0"/>
    <n v="12960"/>
    <n v="0"/>
    <n v="12960"/>
  </r>
  <r>
    <x v="1340"/>
    <x v="72"/>
    <s v="CUST62170"/>
    <x v="0"/>
    <n v="59"/>
    <x v="0"/>
    <x v="2"/>
    <x v="2"/>
    <x v="0"/>
    <n v="2"/>
    <n v="6455"/>
    <n v="0"/>
    <n v="12910"/>
    <n v="0"/>
    <n v="12910"/>
  </r>
  <r>
    <x v="1341"/>
    <x v="35"/>
    <s v="CUST43492"/>
    <x v="0"/>
    <n v="20"/>
    <x v="3"/>
    <x v="2"/>
    <x v="2"/>
    <x v="0"/>
    <n v="7"/>
    <n v="6721"/>
    <n v="10"/>
    <n v="47047"/>
    <n v="4704.7"/>
    <n v="42342.3"/>
  </r>
  <r>
    <x v="1342"/>
    <x v="608"/>
    <s v="CUST71835"/>
    <x v="1"/>
    <n v="42"/>
    <x v="2"/>
    <x v="4"/>
    <x v="0"/>
    <x v="2"/>
    <n v="5"/>
    <n v="6981"/>
    <n v="15"/>
    <n v="34905"/>
    <n v="5235.75"/>
    <n v="29669.25"/>
  </r>
  <r>
    <x v="1343"/>
    <x v="302"/>
    <s v="CUST30340"/>
    <x v="1"/>
    <n v="18"/>
    <x v="3"/>
    <x v="1"/>
    <x v="0"/>
    <x v="2"/>
    <n v="4"/>
    <n v="3884"/>
    <n v="0"/>
    <n v="15536"/>
    <n v="0"/>
    <n v="15536"/>
  </r>
  <r>
    <x v="1344"/>
    <x v="318"/>
    <s v="CUST87525"/>
    <x v="1"/>
    <n v="51"/>
    <x v="0"/>
    <x v="0"/>
    <x v="1"/>
    <x v="3"/>
    <n v="7"/>
    <n v="3170"/>
    <n v="0"/>
    <n v="22190"/>
    <n v="0"/>
    <n v="22190"/>
  </r>
  <r>
    <x v="1345"/>
    <x v="405"/>
    <s v="CUST99403"/>
    <x v="1"/>
    <n v="32"/>
    <x v="1"/>
    <x v="2"/>
    <x v="1"/>
    <x v="2"/>
    <n v="6"/>
    <n v="2562"/>
    <n v="10"/>
    <n v="15372"/>
    <n v="1537.2"/>
    <n v="13834.8"/>
  </r>
  <r>
    <x v="1346"/>
    <x v="477"/>
    <s v="CUST79971"/>
    <x v="0"/>
    <n v="51"/>
    <x v="0"/>
    <x v="5"/>
    <x v="1"/>
    <x v="2"/>
    <n v="1"/>
    <n v="6899"/>
    <n v="15"/>
    <n v="6899"/>
    <n v="1034.8499999999999"/>
    <n v="5864.15"/>
  </r>
  <r>
    <x v="1347"/>
    <x v="363"/>
    <s v="CUST19770"/>
    <x v="0"/>
    <n v="26"/>
    <x v="1"/>
    <x v="2"/>
    <x v="0"/>
    <x v="2"/>
    <n v="2"/>
    <n v="7746"/>
    <n v="0"/>
    <n v="15492"/>
    <n v="0"/>
    <n v="15492"/>
  </r>
  <r>
    <x v="1348"/>
    <x v="204"/>
    <s v="CUST96286"/>
    <x v="0"/>
    <n v="19"/>
    <x v="3"/>
    <x v="1"/>
    <x v="2"/>
    <x v="0"/>
    <n v="2"/>
    <n v="3927"/>
    <n v="10"/>
    <n v="7854"/>
    <n v="785.4"/>
    <n v="7068.6"/>
  </r>
  <r>
    <x v="1349"/>
    <x v="435"/>
    <s v="CUST98800"/>
    <x v="1"/>
    <n v="50"/>
    <x v="0"/>
    <x v="4"/>
    <x v="0"/>
    <x v="0"/>
    <n v="4"/>
    <n v="6269"/>
    <n v="0"/>
    <n v="25076"/>
    <n v="0"/>
    <n v="25076"/>
  </r>
  <r>
    <x v="1350"/>
    <x v="213"/>
    <s v="CUST24137"/>
    <x v="0"/>
    <n v="52"/>
    <x v="0"/>
    <x v="0"/>
    <x v="0"/>
    <x v="3"/>
    <n v="3"/>
    <n v="5330"/>
    <n v="0"/>
    <n v="15990"/>
    <n v="0"/>
    <n v="15990"/>
  </r>
  <r>
    <x v="1351"/>
    <x v="181"/>
    <s v="CUST21193"/>
    <x v="0"/>
    <n v="57"/>
    <x v="0"/>
    <x v="0"/>
    <x v="5"/>
    <x v="4"/>
    <n v="6"/>
    <n v="4707"/>
    <n v="5"/>
    <n v="28242"/>
    <n v="1412.1"/>
    <n v="26829.9"/>
  </r>
  <r>
    <x v="1352"/>
    <x v="337"/>
    <s v="CUST13994"/>
    <x v="1"/>
    <n v="48"/>
    <x v="0"/>
    <x v="4"/>
    <x v="3"/>
    <x v="4"/>
    <n v="4"/>
    <n v="2075"/>
    <n v="0"/>
    <n v="8300"/>
    <n v="0"/>
    <n v="8300"/>
  </r>
  <r>
    <x v="1353"/>
    <x v="295"/>
    <s v="CUST14377"/>
    <x v="1"/>
    <n v="40"/>
    <x v="2"/>
    <x v="2"/>
    <x v="4"/>
    <x v="0"/>
    <n v="4"/>
    <n v="3348"/>
    <n v="0"/>
    <n v="13392"/>
    <n v="0"/>
    <n v="13392"/>
  </r>
  <r>
    <x v="1354"/>
    <x v="97"/>
    <s v="CUST87590"/>
    <x v="0"/>
    <n v="29"/>
    <x v="1"/>
    <x v="5"/>
    <x v="1"/>
    <x v="3"/>
    <n v="4"/>
    <n v="2867"/>
    <n v="10"/>
    <n v="11468"/>
    <n v="1146.8"/>
    <n v="10321.200000000001"/>
  </r>
  <r>
    <x v="1355"/>
    <x v="72"/>
    <s v="CUST65161"/>
    <x v="1"/>
    <n v="58"/>
    <x v="0"/>
    <x v="4"/>
    <x v="3"/>
    <x v="0"/>
    <n v="1"/>
    <n v="1931"/>
    <n v="0"/>
    <n v="1931"/>
    <n v="0"/>
    <n v="1931"/>
  </r>
  <r>
    <x v="1356"/>
    <x v="114"/>
    <s v="CUST54041"/>
    <x v="1"/>
    <n v="54"/>
    <x v="0"/>
    <x v="3"/>
    <x v="0"/>
    <x v="3"/>
    <n v="2"/>
    <n v="2597"/>
    <n v="0"/>
    <n v="5194"/>
    <n v="0"/>
    <n v="5194"/>
  </r>
  <r>
    <x v="1357"/>
    <x v="589"/>
    <s v="CUST92848"/>
    <x v="0"/>
    <n v="30"/>
    <x v="1"/>
    <x v="0"/>
    <x v="0"/>
    <x v="3"/>
    <n v="5"/>
    <n v="5822"/>
    <n v="0"/>
    <n v="29110"/>
    <n v="0"/>
    <n v="29110"/>
  </r>
  <r>
    <x v="1358"/>
    <x v="449"/>
    <s v="CUST59079"/>
    <x v="0"/>
    <n v="35"/>
    <x v="1"/>
    <x v="2"/>
    <x v="1"/>
    <x v="2"/>
    <n v="1"/>
    <n v="341"/>
    <n v="10"/>
    <n v="341"/>
    <n v="34.1"/>
    <n v="306.89999999999998"/>
  </r>
  <r>
    <x v="1359"/>
    <x v="258"/>
    <s v="CUST12444"/>
    <x v="0"/>
    <n v="24"/>
    <x v="3"/>
    <x v="4"/>
    <x v="0"/>
    <x v="4"/>
    <n v="4"/>
    <n v="5881"/>
    <n v="10"/>
    <n v="23524"/>
    <n v="2352.4"/>
    <n v="21171.599999999999"/>
  </r>
  <r>
    <x v="1360"/>
    <x v="308"/>
    <s v="CUST52464"/>
    <x v="1"/>
    <n v="58"/>
    <x v="0"/>
    <x v="1"/>
    <x v="0"/>
    <x v="0"/>
    <n v="5"/>
    <n v="4296"/>
    <n v="15"/>
    <n v="21480"/>
    <n v="3222"/>
    <n v="18258"/>
  </r>
  <r>
    <x v="1361"/>
    <x v="315"/>
    <s v="CUST57434"/>
    <x v="0"/>
    <n v="22"/>
    <x v="3"/>
    <x v="5"/>
    <x v="0"/>
    <x v="0"/>
    <n v="5"/>
    <n v="504"/>
    <n v="10"/>
    <n v="2520"/>
    <n v="252"/>
    <n v="2268"/>
  </r>
  <r>
    <x v="1362"/>
    <x v="309"/>
    <s v="CUST32463"/>
    <x v="1"/>
    <n v="47"/>
    <x v="0"/>
    <x v="2"/>
    <x v="0"/>
    <x v="0"/>
    <n v="1"/>
    <n v="1140"/>
    <n v="5"/>
    <n v="1140"/>
    <n v="57"/>
    <n v="1083"/>
  </r>
  <r>
    <x v="1363"/>
    <x v="204"/>
    <s v="CUST56659"/>
    <x v="1"/>
    <n v="42"/>
    <x v="2"/>
    <x v="5"/>
    <x v="5"/>
    <x v="1"/>
    <n v="7"/>
    <n v="7140"/>
    <n v="10"/>
    <n v="49980"/>
    <n v="4998"/>
    <n v="44982"/>
  </r>
  <r>
    <x v="1364"/>
    <x v="609"/>
    <s v="CUST58669"/>
    <x v="0"/>
    <n v="48"/>
    <x v="0"/>
    <x v="0"/>
    <x v="1"/>
    <x v="1"/>
    <n v="4"/>
    <n v="2632"/>
    <n v="5"/>
    <n v="10528"/>
    <n v="526.4"/>
    <n v="10001.6"/>
  </r>
  <r>
    <x v="1365"/>
    <x v="486"/>
    <s v="CUST93853"/>
    <x v="1"/>
    <n v="27"/>
    <x v="1"/>
    <x v="0"/>
    <x v="0"/>
    <x v="3"/>
    <n v="3"/>
    <n v="7393"/>
    <n v="0"/>
    <n v="22179"/>
    <n v="0"/>
    <n v="22179"/>
  </r>
  <r>
    <x v="1366"/>
    <x v="479"/>
    <s v="CUST77799"/>
    <x v="1"/>
    <n v="53"/>
    <x v="0"/>
    <x v="4"/>
    <x v="1"/>
    <x v="1"/>
    <n v="6"/>
    <n v="2577"/>
    <n v="15"/>
    <n v="15462"/>
    <n v="2319.3000000000002"/>
    <n v="13142.7"/>
  </r>
  <r>
    <x v="1367"/>
    <x v="603"/>
    <s v="CUST10291"/>
    <x v="0"/>
    <n v="28"/>
    <x v="1"/>
    <x v="5"/>
    <x v="4"/>
    <x v="3"/>
    <n v="6"/>
    <n v="7108"/>
    <n v="10"/>
    <n v="42648"/>
    <n v="4264.8"/>
    <n v="38383.199999999997"/>
  </r>
  <r>
    <x v="1368"/>
    <x v="610"/>
    <s v="CUST10935"/>
    <x v="1"/>
    <n v="54"/>
    <x v="0"/>
    <x v="5"/>
    <x v="5"/>
    <x v="2"/>
    <n v="2"/>
    <n v="7937"/>
    <n v="5"/>
    <n v="15874"/>
    <n v="793.7"/>
    <n v="15080.3"/>
  </r>
  <r>
    <x v="1369"/>
    <x v="206"/>
    <s v="CUST76408"/>
    <x v="1"/>
    <n v="31"/>
    <x v="1"/>
    <x v="1"/>
    <x v="2"/>
    <x v="2"/>
    <n v="6"/>
    <n v="787"/>
    <n v="15"/>
    <n v="4722"/>
    <n v="708.3"/>
    <n v="4013.7"/>
  </r>
  <r>
    <x v="1370"/>
    <x v="587"/>
    <s v="CUST80772"/>
    <x v="1"/>
    <n v="49"/>
    <x v="0"/>
    <x v="5"/>
    <x v="3"/>
    <x v="3"/>
    <n v="5"/>
    <n v="4111"/>
    <n v="10"/>
    <n v="20555"/>
    <n v="2055.5"/>
    <n v="18499.5"/>
  </r>
  <r>
    <x v="1371"/>
    <x v="122"/>
    <s v="CUST34898"/>
    <x v="0"/>
    <n v="64"/>
    <x v="0"/>
    <x v="0"/>
    <x v="1"/>
    <x v="0"/>
    <n v="2"/>
    <n v="1608"/>
    <n v="10"/>
    <n v="3216"/>
    <n v="321.60000000000002"/>
    <n v="2894.4"/>
  </r>
  <r>
    <x v="1372"/>
    <x v="359"/>
    <s v="CUST83563"/>
    <x v="0"/>
    <n v="36"/>
    <x v="2"/>
    <x v="2"/>
    <x v="1"/>
    <x v="2"/>
    <n v="4"/>
    <n v="1895"/>
    <n v="5"/>
    <n v="7580"/>
    <n v="379"/>
    <n v="7201"/>
  </r>
  <r>
    <x v="1373"/>
    <x v="395"/>
    <s v="CUST83459"/>
    <x v="0"/>
    <n v="42"/>
    <x v="2"/>
    <x v="4"/>
    <x v="1"/>
    <x v="0"/>
    <n v="1"/>
    <n v="1171"/>
    <n v="10"/>
    <n v="1171"/>
    <n v="117.1"/>
    <n v="1053.9000000000001"/>
  </r>
  <r>
    <x v="1374"/>
    <x v="282"/>
    <s v="CUST64110"/>
    <x v="1"/>
    <n v="54"/>
    <x v="0"/>
    <x v="3"/>
    <x v="3"/>
    <x v="1"/>
    <n v="7"/>
    <n v="2525"/>
    <n v="5"/>
    <n v="17675"/>
    <n v="883.75"/>
    <n v="16791.25"/>
  </r>
  <r>
    <x v="1375"/>
    <x v="461"/>
    <s v="CUST21956"/>
    <x v="0"/>
    <n v="35"/>
    <x v="1"/>
    <x v="0"/>
    <x v="3"/>
    <x v="1"/>
    <n v="6"/>
    <n v="5216"/>
    <n v="0"/>
    <n v="31296"/>
    <n v="0"/>
    <n v="31296"/>
  </r>
  <r>
    <x v="1376"/>
    <x v="611"/>
    <s v="CUST28843"/>
    <x v="1"/>
    <n v="30"/>
    <x v="1"/>
    <x v="4"/>
    <x v="4"/>
    <x v="1"/>
    <n v="6"/>
    <n v="6927"/>
    <n v="5"/>
    <n v="41562"/>
    <n v="2078.1"/>
    <n v="39483.9"/>
  </r>
  <r>
    <x v="1377"/>
    <x v="368"/>
    <s v="CUST49376"/>
    <x v="0"/>
    <n v="26"/>
    <x v="1"/>
    <x v="3"/>
    <x v="5"/>
    <x v="2"/>
    <n v="4"/>
    <n v="2774"/>
    <n v="5"/>
    <n v="11096"/>
    <n v="554.79999999999995"/>
    <n v="10541.2"/>
  </r>
  <r>
    <x v="1378"/>
    <x v="127"/>
    <s v="CUST88308"/>
    <x v="1"/>
    <n v="60"/>
    <x v="0"/>
    <x v="4"/>
    <x v="2"/>
    <x v="3"/>
    <n v="3"/>
    <n v="2006"/>
    <n v="0"/>
    <n v="6018"/>
    <n v="0"/>
    <n v="6018"/>
  </r>
  <r>
    <x v="1379"/>
    <x v="612"/>
    <s v="CUST85557"/>
    <x v="0"/>
    <n v="53"/>
    <x v="0"/>
    <x v="5"/>
    <x v="1"/>
    <x v="1"/>
    <n v="6"/>
    <n v="5162"/>
    <n v="10"/>
    <n v="30972"/>
    <n v="3097.2"/>
    <n v="27874.799999999999"/>
  </r>
  <r>
    <x v="1380"/>
    <x v="160"/>
    <s v="CUST87479"/>
    <x v="1"/>
    <n v="63"/>
    <x v="0"/>
    <x v="1"/>
    <x v="1"/>
    <x v="3"/>
    <n v="5"/>
    <n v="265"/>
    <n v="0"/>
    <n v="1325"/>
    <n v="0"/>
    <n v="1325"/>
  </r>
  <r>
    <x v="1381"/>
    <x v="536"/>
    <s v="CUST84093"/>
    <x v="1"/>
    <n v="27"/>
    <x v="1"/>
    <x v="4"/>
    <x v="1"/>
    <x v="0"/>
    <n v="7"/>
    <n v="3092"/>
    <n v="5"/>
    <n v="21644"/>
    <n v="1082.2"/>
    <n v="20561.8"/>
  </r>
  <r>
    <x v="1382"/>
    <x v="310"/>
    <s v="CUST63548"/>
    <x v="0"/>
    <n v="19"/>
    <x v="3"/>
    <x v="3"/>
    <x v="0"/>
    <x v="3"/>
    <n v="3"/>
    <n v="6331"/>
    <n v="20"/>
    <n v="18993"/>
    <n v="3798.6"/>
    <n v="15194.4"/>
  </r>
  <r>
    <x v="1383"/>
    <x v="134"/>
    <s v="CUST41731"/>
    <x v="1"/>
    <n v="45"/>
    <x v="2"/>
    <x v="1"/>
    <x v="1"/>
    <x v="2"/>
    <n v="3"/>
    <n v="6971"/>
    <n v="5"/>
    <n v="20913"/>
    <n v="1045.6500000000001"/>
    <n v="19867.349999999999"/>
  </r>
  <r>
    <x v="1384"/>
    <x v="613"/>
    <s v="CUST58205"/>
    <x v="0"/>
    <n v="20"/>
    <x v="3"/>
    <x v="3"/>
    <x v="2"/>
    <x v="2"/>
    <n v="3"/>
    <n v="7348"/>
    <n v="10"/>
    <n v="22044"/>
    <n v="2204.4"/>
    <n v="19839.599999999999"/>
  </r>
  <r>
    <x v="1385"/>
    <x v="528"/>
    <s v="CUST96251"/>
    <x v="1"/>
    <n v="18"/>
    <x v="3"/>
    <x v="4"/>
    <x v="1"/>
    <x v="3"/>
    <n v="1"/>
    <n v="4151"/>
    <n v="0"/>
    <n v="4151"/>
    <n v="0"/>
    <n v="4151"/>
  </r>
  <r>
    <x v="1386"/>
    <x v="585"/>
    <s v="CUST57348"/>
    <x v="0"/>
    <n v="34"/>
    <x v="1"/>
    <x v="0"/>
    <x v="4"/>
    <x v="4"/>
    <n v="5"/>
    <n v="3123"/>
    <n v="5"/>
    <n v="15615"/>
    <n v="780.75"/>
    <n v="14834.25"/>
  </r>
  <r>
    <x v="1387"/>
    <x v="594"/>
    <s v="CUST90379"/>
    <x v="0"/>
    <n v="47"/>
    <x v="0"/>
    <x v="3"/>
    <x v="2"/>
    <x v="0"/>
    <n v="4"/>
    <n v="7738"/>
    <n v="10"/>
    <n v="30952"/>
    <n v="3095.2"/>
    <n v="27856.799999999999"/>
  </r>
  <r>
    <x v="1388"/>
    <x v="38"/>
    <s v="CUST23597"/>
    <x v="1"/>
    <n v="55"/>
    <x v="0"/>
    <x v="0"/>
    <x v="0"/>
    <x v="3"/>
    <n v="2"/>
    <n v="4505"/>
    <n v="0"/>
    <n v="9010"/>
    <n v="0"/>
    <n v="9010"/>
  </r>
  <r>
    <x v="1389"/>
    <x v="107"/>
    <s v="CUST80796"/>
    <x v="1"/>
    <n v="51"/>
    <x v="0"/>
    <x v="5"/>
    <x v="5"/>
    <x v="0"/>
    <n v="1"/>
    <n v="7550"/>
    <n v="10"/>
    <n v="7550"/>
    <n v="755"/>
    <n v="6795"/>
  </r>
  <r>
    <x v="1390"/>
    <x v="402"/>
    <s v="CUST27800"/>
    <x v="0"/>
    <n v="53"/>
    <x v="0"/>
    <x v="1"/>
    <x v="2"/>
    <x v="1"/>
    <n v="7"/>
    <n v="5426"/>
    <n v="10"/>
    <n v="37982"/>
    <n v="3798.2"/>
    <n v="34183.800000000003"/>
  </r>
  <r>
    <x v="1391"/>
    <x v="598"/>
    <s v="CUST74121"/>
    <x v="1"/>
    <n v="42"/>
    <x v="2"/>
    <x v="0"/>
    <x v="3"/>
    <x v="0"/>
    <n v="2"/>
    <n v="5905"/>
    <n v="0"/>
    <n v="11810"/>
    <n v="0"/>
    <n v="11810"/>
  </r>
  <r>
    <x v="1392"/>
    <x v="408"/>
    <s v="CUST47298"/>
    <x v="0"/>
    <n v="28"/>
    <x v="1"/>
    <x v="2"/>
    <x v="0"/>
    <x v="4"/>
    <n v="5"/>
    <n v="7667"/>
    <n v="0"/>
    <n v="38335"/>
    <n v="0"/>
    <n v="38335"/>
  </r>
  <r>
    <x v="1393"/>
    <x v="614"/>
    <s v="CUST28823"/>
    <x v="1"/>
    <n v="29"/>
    <x v="1"/>
    <x v="5"/>
    <x v="5"/>
    <x v="2"/>
    <n v="1"/>
    <n v="4869"/>
    <n v="10"/>
    <n v="4869"/>
    <n v="486.9"/>
    <n v="4382.1000000000004"/>
  </r>
  <r>
    <x v="1394"/>
    <x v="615"/>
    <s v="CUST59700"/>
    <x v="0"/>
    <n v="36"/>
    <x v="2"/>
    <x v="0"/>
    <x v="1"/>
    <x v="4"/>
    <n v="1"/>
    <n v="7076"/>
    <n v="10"/>
    <n v="7076"/>
    <n v="707.6"/>
    <n v="6368.4"/>
  </r>
  <r>
    <x v="1395"/>
    <x v="616"/>
    <s v="CUST29589"/>
    <x v="1"/>
    <n v="20"/>
    <x v="3"/>
    <x v="2"/>
    <x v="3"/>
    <x v="0"/>
    <n v="3"/>
    <n v="4361"/>
    <n v="10"/>
    <n v="13083"/>
    <n v="1308.3"/>
    <n v="11774.7"/>
  </r>
  <r>
    <x v="1396"/>
    <x v="82"/>
    <s v="CUST99787"/>
    <x v="0"/>
    <n v="28"/>
    <x v="1"/>
    <x v="2"/>
    <x v="2"/>
    <x v="2"/>
    <n v="5"/>
    <n v="5522"/>
    <n v="0"/>
    <n v="27610"/>
    <n v="0"/>
    <n v="27610"/>
  </r>
  <r>
    <x v="1397"/>
    <x v="181"/>
    <s v="CUST81284"/>
    <x v="1"/>
    <n v="40"/>
    <x v="2"/>
    <x v="2"/>
    <x v="1"/>
    <x v="0"/>
    <n v="5"/>
    <n v="1617"/>
    <n v="5"/>
    <n v="8085"/>
    <n v="404.25"/>
    <n v="7680.75"/>
  </r>
  <r>
    <x v="1398"/>
    <x v="232"/>
    <s v="CUST87890"/>
    <x v="0"/>
    <n v="59"/>
    <x v="0"/>
    <x v="3"/>
    <x v="1"/>
    <x v="1"/>
    <n v="4"/>
    <n v="4299"/>
    <n v="15"/>
    <n v="17196"/>
    <n v="2579.4"/>
    <n v="14616.6"/>
  </r>
  <r>
    <x v="1399"/>
    <x v="56"/>
    <s v="CUST85230"/>
    <x v="0"/>
    <n v="35"/>
    <x v="1"/>
    <x v="3"/>
    <x v="2"/>
    <x v="2"/>
    <n v="5"/>
    <n v="6578"/>
    <n v="10"/>
    <n v="32890"/>
    <n v="3289"/>
    <n v="29601"/>
  </r>
  <r>
    <x v="1400"/>
    <x v="494"/>
    <s v="CUST25904"/>
    <x v="0"/>
    <n v="51"/>
    <x v="0"/>
    <x v="1"/>
    <x v="1"/>
    <x v="3"/>
    <n v="6"/>
    <n v="1101"/>
    <n v="20"/>
    <n v="6606"/>
    <n v="1321.2"/>
    <n v="5284.8"/>
  </r>
  <r>
    <x v="1401"/>
    <x v="429"/>
    <s v="CUST27983"/>
    <x v="0"/>
    <n v="23"/>
    <x v="3"/>
    <x v="0"/>
    <x v="1"/>
    <x v="4"/>
    <n v="3"/>
    <n v="449"/>
    <n v="5"/>
    <n v="1347"/>
    <n v="67.349999999999994"/>
    <n v="1279.6500000000001"/>
  </r>
  <r>
    <x v="1402"/>
    <x v="37"/>
    <s v="CUST40846"/>
    <x v="0"/>
    <n v="62"/>
    <x v="0"/>
    <x v="1"/>
    <x v="1"/>
    <x v="4"/>
    <n v="4"/>
    <n v="1546"/>
    <n v="10"/>
    <n v="6184"/>
    <n v="618.4"/>
    <n v="5565.6"/>
  </r>
  <r>
    <x v="1403"/>
    <x v="617"/>
    <s v="CUST83853"/>
    <x v="1"/>
    <n v="26"/>
    <x v="1"/>
    <x v="1"/>
    <x v="3"/>
    <x v="2"/>
    <n v="6"/>
    <n v="6839"/>
    <n v="0"/>
    <n v="41034"/>
    <n v="0"/>
    <n v="41034"/>
  </r>
  <r>
    <x v="1404"/>
    <x v="471"/>
    <s v="CUST71142"/>
    <x v="1"/>
    <n v="26"/>
    <x v="1"/>
    <x v="2"/>
    <x v="0"/>
    <x v="2"/>
    <n v="7"/>
    <n v="7909"/>
    <n v="15"/>
    <n v="55363"/>
    <n v="8304.4500000000007"/>
    <n v="47058.55"/>
  </r>
  <r>
    <x v="1405"/>
    <x v="472"/>
    <s v="CUST12133"/>
    <x v="1"/>
    <n v="21"/>
    <x v="3"/>
    <x v="5"/>
    <x v="3"/>
    <x v="1"/>
    <n v="7"/>
    <n v="2916"/>
    <n v="0"/>
    <n v="20412"/>
    <n v="0"/>
    <n v="20412"/>
  </r>
  <r>
    <x v="1406"/>
    <x v="16"/>
    <s v="CUST60702"/>
    <x v="1"/>
    <n v="25"/>
    <x v="3"/>
    <x v="4"/>
    <x v="0"/>
    <x v="1"/>
    <n v="1"/>
    <n v="6819"/>
    <n v="5"/>
    <n v="6819"/>
    <n v="340.95"/>
    <n v="6478.05"/>
  </r>
  <r>
    <x v="1407"/>
    <x v="7"/>
    <s v="CUST63085"/>
    <x v="0"/>
    <n v="24"/>
    <x v="3"/>
    <x v="1"/>
    <x v="5"/>
    <x v="3"/>
    <n v="4"/>
    <n v="7757"/>
    <n v="15"/>
    <n v="31028"/>
    <n v="4654.2"/>
    <n v="26373.8"/>
  </r>
  <r>
    <x v="1408"/>
    <x v="76"/>
    <s v="CUST46554"/>
    <x v="0"/>
    <n v="60"/>
    <x v="0"/>
    <x v="3"/>
    <x v="3"/>
    <x v="3"/>
    <n v="6"/>
    <n v="2329"/>
    <n v="0"/>
    <n v="13974"/>
    <n v="0"/>
    <n v="13974"/>
  </r>
  <r>
    <x v="1409"/>
    <x v="198"/>
    <s v="CUST75307"/>
    <x v="0"/>
    <n v="50"/>
    <x v="0"/>
    <x v="5"/>
    <x v="2"/>
    <x v="4"/>
    <n v="3"/>
    <n v="5957"/>
    <n v="5"/>
    <n v="17871"/>
    <n v="893.55"/>
    <n v="16977.45"/>
  </r>
  <r>
    <x v="1410"/>
    <x v="609"/>
    <s v="CUST72231"/>
    <x v="1"/>
    <n v="43"/>
    <x v="2"/>
    <x v="3"/>
    <x v="0"/>
    <x v="1"/>
    <n v="3"/>
    <n v="7351"/>
    <n v="5"/>
    <n v="22053"/>
    <n v="1102.6500000000001"/>
    <n v="20950.349999999999"/>
  </r>
  <r>
    <x v="1411"/>
    <x v="155"/>
    <s v="CUST23042"/>
    <x v="1"/>
    <n v="57"/>
    <x v="0"/>
    <x v="1"/>
    <x v="1"/>
    <x v="4"/>
    <n v="6"/>
    <n v="7862"/>
    <n v="0"/>
    <n v="47172"/>
    <n v="0"/>
    <n v="47172"/>
  </r>
  <r>
    <x v="1412"/>
    <x v="467"/>
    <s v="CUST26880"/>
    <x v="0"/>
    <n v="21"/>
    <x v="3"/>
    <x v="3"/>
    <x v="1"/>
    <x v="3"/>
    <n v="2"/>
    <n v="1747"/>
    <n v="15"/>
    <n v="3494"/>
    <n v="524.1"/>
    <n v="2969.9"/>
  </r>
  <r>
    <x v="1413"/>
    <x v="597"/>
    <s v="CUST56964"/>
    <x v="1"/>
    <n v="60"/>
    <x v="0"/>
    <x v="3"/>
    <x v="3"/>
    <x v="0"/>
    <n v="5"/>
    <n v="1333"/>
    <n v="10"/>
    <n v="6665"/>
    <n v="666.5"/>
    <n v="5998.5"/>
  </r>
  <r>
    <x v="1414"/>
    <x v="403"/>
    <s v="CUST17413"/>
    <x v="0"/>
    <n v="42"/>
    <x v="2"/>
    <x v="3"/>
    <x v="5"/>
    <x v="0"/>
    <n v="2"/>
    <n v="6693"/>
    <n v="0"/>
    <n v="13386"/>
    <n v="0"/>
    <n v="13386"/>
  </r>
  <r>
    <x v="1415"/>
    <x v="113"/>
    <s v="CUST48020"/>
    <x v="0"/>
    <n v="20"/>
    <x v="3"/>
    <x v="5"/>
    <x v="1"/>
    <x v="0"/>
    <n v="4"/>
    <n v="3283"/>
    <n v="5"/>
    <n v="13132"/>
    <n v="656.6"/>
    <n v="12475.4"/>
  </r>
  <r>
    <x v="1416"/>
    <x v="369"/>
    <s v="CUST68558"/>
    <x v="0"/>
    <n v="51"/>
    <x v="0"/>
    <x v="2"/>
    <x v="2"/>
    <x v="3"/>
    <n v="4"/>
    <n v="6525"/>
    <n v="20"/>
    <n v="26100"/>
    <n v="5220"/>
    <n v="20880"/>
  </r>
  <r>
    <x v="1417"/>
    <x v="201"/>
    <s v="CUST42944"/>
    <x v="0"/>
    <n v="32"/>
    <x v="1"/>
    <x v="0"/>
    <x v="1"/>
    <x v="1"/>
    <n v="7"/>
    <n v="6099"/>
    <n v="0"/>
    <n v="42693"/>
    <n v="0"/>
    <n v="42693"/>
  </r>
  <r>
    <x v="1418"/>
    <x v="231"/>
    <s v="CUST50706"/>
    <x v="1"/>
    <n v="31"/>
    <x v="1"/>
    <x v="5"/>
    <x v="0"/>
    <x v="3"/>
    <n v="4"/>
    <n v="5728"/>
    <n v="0"/>
    <n v="22912"/>
    <n v="0"/>
    <n v="22912"/>
  </r>
  <r>
    <x v="1419"/>
    <x v="346"/>
    <s v="CUST80558"/>
    <x v="0"/>
    <n v="52"/>
    <x v="0"/>
    <x v="1"/>
    <x v="1"/>
    <x v="3"/>
    <n v="1"/>
    <n v="3505"/>
    <n v="5"/>
    <n v="3505"/>
    <n v="175.25"/>
    <n v="3329.75"/>
  </r>
  <r>
    <x v="1420"/>
    <x v="38"/>
    <s v="CUST26317"/>
    <x v="1"/>
    <n v="57"/>
    <x v="0"/>
    <x v="2"/>
    <x v="5"/>
    <x v="0"/>
    <n v="1"/>
    <n v="461"/>
    <n v="0"/>
    <n v="461"/>
    <n v="0"/>
    <n v="461"/>
  </r>
  <r>
    <x v="1421"/>
    <x v="477"/>
    <s v="CUST63756"/>
    <x v="1"/>
    <n v="61"/>
    <x v="0"/>
    <x v="2"/>
    <x v="1"/>
    <x v="1"/>
    <n v="2"/>
    <n v="6430"/>
    <n v="0"/>
    <n v="12860"/>
    <n v="0"/>
    <n v="12860"/>
  </r>
  <r>
    <x v="1422"/>
    <x v="618"/>
    <s v="CUST28286"/>
    <x v="0"/>
    <n v="18"/>
    <x v="3"/>
    <x v="2"/>
    <x v="1"/>
    <x v="1"/>
    <n v="1"/>
    <n v="7563"/>
    <n v="20"/>
    <n v="7563"/>
    <n v="1512.6"/>
    <n v="6050.4"/>
  </r>
  <r>
    <x v="1423"/>
    <x v="586"/>
    <s v="CUST44136"/>
    <x v="1"/>
    <n v="25"/>
    <x v="3"/>
    <x v="3"/>
    <x v="3"/>
    <x v="3"/>
    <n v="4"/>
    <n v="4577"/>
    <n v="10"/>
    <n v="18308"/>
    <n v="1830.8"/>
    <n v="16477.2"/>
  </r>
  <r>
    <x v="1424"/>
    <x v="294"/>
    <s v="CUST60320"/>
    <x v="0"/>
    <n v="46"/>
    <x v="0"/>
    <x v="2"/>
    <x v="0"/>
    <x v="3"/>
    <n v="4"/>
    <n v="1191"/>
    <n v="15"/>
    <n v="4764"/>
    <n v="714.6"/>
    <n v="4049.4"/>
  </r>
  <r>
    <x v="1425"/>
    <x v="258"/>
    <s v="CUST37922"/>
    <x v="1"/>
    <n v="52"/>
    <x v="0"/>
    <x v="1"/>
    <x v="1"/>
    <x v="4"/>
    <n v="6"/>
    <n v="6554"/>
    <n v="5"/>
    <n v="39324"/>
    <n v="1966.2"/>
    <n v="37357.800000000003"/>
  </r>
  <r>
    <x v="1426"/>
    <x v="487"/>
    <s v="CUST22605"/>
    <x v="1"/>
    <n v="40"/>
    <x v="2"/>
    <x v="5"/>
    <x v="0"/>
    <x v="1"/>
    <n v="6"/>
    <n v="3106"/>
    <n v="0"/>
    <n v="18636"/>
    <n v="0"/>
    <n v="18636"/>
  </r>
  <r>
    <x v="1427"/>
    <x v="146"/>
    <s v="CUST83710"/>
    <x v="0"/>
    <n v="25"/>
    <x v="3"/>
    <x v="2"/>
    <x v="5"/>
    <x v="0"/>
    <n v="7"/>
    <n v="689"/>
    <n v="5"/>
    <n v="4823"/>
    <n v="241.15"/>
    <n v="4581.8500000000004"/>
  </r>
  <r>
    <x v="1428"/>
    <x v="217"/>
    <s v="CUST66194"/>
    <x v="0"/>
    <n v="42"/>
    <x v="2"/>
    <x v="3"/>
    <x v="2"/>
    <x v="4"/>
    <n v="2"/>
    <n v="881"/>
    <n v="0"/>
    <n v="1762"/>
    <n v="0"/>
    <n v="1762"/>
  </r>
  <r>
    <x v="1429"/>
    <x v="79"/>
    <s v="CUST39298"/>
    <x v="0"/>
    <n v="29"/>
    <x v="1"/>
    <x v="4"/>
    <x v="1"/>
    <x v="4"/>
    <n v="2"/>
    <n v="6321"/>
    <n v="0"/>
    <n v="12642"/>
    <n v="0"/>
    <n v="12642"/>
  </r>
  <r>
    <x v="1430"/>
    <x v="545"/>
    <s v="CUST25051"/>
    <x v="1"/>
    <n v="38"/>
    <x v="2"/>
    <x v="3"/>
    <x v="2"/>
    <x v="3"/>
    <n v="4"/>
    <n v="3820"/>
    <n v="15"/>
    <n v="15280"/>
    <n v="2292"/>
    <n v="12988"/>
  </r>
  <r>
    <x v="1431"/>
    <x v="421"/>
    <s v="CUST56979"/>
    <x v="1"/>
    <n v="50"/>
    <x v="0"/>
    <x v="1"/>
    <x v="1"/>
    <x v="2"/>
    <n v="2"/>
    <n v="4239"/>
    <n v="5"/>
    <n v="8478"/>
    <n v="423.9"/>
    <n v="8054.1"/>
  </r>
  <r>
    <x v="1432"/>
    <x v="305"/>
    <s v="CUST22979"/>
    <x v="1"/>
    <n v="23"/>
    <x v="3"/>
    <x v="3"/>
    <x v="3"/>
    <x v="2"/>
    <n v="1"/>
    <n v="7444"/>
    <n v="5"/>
    <n v="7444"/>
    <n v="372.2"/>
    <n v="7071.8"/>
  </r>
  <r>
    <x v="1433"/>
    <x v="153"/>
    <s v="CUST73040"/>
    <x v="0"/>
    <n v="21"/>
    <x v="3"/>
    <x v="5"/>
    <x v="4"/>
    <x v="2"/>
    <n v="5"/>
    <n v="424"/>
    <n v="5"/>
    <n v="2120"/>
    <n v="106"/>
    <n v="2014"/>
  </r>
  <r>
    <x v="1434"/>
    <x v="342"/>
    <s v="CUST88707"/>
    <x v="0"/>
    <n v="36"/>
    <x v="2"/>
    <x v="5"/>
    <x v="2"/>
    <x v="4"/>
    <n v="2"/>
    <n v="3534"/>
    <n v="10"/>
    <n v="7068"/>
    <n v="706.8"/>
    <n v="6361.2"/>
  </r>
  <r>
    <x v="1435"/>
    <x v="619"/>
    <s v="CUST92295"/>
    <x v="1"/>
    <n v="19"/>
    <x v="3"/>
    <x v="2"/>
    <x v="1"/>
    <x v="4"/>
    <n v="1"/>
    <n v="7695"/>
    <n v="5"/>
    <n v="7695"/>
    <n v="384.75"/>
    <n v="7310.25"/>
  </r>
  <r>
    <x v="1436"/>
    <x v="401"/>
    <s v="CUST79271"/>
    <x v="0"/>
    <n v="63"/>
    <x v="0"/>
    <x v="4"/>
    <x v="0"/>
    <x v="2"/>
    <n v="6"/>
    <n v="6436"/>
    <n v="10"/>
    <n v="38616"/>
    <n v="3861.6"/>
    <n v="34754.400000000001"/>
  </r>
  <r>
    <x v="1437"/>
    <x v="483"/>
    <s v="CUST71865"/>
    <x v="1"/>
    <n v="53"/>
    <x v="0"/>
    <x v="3"/>
    <x v="5"/>
    <x v="3"/>
    <n v="5"/>
    <n v="6300"/>
    <n v="0"/>
    <n v="31500"/>
    <n v="0"/>
    <n v="31500"/>
  </r>
  <r>
    <x v="1438"/>
    <x v="201"/>
    <s v="CUST16072"/>
    <x v="1"/>
    <n v="36"/>
    <x v="2"/>
    <x v="3"/>
    <x v="4"/>
    <x v="3"/>
    <n v="3"/>
    <n v="4109"/>
    <n v="5"/>
    <n v="12327"/>
    <n v="616.35"/>
    <n v="11710.65"/>
  </r>
  <r>
    <x v="1439"/>
    <x v="569"/>
    <s v="CUST35354"/>
    <x v="1"/>
    <n v="56"/>
    <x v="0"/>
    <x v="0"/>
    <x v="0"/>
    <x v="2"/>
    <n v="2"/>
    <n v="7529"/>
    <n v="10"/>
    <n v="15058"/>
    <n v="1505.8"/>
    <n v="13552.2"/>
  </r>
  <r>
    <x v="1440"/>
    <x v="107"/>
    <s v="CUST52598"/>
    <x v="1"/>
    <n v="31"/>
    <x v="1"/>
    <x v="0"/>
    <x v="3"/>
    <x v="3"/>
    <n v="1"/>
    <n v="3313"/>
    <n v="0"/>
    <n v="3313"/>
    <n v="0"/>
    <n v="3313"/>
  </r>
  <r>
    <x v="1441"/>
    <x v="478"/>
    <s v="CUST47322"/>
    <x v="1"/>
    <n v="49"/>
    <x v="0"/>
    <x v="4"/>
    <x v="0"/>
    <x v="0"/>
    <n v="5"/>
    <n v="2394"/>
    <n v="0"/>
    <n v="11970"/>
    <n v="0"/>
    <n v="11970"/>
  </r>
  <r>
    <x v="1442"/>
    <x v="358"/>
    <s v="CUST99213"/>
    <x v="1"/>
    <n v="44"/>
    <x v="2"/>
    <x v="4"/>
    <x v="2"/>
    <x v="4"/>
    <n v="4"/>
    <n v="4286"/>
    <n v="20"/>
    <n v="17144"/>
    <n v="3428.8"/>
    <n v="13715.2"/>
  </r>
  <r>
    <x v="1443"/>
    <x v="620"/>
    <s v="CUST57503"/>
    <x v="1"/>
    <n v="26"/>
    <x v="1"/>
    <x v="5"/>
    <x v="1"/>
    <x v="0"/>
    <n v="5"/>
    <n v="921"/>
    <n v="10"/>
    <n v="4605"/>
    <n v="460.5"/>
    <n v="4144.5"/>
  </r>
  <r>
    <x v="1444"/>
    <x v="621"/>
    <s v="CUST30570"/>
    <x v="1"/>
    <n v="25"/>
    <x v="3"/>
    <x v="4"/>
    <x v="0"/>
    <x v="1"/>
    <n v="7"/>
    <n v="3846"/>
    <n v="10"/>
    <n v="26922"/>
    <n v="2692.2"/>
    <n v="24229.8"/>
  </r>
  <r>
    <x v="1445"/>
    <x v="77"/>
    <s v="CUST97617"/>
    <x v="1"/>
    <n v="36"/>
    <x v="2"/>
    <x v="5"/>
    <x v="1"/>
    <x v="3"/>
    <n v="6"/>
    <n v="2861"/>
    <n v="0"/>
    <n v="17166"/>
    <n v="0"/>
    <n v="17166"/>
  </r>
  <r>
    <x v="1446"/>
    <x v="169"/>
    <s v="CUST85471"/>
    <x v="0"/>
    <n v="32"/>
    <x v="1"/>
    <x v="2"/>
    <x v="1"/>
    <x v="3"/>
    <n v="2"/>
    <n v="1996"/>
    <n v="0"/>
    <n v="3992"/>
    <n v="0"/>
    <n v="3992"/>
  </r>
  <r>
    <x v="1447"/>
    <x v="53"/>
    <s v="CUST58592"/>
    <x v="0"/>
    <n v="29"/>
    <x v="1"/>
    <x v="3"/>
    <x v="5"/>
    <x v="3"/>
    <n v="2"/>
    <n v="2224"/>
    <n v="5"/>
    <n v="4448"/>
    <n v="222.4"/>
    <n v="4225.6000000000004"/>
  </r>
  <r>
    <x v="1448"/>
    <x v="597"/>
    <s v="CUST48333"/>
    <x v="0"/>
    <n v="40"/>
    <x v="2"/>
    <x v="2"/>
    <x v="1"/>
    <x v="2"/>
    <n v="4"/>
    <n v="2323"/>
    <n v="0"/>
    <n v="9292"/>
    <n v="0"/>
    <n v="9292"/>
  </r>
  <r>
    <x v="1449"/>
    <x v="622"/>
    <s v="CUST31342"/>
    <x v="1"/>
    <n v="37"/>
    <x v="2"/>
    <x v="5"/>
    <x v="5"/>
    <x v="3"/>
    <n v="7"/>
    <n v="663"/>
    <n v="5"/>
    <n v="4641"/>
    <n v="232.05"/>
    <n v="4408.95"/>
  </r>
  <r>
    <x v="1450"/>
    <x v="236"/>
    <s v="CUST84868"/>
    <x v="0"/>
    <n v="61"/>
    <x v="0"/>
    <x v="4"/>
    <x v="2"/>
    <x v="4"/>
    <n v="2"/>
    <n v="1370"/>
    <n v="10"/>
    <n v="2740"/>
    <n v="274"/>
    <n v="2466"/>
  </r>
  <r>
    <x v="1451"/>
    <x v="356"/>
    <s v="CUST91519"/>
    <x v="1"/>
    <n v="29"/>
    <x v="1"/>
    <x v="0"/>
    <x v="5"/>
    <x v="2"/>
    <n v="3"/>
    <n v="7101"/>
    <n v="0"/>
    <n v="21303"/>
    <n v="0"/>
    <n v="21303"/>
  </r>
  <r>
    <x v="1452"/>
    <x v="435"/>
    <s v="CUST88989"/>
    <x v="1"/>
    <n v="25"/>
    <x v="3"/>
    <x v="0"/>
    <x v="5"/>
    <x v="2"/>
    <n v="4"/>
    <n v="4121"/>
    <n v="10"/>
    <n v="16484"/>
    <n v="1648.4"/>
    <n v="14835.6"/>
  </r>
  <r>
    <x v="1453"/>
    <x v="256"/>
    <s v="CUST86908"/>
    <x v="0"/>
    <n v="26"/>
    <x v="1"/>
    <x v="0"/>
    <x v="2"/>
    <x v="4"/>
    <n v="5"/>
    <n v="2315"/>
    <n v="0"/>
    <n v="11575"/>
    <n v="0"/>
    <n v="11575"/>
  </r>
  <r>
    <x v="1454"/>
    <x v="416"/>
    <s v="CUST89673"/>
    <x v="0"/>
    <n v="23"/>
    <x v="3"/>
    <x v="2"/>
    <x v="5"/>
    <x v="0"/>
    <n v="4"/>
    <n v="2331"/>
    <n v="0"/>
    <n v="9324"/>
    <n v="0"/>
    <n v="9324"/>
  </r>
  <r>
    <x v="1455"/>
    <x v="623"/>
    <s v="CUST57605"/>
    <x v="0"/>
    <n v="47"/>
    <x v="0"/>
    <x v="3"/>
    <x v="0"/>
    <x v="2"/>
    <n v="7"/>
    <n v="6222"/>
    <n v="0"/>
    <n v="43554"/>
    <n v="0"/>
    <n v="43554"/>
  </r>
  <r>
    <x v="1456"/>
    <x v="227"/>
    <s v="CUST14212"/>
    <x v="1"/>
    <n v="40"/>
    <x v="2"/>
    <x v="5"/>
    <x v="0"/>
    <x v="0"/>
    <n v="7"/>
    <n v="7071"/>
    <n v="5"/>
    <n v="49497"/>
    <n v="2474.85"/>
    <n v="47022.15"/>
  </r>
  <r>
    <x v="1457"/>
    <x v="336"/>
    <s v="CUST12145"/>
    <x v="1"/>
    <n v="57"/>
    <x v="0"/>
    <x v="2"/>
    <x v="3"/>
    <x v="1"/>
    <n v="1"/>
    <n v="288"/>
    <n v="0"/>
    <n v="288"/>
    <n v="0"/>
    <n v="288"/>
  </r>
  <r>
    <x v="1458"/>
    <x v="297"/>
    <s v="CUST60023"/>
    <x v="1"/>
    <n v="18"/>
    <x v="3"/>
    <x v="1"/>
    <x v="3"/>
    <x v="1"/>
    <n v="1"/>
    <n v="4938"/>
    <n v="15"/>
    <n v="4938"/>
    <n v="740.7"/>
    <n v="4197.3"/>
  </r>
  <r>
    <x v="1459"/>
    <x v="415"/>
    <s v="CUST46318"/>
    <x v="0"/>
    <n v="41"/>
    <x v="2"/>
    <x v="4"/>
    <x v="0"/>
    <x v="0"/>
    <n v="4"/>
    <n v="5235"/>
    <n v="0"/>
    <n v="20940"/>
    <n v="0"/>
    <n v="20940"/>
  </r>
  <r>
    <x v="1460"/>
    <x v="489"/>
    <s v="CUST83458"/>
    <x v="0"/>
    <n v="52"/>
    <x v="0"/>
    <x v="4"/>
    <x v="1"/>
    <x v="3"/>
    <n v="4"/>
    <n v="384"/>
    <n v="0"/>
    <n v="1536"/>
    <n v="0"/>
    <n v="1536"/>
  </r>
  <r>
    <x v="1461"/>
    <x v="279"/>
    <s v="CUST18475"/>
    <x v="0"/>
    <n v="55"/>
    <x v="0"/>
    <x v="5"/>
    <x v="0"/>
    <x v="3"/>
    <n v="2"/>
    <n v="2342"/>
    <n v="10"/>
    <n v="4684"/>
    <n v="468.4"/>
    <n v="4215.6000000000004"/>
  </r>
  <r>
    <x v="1462"/>
    <x v="102"/>
    <s v="CUST43186"/>
    <x v="0"/>
    <n v="23"/>
    <x v="3"/>
    <x v="5"/>
    <x v="2"/>
    <x v="0"/>
    <n v="5"/>
    <n v="2537"/>
    <n v="0"/>
    <n v="12685"/>
    <n v="0"/>
    <n v="12685"/>
  </r>
  <r>
    <x v="1463"/>
    <x v="89"/>
    <s v="CUST87256"/>
    <x v="1"/>
    <n v="51"/>
    <x v="0"/>
    <x v="2"/>
    <x v="2"/>
    <x v="2"/>
    <n v="7"/>
    <n v="3272"/>
    <n v="5"/>
    <n v="22904"/>
    <n v="1145.2"/>
    <n v="21758.799999999999"/>
  </r>
  <r>
    <x v="1464"/>
    <x v="342"/>
    <s v="CUST24705"/>
    <x v="0"/>
    <n v="28"/>
    <x v="1"/>
    <x v="4"/>
    <x v="5"/>
    <x v="0"/>
    <n v="5"/>
    <n v="6732"/>
    <n v="0"/>
    <n v="33660"/>
    <n v="0"/>
    <n v="33660"/>
  </r>
  <r>
    <x v="1465"/>
    <x v="85"/>
    <s v="CUST62853"/>
    <x v="0"/>
    <n v="49"/>
    <x v="0"/>
    <x v="1"/>
    <x v="2"/>
    <x v="3"/>
    <n v="5"/>
    <n v="5934"/>
    <n v="15"/>
    <n v="29670"/>
    <n v="4450.5"/>
    <n v="25219.5"/>
  </r>
  <r>
    <x v="1466"/>
    <x v="420"/>
    <s v="CUST48800"/>
    <x v="0"/>
    <n v="48"/>
    <x v="0"/>
    <x v="1"/>
    <x v="1"/>
    <x v="3"/>
    <n v="5"/>
    <n v="4203"/>
    <n v="0"/>
    <n v="21015"/>
    <n v="0"/>
    <n v="21015"/>
  </r>
  <r>
    <x v="1467"/>
    <x v="436"/>
    <s v="CUST90912"/>
    <x v="1"/>
    <n v="64"/>
    <x v="0"/>
    <x v="1"/>
    <x v="1"/>
    <x v="2"/>
    <n v="2"/>
    <n v="4220"/>
    <n v="0"/>
    <n v="8440"/>
    <n v="0"/>
    <n v="8440"/>
  </r>
  <r>
    <x v="1468"/>
    <x v="344"/>
    <s v="CUST31856"/>
    <x v="1"/>
    <n v="48"/>
    <x v="0"/>
    <x v="3"/>
    <x v="0"/>
    <x v="2"/>
    <n v="1"/>
    <n v="3889"/>
    <n v="15"/>
    <n v="3889"/>
    <n v="583.35"/>
    <n v="3305.65"/>
  </r>
  <r>
    <x v="1469"/>
    <x v="18"/>
    <s v="CUST85922"/>
    <x v="0"/>
    <n v="47"/>
    <x v="0"/>
    <x v="2"/>
    <x v="0"/>
    <x v="3"/>
    <n v="2"/>
    <n v="5318"/>
    <n v="15"/>
    <n v="10636"/>
    <n v="1595.4"/>
    <n v="9040.6"/>
  </r>
  <r>
    <x v="1470"/>
    <x v="310"/>
    <s v="CUST25567"/>
    <x v="1"/>
    <n v="44"/>
    <x v="2"/>
    <x v="2"/>
    <x v="3"/>
    <x v="0"/>
    <n v="4"/>
    <n v="6239"/>
    <n v="0"/>
    <n v="24956"/>
    <n v="0"/>
    <n v="24956"/>
  </r>
  <r>
    <x v="1471"/>
    <x v="624"/>
    <s v="CUST29024"/>
    <x v="1"/>
    <n v="46"/>
    <x v="0"/>
    <x v="2"/>
    <x v="0"/>
    <x v="1"/>
    <n v="3"/>
    <n v="889"/>
    <n v="0"/>
    <n v="2667"/>
    <n v="0"/>
    <n v="2667"/>
  </r>
  <r>
    <x v="1472"/>
    <x v="406"/>
    <s v="CUST59528"/>
    <x v="0"/>
    <n v="51"/>
    <x v="0"/>
    <x v="4"/>
    <x v="0"/>
    <x v="2"/>
    <n v="4"/>
    <n v="1030"/>
    <n v="15"/>
    <n v="4120"/>
    <n v="618"/>
    <n v="3502"/>
  </r>
  <r>
    <x v="1473"/>
    <x v="593"/>
    <s v="CUST60399"/>
    <x v="0"/>
    <n v="43"/>
    <x v="2"/>
    <x v="5"/>
    <x v="4"/>
    <x v="2"/>
    <n v="2"/>
    <n v="6139"/>
    <n v="0"/>
    <n v="12278"/>
    <n v="0"/>
    <n v="12278"/>
  </r>
  <r>
    <x v="1474"/>
    <x v="58"/>
    <s v="CUST96504"/>
    <x v="1"/>
    <n v="54"/>
    <x v="0"/>
    <x v="4"/>
    <x v="2"/>
    <x v="1"/>
    <n v="2"/>
    <n v="7136"/>
    <n v="10"/>
    <n v="14272"/>
    <n v="1427.2"/>
    <n v="12844.8"/>
  </r>
  <r>
    <x v="1475"/>
    <x v="116"/>
    <s v="CUST65090"/>
    <x v="1"/>
    <n v="62"/>
    <x v="0"/>
    <x v="4"/>
    <x v="4"/>
    <x v="1"/>
    <n v="4"/>
    <n v="3679"/>
    <n v="0"/>
    <n v="14716"/>
    <n v="0"/>
    <n v="14716"/>
  </r>
  <r>
    <x v="1476"/>
    <x v="91"/>
    <s v="CUST45215"/>
    <x v="0"/>
    <n v="58"/>
    <x v="0"/>
    <x v="5"/>
    <x v="1"/>
    <x v="3"/>
    <n v="5"/>
    <n v="7311"/>
    <n v="15"/>
    <n v="36555"/>
    <n v="5483.25"/>
    <n v="31071.75"/>
  </r>
  <r>
    <x v="1477"/>
    <x v="20"/>
    <s v="CUST88794"/>
    <x v="0"/>
    <n v="59"/>
    <x v="0"/>
    <x v="1"/>
    <x v="5"/>
    <x v="4"/>
    <n v="4"/>
    <n v="7615"/>
    <n v="5"/>
    <n v="30460"/>
    <n v="1523"/>
    <n v="28937"/>
  </r>
  <r>
    <x v="1478"/>
    <x v="266"/>
    <s v="CUST68926"/>
    <x v="0"/>
    <n v="20"/>
    <x v="3"/>
    <x v="4"/>
    <x v="2"/>
    <x v="0"/>
    <n v="4"/>
    <n v="7395"/>
    <n v="5"/>
    <n v="29580"/>
    <n v="1479"/>
    <n v="28101"/>
  </r>
  <r>
    <x v="1479"/>
    <x v="398"/>
    <s v="CUST57881"/>
    <x v="1"/>
    <n v="61"/>
    <x v="0"/>
    <x v="2"/>
    <x v="0"/>
    <x v="2"/>
    <n v="6"/>
    <n v="5241"/>
    <n v="5"/>
    <n v="31446"/>
    <n v="1572.3"/>
    <n v="29873.7"/>
  </r>
  <r>
    <x v="1480"/>
    <x v="253"/>
    <s v="CUST90733"/>
    <x v="1"/>
    <n v="44"/>
    <x v="2"/>
    <x v="1"/>
    <x v="2"/>
    <x v="1"/>
    <n v="2"/>
    <n v="6589"/>
    <n v="0"/>
    <n v="13178"/>
    <n v="0"/>
    <n v="13178"/>
  </r>
  <r>
    <x v="1481"/>
    <x v="96"/>
    <s v="CUST64953"/>
    <x v="0"/>
    <n v="24"/>
    <x v="3"/>
    <x v="1"/>
    <x v="2"/>
    <x v="0"/>
    <n v="3"/>
    <n v="3881"/>
    <n v="5"/>
    <n v="11643"/>
    <n v="582.15"/>
    <n v="11060.85"/>
  </r>
  <r>
    <x v="1482"/>
    <x v="561"/>
    <s v="CUST11745"/>
    <x v="0"/>
    <n v="47"/>
    <x v="0"/>
    <x v="3"/>
    <x v="0"/>
    <x v="4"/>
    <n v="7"/>
    <n v="5803"/>
    <n v="15"/>
    <n v="40621"/>
    <n v="6093.15"/>
    <n v="34527.85"/>
  </r>
  <r>
    <x v="1483"/>
    <x v="451"/>
    <s v="CUST85245"/>
    <x v="1"/>
    <n v="47"/>
    <x v="0"/>
    <x v="3"/>
    <x v="5"/>
    <x v="3"/>
    <n v="1"/>
    <n v="1464"/>
    <n v="10"/>
    <n v="1464"/>
    <n v="146.4"/>
    <n v="1317.6"/>
  </r>
  <r>
    <x v="1484"/>
    <x v="164"/>
    <s v="CUST21392"/>
    <x v="1"/>
    <n v="25"/>
    <x v="3"/>
    <x v="5"/>
    <x v="0"/>
    <x v="3"/>
    <n v="7"/>
    <n v="314"/>
    <n v="0"/>
    <n v="2198"/>
    <n v="0"/>
    <n v="2198"/>
  </r>
  <r>
    <x v="1485"/>
    <x v="143"/>
    <s v="CUST62148"/>
    <x v="1"/>
    <n v="54"/>
    <x v="0"/>
    <x v="4"/>
    <x v="0"/>
    <x v="2"/>
    <n v="2"/>
    <n v="568"/>
    <n v="0"/>
    <n v="1136"/>
    <n v="0"/>
    <n v="1136"/>
  </r>
  <r>
    <x v="1486"/>
    <x v="339"/>
    <s v="CUST18302"/>
    <x v="1"/>
    <n v="54"/>
    <x v="0"/>
    <x v="1"/>
    <x v="2"/>
    <x v="3"/>
    <n v="2"/>
    <n v="2586"/>
    <n v="15"/>
    <n v="5172"/>
    <n v="775.8"/>
    <n v="4396.2"/>
  </r>
  <r>
    <x v="1487"/>
    <x v="283"/>
    <s v="CUST17634"/>
    <x v="1"/>
    <n v="29"/>
    <x v="1"/>
    <x v="0"/>
    <x v="0"/>
    <x v="3"/>
    <n v="5"/>
    <n v="1396"/>
    <n v="10"/>
    <n v="6980"/>
    <n v="698"/>
    <n v="6282"/>
  </r>
  <r>
    <x v="1488"/>
    <x v="454"/>
    <s v="CUST60979"/>
    <x v="1"/>
    <n v="61"/>
    <x v="0"/>
    <x v="3"/>
    <x v="0"/>
    <x v="3"/>
    <n v="1"/>
    <n v="1082"/>
    <n v="20"/>
    <n v="1082"/>
    <n v="216.4"/>
    <n v="865.6"/>
  </r>
  <r>
    <x v="1489"/>
    <x v="244"/>
    <s v="CUST33660"/>
    <x v="1"/>
    <n v="27"/>
    <x v="1"/>
    <x v="4"/>
    <x v="0"/>
    <x v="4"/>
    <n v="6"/>
    <n v="306"/>
    <n v="10"/>
    <n v="1836"/>
    <n v="183.6"/>
    <n v="1652.4"/>
  </r>
  <r>
    <x v="1490"/>
    <x v="223"/>
    <s v="CUST65854"/>
    <x v="0"/>
    <n v="39"/>
    <x v="2"/>
    <x v="4"/>
    <x v="2"/>
    <x v="3"/>
    <n v="5"/>
    <n v="7588"/>
    <n v="15"/>
    <n v="37940"/>
    <n v="5691"/>
    <n v="32249"/>
  </r>
  <r>
    <x v="1491"/>
    <x v="580"/>
    <s v="CUST83209"/>
    <x v="0"/>
    <n v="29"/>
    <x v="1"/>
    <x v="5"/>
    <x v="0"/>
    <x v="0"/>
    <n v="2"/>
    <n v="6731"/>
    <n v="0"/>
    <n v="13462"/>
    <n v="0"/>
    <n v="13462"/>
  </r>
  <r>
    <x v="1492"/>
    <x v="254"/>
    <s v="CUST21442"/>
    <x v="1"/>
    <n v="46"/>
    <x v="0"/>
    <x v="1"/>
    <x v="1"/>
    <x v="3"/>
    <n v="4"/>
    <n v="6962"/>
    <n v="5"/>
    <n v="27848"/>
    <n v="1392.4"/>
    <n v="26455.599999999999"/>
  </r>
  <r>
    <x v="1493"/>
    <x v="458"/>
    <s v="CUST84168"/>
    <x v="0"/>
    <n v="62"/>
    <x v="0"/>
    <x v="3"/>
    <x v="0"/>
    <x v="3"/>
    <n v="6"/>
    <n v="2764"/>
    <n v="0"/>
    <n v="16584"/>
    <n v="0"/>
    <n v="16584"/>
  </r>
  <r>
    <x v="1494"/>
    <x v="574"/>
    <s v="CUST54611"/>
    <x v="1"/>
    <n v="25"/>
    <x v="3"/>
    <x v="0"/>
    <x v="1"/>
    <x v="3"/>
    <n v="3"/>
    <n v="6638"/>
    <n v="10"/>
    <n v="19914"/>
    <n v="1991.4"/>
    <n v="17922.599999999999"/>
  </r>
  <r>
    <x v="1495"/>
    <x v="220"/>
    <s v="CUST15016"/>
    <x v="1"/>
    <n v="33"/>
    <x v="1"/>
    <x v="2"/>
    <x v="1"/>
    <x v="0"/>
    <n v="2"/>
    <n v="3181"/>
    <n v="10"/>
    <n v="6362"/>
    <n v="636.20000000000005"/>
    <n v="5725.8"/>
  </r>
  <r>
    <x v="1496"/>
    <x v="625"/>
    <s v="CUST18698"/>
    <x v="1"/>
    <n v="19"/>
    <x v="3"/>
    <x v="2"/>
    <x v="0"/>
    <x v="0"/>
    <n v="5"/>
    <n v="5455"/>
    <n v="0"/>
    <n v="27275"/>
    <n v="0"/>
    <n v="27275"/>
  </r>
  <r>
    <x v="1497"/>
    <x v="580"/>
    <s v="CUST88163"/>
    <x v="0"/>
    <n v="61"/>
    <x v="0"/>
    <x v="2"/>
    <x v="5"/>
    <x v="3"/>
    <n v="2"/>
    <n v="3987"/>
    <n v="0"/>
    <n v="7974"/>
    <n v="0"/>
    <n v="7974"/>
  </r>
  <r>
    <x v="1498"/>
    <x v="626"/>
    <s v="CUST64020"/>
    <x v="0"/>
    <n v="42"/>
    <x v="2"/>
    <x v="1"/>
    <x v="1"/>
    <x v="3"/>
    <n v="5"/>
    <n v="731"/>
    <n v="0"/>
    <n v="3655"/>
    <n v="0"/>
    <n v="3655"/>
  </r>
  <r>
    <x v="1499"/>
    <x v="30"/>
    <s v="CUST43222"/>
    <x v="1"/>
    <n v="44"/>
    <x v="2"/>
    <x v="5"/>
    <x v="1"/>
    <x v="3"/>
    <n v="4"/>
    <n v="5147"/>
    <n v="0"/>
    <n v="20588"/>
    <n v="0"/>
    <n v="20588"/>
  </r>
  <r>
    <x v="1500"/>
    <x v="572"/>
    <s v="CUST61400"/>
    <x v="1"/>
    <n v="44"/>
    <x v="2"/>
    <x v="1"/>
    <x v="3"/>
    <x v="4"/>
    <n v="1"/>
    <n v="4226"/>
    <n v="5"/>
    <n v="4226"/>
    <n v="211.3"/>
    <n v="4014.7"/>
  </r>
  <r>
    <x v="1501"/>
    <x v="66"/>
    <s v="CUST14771"/>
    <x v="1"/>
    <n v="60"/>
    <x v="0"/>
    <x v="1"/>
    <x v="0"/>
    <x v="4"/>
    <n v="5"/>
    <n v="3382"/>
    <n v="0"/>
    <n v="16910"/>
    <n v="0"/>
    <n v="16910"/>
  </r>
  <r>
    <x v="1502"/>
    <x v="502"/>
    <s v="CUST20769"/>
    <x v="1"/>
    <n v="51"/>
    <x v="0"/>
    <x v="4"/>
    <x v="2"/>
    <x v="4"/>
    <n v="5"/>
    <n v="3418"/>
    <n v="20"/>
    <n v="17090"/>
    <n v="3418"/>
    <n v="13672"/>
  </r>
  <r>
    <x v="1503"/>
    <x v="141"/>
    <s v="CUST86891"/>
    <x v="1"/>
    <n v="58"/>
    <x v="0"/>
    <x v="3"/>
    <x v="0"/>
    <x v="0"/>
    <n v="2"/>
    <n v="6790"/>
    <n v="10"/>
    <n v="13580"/>
    <n v="1358"/>
    <n v="12222"/>
  </r>
  <r>
    <x v="1504"/>
    <x v="416"/>
    <s v="CUST42909"/>
    <x v="1"/>
    <n v="39"/>
    <x v="2"/>
    <x v="2"/>
    <x v="2"/>
    <x v="3"/>
    <n v="1"/>
    <n v="4072"/>
    <n v="0"/>
    <n v="4072"/>
    <n v="0"/>
    <n v="4072"/>
  </r>
  <r>
    <x v="1505"/>
    <x v="406"/>
    <s v="CUST14693"/>
    <x v="1"/>
    <n v="60"/>
    <x v="0"/>
    <x v="3"/>
    <x v="4"/>
    <x v="2"/>
    <n v="4"/>
    <n v="3203"/>
    <n v="5"/>
    <n v="12812"/>
    <n v="640.6"/>
    <n v="12171.4"/>
  </r>
  <r>
    <x v="1506"/>
    <x v="627"/>
    <s v="CUST89572"/>
    <x v="0"/>
    <n v="45"/>
    <x v="2"/>
    <x v="4"/>
    <x v="1"/>
    <x v="4"/>
    <n v="5"/>
    <n v="4399"/>
    <n v="5"/>
    <n v="21995"/>
    <n v="1099.75"/>
    <n v="20895.25"/>
  </r>
  <r>
    <x v="1507"/>
    <x v="199"/>
    <s v="CUST76281"/>
    <x v="0"/>
    <n v="18"/>
    <x v="3"/>
    <x v="3"/>
    <x v="3"/>
    <x v="2"/>
    <n v="3"/>
    <n v="4921"/>
    <n v="0"/>
    <n v="14763"/>
    <n v="0"/>
    <n v="14763"/>
  </r>
  <r>
    <x v="1508"/>
    <x v="139"/>
    <s v="CUST93197"/>
    <x v="1"/>
    <n v="36"/>
    <x v="2"/>
    <x v="1"/>
    <x v="1"/>
    <x v="2"/>
    <n v="5"/>
    <n v="2710"/>
    <n v="5"/>
    <n v="13550"/>
    <n v="677.5"/>
    <n v="12872.5"/>
  </r>
  <r>
    <x v="1509"/>
    <x v="147"/>
    <s v="CUST53818"/>
    <x v="1"/>
    <n v="32"/>
    <x v="1"/>
    <x v="0"/>
    <x v="2"/>
    <x v="2"/>
    <n v="2"/>
    <n v="2802"/>
    <n v="5"/>
    <n v="5604"/>
    <n v="280.2"/>
    <n v="5323.8"/>
  </r>
  <r>
    <x v="1510"/>
    <x v="139"/>
    <s v="CUST97413"/>
    <x v="0"/>
    <n v="21"/>
    <x v="3"/>
    <x v="4"/>
    <x v="0"/>
    <x v="1"/>
    <n v="7"/>
    <n v="5061"/>
    <n v="0"/>
    <n v="35427"/>
    <n v="0"/>
    <n v="35427"/>
  </r>
  <r>
    <x v="1511"/>
    <x v="628"/>
    <s v="CUST48324"/>
    <x v="0"/>
    <n v="32"/>
    <x v="1"/>
    <x v="0"/>
    <x v="3"/>
    <x v="2"/>
    <n v="1"/>
    <n v="4311"/>
    <n v="5"/>
    <n v="4311"/>
    <n v="215.55"/>
    <n v="4095.45"/>
  </r>
  <r>
    <x v="1512"/>
    <x v="361"/>
    <s v="CUST48105"/>
    <x v="0"/>
    <n v="29"/>
    <x v="1"/>
    <x v="0"/>
    <x v="3"/>
    <x v="0"/>
    <n v="1"/>
    <n v="7019"/>
    <n v="5"/>
    <n v="7019"/>
    <n v="350.95"/>
    <n v="6668.05"/>
  </r>
  <r>
    <x v="1513"/>
    <x v="317"/>
    <s v="CUST90938"/>
    <x v="1"/>
    <n v="35"/>
    <x v="1"/>
    <x v="5"/>
    <x v="3"/>
    <x v="2"/>
    <n v="2"/>
    <n v="4894"/>
    <n v="15"/>
    <n v="9788"/>
    <n v="1468.2"/>
    <n v="8319.7999999999993"/>
  </r>
  <r>
    <x v="1514"/>
    <x v="605"/>
    <s v="CUST66602"/>
    <x v="1"/>
    <n v="62"/>
    <x v="0"/>
    <x v="1"/>
    <x v="2"/>
    <x v="0"/>
    <n v="7"/>
    <n v="1071"/>
    <n v="15"/>
    <n v="7497"/>
    <n v="1124.55"/>
    <n v="6372.45"/>
  </r>
  <r>
    <x v="1515"/>
    <x v="77"/>
    <s v="CUST82319"/>
    <x v="1"/>
    <n v="60"/>
    <x v="0"/>
    <x v="0"/>
    <x v="4"/>
    <x v="2"/>
    <n v="5"/>
    <n v="4498"/>
    <n v="20"/>
    <n v="22490"/>
    <n v="4498"/>
    <n v="17992"/>
  </r>
  <r>
    <x v="1516"/>
    <x v="165"/>
    <s v="CUST74695"/>
    <x v="1"/>
    <n v="38"/>
    <x v="2"/>
    <x v="5"/>
    <x v="0"/>
    <x v="4"/>
    <n v="4"/>
    <n v="6815"/>
    <n v="10"/>
    <n v="27260"/>
    <n v="2726"/>
    <n v="24534"/>
  </r>
  <r>
    <x v="1517"/>
    <x v="144"/>
    <s v="CUST13309"/>
    <x v="0"/>
    <n v="28"/>
    <x v="1"/>
    <x v="5"/>
    <x v="5"/>
    <x v="1"/>
    <n v="3"/>
    <n v="2350"/>
    <n v="5"/>
    <n v="7050"/>
    <n v="352.5"/>
    <n v="6697.5"/>
  </r>
  <r>
    <x v="1518"/>
    <x v="335"/>
    <s v="CUST51787"/>
    <x v="0"/>
    <n v="21"/>
    <x v="3"/>
    <x v="4"/>
    <x v="3"/>
    <x v="4"/>
    <n v="7"/>
    <n v="4858"/>
    <n v="5"/>
    <n v="34006"/>
    <n v="1700.3"/>
    <n v="32305.7"/>
  </r>
  <r>
    <x v="1519"/>
    <x v="402"/>
    <s v="CUST47548"/>
    <x v="1"/>
    <n v="59"/>
    <x v="0"/>
    <x v="2"/>
    <x v="2"/>
    <x v="2"/>
    <n v="7"/>
    <n v="913"/>
    <n v="0"/>
    <n v="6391"/>
    <n v="0"/>
    <n v="6391"/>
  </r>
  <r>
    <x v="1520"/>
    <x v="629"/>
    <s v="CUST60523"/>
    <x v="0"/>
    <n v="63"/>
    <x v="0"/>
    <x v="2"/>
    <x v="0"/>
    <x v="2"/>
    <n v="6"/>
    <n v="6155"/>
    <n v="0"/>
    <n v="36930"/>
    <n v="0"/>
    <n v="36930"/>
  </r>
  <r>
    <x v="1521"/>
    <x v="512"/>
    <s v="CUST92646"/>
    <x v="0"/>
    <n v="34"/>
    <x v="1"/>
    <x v="3"/>
    <x v="5"/>
    <x v="0"/>
    <n v="3"/>
    <n v="281"/>
    <n v="15"/>
    <n v="843"/>
    <n v="126.45"/>
    <n v="716.55"/>
  </r>
  <r>
    <x v="1522"/>
    <x v="535"/>
    <s v="CUST56096"/>
    <x v="1"/>
    <n v="25"/>
    <x v="3"/>
    <x v="0"/>
    <x v="2"/>
    <x v="4"/>
    <n v="7"/>
    <n v="858"/>
    <n v="0"/>
    <n v="6006"/>
    <n v="0"/>
    <n v="6006"/>
  </r>
  <r>
    <x v="1523"/>
    <x v="600"/>
    <s v="CUST11951"/>
    <x v="1"/>
    <n v="53"/>
    <x v="0"/>
    <x v="0"/>
    <x v="3"/>
    <x v="4"/>
    <n v="6"/>
    <n v="1724"/>
    <n v="0"/>
    <n v="10344"/>
    <n v="0"/>
    <n v="10344"/>
  </r>
  <r>
    <x v="1524"/>
    <x v="79"/>
    <s v="CUST30772"/>
    <x v="1"/>
    <n v="38"/>
    <x v="2"/>
    <x v="1"/>
    <x v="4"/>
    <x v="3"/>
    <n v="4"/>
    <n v="4625"/>
    <n v="0"/>
    <n v="18500"/>
    <n v="0"/>
    <n v="18500"/>
  </r>
  <r>
    <x v="1525"/>
    <x v="630"/>
    <s v="CUST75760"/>
    <x v="0"/>
    <n v="49"/>
    <x v="0"/>
    <x v="1"/>
    <x v="0"/>
    <x v="0"/>
    <n v="2"/>
    <n v="7179"/>
    <n v="10"/>
    <n v="14358"/>
    <n v="1435.8"/>
    <n v="12922.2"/>
  </r>
  <r>
    <x v="1526"/>
    <x v="69"/>
    <s v="CUST11183"/>
    <x v="1"/>
    <n v="22"/>
    <x v="3"/>
    <x v="2"/>
    <x v="5"/>
    <x v="2"/>
    <n v="6"/>
    <n v="3193"/>
    <n v="5"/>
    <n v="19158"/>
    <n v="957.9"/>
    <n v="18200.099999999999"/>
  </r>
  <r>
    <x v="1527"/>
    <x v="131"/>
    <s v="CUST25009"/>
    <x v="0"/>
    <n v="58"/>
    <x v="0"/>
    <x v="1"/>
    <x v="3"/>
    <x v="3"/>
    <n v="2"/>
    <n v="5283"/>
    <n v="15"/>
    <n v="10566"/>
    <n v="1584.9"/>
    <n v="8981.1"/>
  </r>
  <r>
    <x v="1528"/>
    <x v="145"/>
    <s v="CUST38029"/>
    <x v="0"/>
    <n v="40"/>
    <x v="2"/>
    <x v="0"/>
    <x v="5"/>
    <x v="3"/>
    <n v="4"/>
    <n v="7929"/>
    <n v="15"/>
    <n v="31716"/>
    <n v="4757.3999999999996"/>
    <n v="26958.6"/>
  </r>
  <r>
    <x v="1529"/>
    <x v="373"/>
    <s v="CUST78025"/>
    <x v="1"/>
    <n v="27"/>
    <x v="1"/>
    <x v="4"/>
    <x v="0"/>
    <x v="4"/>
    <n v="6"/>
    <n v="643"/>
    <n v="5"/>
    <n v="3858"/>
    <n v="192.9"/>
    <n v="3665.1"/>
  </r>
  <r>
    <x v="1530"/>
    <x v="330"/>
    <s v="CUST48148"/>
    <x v="0"/>
    <n v="38"/>
    <x v="2"/>
    <x v="0"/>
    <x v="5"/>
    <x v="0"/>
    <n v="2"/>
    <n v="573"/>
    <n v="5"/>
    <n v="1146"/>
    <n v="57.3"/>
    <n v="1088.7"/>
  </r>
  <r>
    <x v="1531"/>
    <x v="7"/>
    <s v="CUST48417"/>
    <x v="0"/>
    <n v="32"/>
    <x v="1"/>
    <x v="0"/>
    <x v="0"/>
    <x v="4"/>
    <n v="6"/>
    <n v="6369"/>
    <n v="0"/>
    <n v="38214"/>
    <n v="0"/>
    <n v="38214"/>
  </r>
  <r>
    <x v="1532"/>
    <x v="631"/>
    <s v="CUST68814"/>
    <x v="1"/>
    <n v="31"/>
    <x v="1"/>
    <x v="5"/>
    <x v="3"/>
    <x v="4"/>
    <n v="1"/>
    <n v="4739"/>
    <n v="15"/>
    <n v="4739"/>
    <n v="710.85"/>
    <n v="4028.15"/>
  </r>
  <r>
    <x v="1533"/>
    <x v="495"/>
    <s v="CUST74421"/>
    <x v="0"/>
    <n v="62"/>
    <x v="0"/>
    <x v="1"/>
    <x v="5"/>
    <x v="3"/>
    <n v="4"/>
    <n v="1521"/>
    <n v="10"/>
    <n v="6084"/>
    <n v="608.4"/>
    <n v="5475.6"/>
  </r>
  <r>
    <x v="1534"/>
    <x v="582"/>
    <s v="CUST10124"/>
    <x v="0"/>
    <n v="21"/>
    <x v="3"/>
    <x v="3"/>
    <x v="0"/>
    <x v="2"/>
    <n v="3"/>
    <n v="3084"/>
    <n v="0"/>
    <n v="9252"/>
    <n v="0"/>
    <n v="9252"/>
  </r>
  <r>
    <x v="1535"/>
    <x v="265"/>
    <s v="CUST76094"/>
    <x v="1"/>
    <n v="21"/>
    <x v="3"/>
    <x v="0"/>
    <x v="2"/>
    <x v="0"/>
    <n v="1"/>
    <n v="3935"/>
    <n v="10"/>
    <n v="3935"/>
    <n v="393.5"/>
    <n v="3541.5"/>
  </r>
  <r>
    <x v="1536"/>
    <x v="448"/>
    <s v="CUST36581"/>
    <x v="0"/>
    <n v="30"/>
    <x v="1"/>
    <x v="5"/>
    <x v="2"/>
    <x v="0"/>
    <n v="4"/>
    <n v="7746"/>
    <n v="0"/>
    <n v="30984"/>
    <n v="0"/>
    <n v="30984"/>
  </r>
  <r>
    <x v="1537"/>
    <x v="93"/>
    <s v="CUST86269"/>
    <x v="1"/>
    <n v="35"/>
    <x v="1"/>
    <x v="0"/>
    <x v="2"/>
    <x v="3"/>
    <n v="5"/>
    <n v="1835"/>
    <n v="0"/>
    <n v="9175"/>
    <n v="0"/>
    <n v="9175"/>
  </r>
  <r>
    <x v="1538"/>
    <x v="331"/>
    <s v="CUST60062"/>
    <x v="1"/>
    <n v="22"/>
    <x v="3"/>
    <x v="4"/>
    <x v="2"/>
    <x v="1"/>
    <n v="7"/>
    <n v="2236"/>
    <n v="0"/>
    <n v="15652"/>
    <n v="0"/>
    <n v="15652"/>
  </r>
  <r>
    <x v="1539"/>
    <x v="323"/>
    <s v="CUST14590"/>
    <x v="1"/>
    <n v="21"/>
    <x v="3"/>
    <x v="5"/>
    <x v="0"/>
    <x v="3"/>
    <n v="6"/>
    <n v="5823"/>
    <n v="5"/>
    <n v="34938"/>
    <n v="1746.9"/>
    <n v="33191.1"/>
  </r>
  <r>
    <x v="1540"/>
    <x v="632"/>
    <s v="CUST88313"/>
    <x v="0"/>
    <n v="34"/>
    <x v="1"/>
    <x v="4"/>
    <x v="2"/>
    <x v="3"/>
    <n v="2"/>
    <n v="5548"/>
    <n v="0"/>
    <n v="11096"/>
    <n v="0"/>
    <n v="11096"/>
  </r>
  <r>
    <x v="1541"/>
    <x v="359"/>
    <s v="CUST51854"/>
    <x v="1"/>
    <n v="62"/>
    <x v="0"/>
    <x v="0"/>
    <x v="2"/>
    <x v="0"/>
    <n v="6"/>
    <n v="3481"/>
    <n v="0"/>
    <n v="20886"/>
    <n v="0"/>
    <n v="20886"/>
  </r>
  <r>
    <x v="1542"/>
    <x v="633"/>
    <s v="CUST16846"/>
    <x v="1"/>
    <n v="25"/>
    <x v="3"/>
    <x v="1"/>
    <x v="0"/>
    <x v="4"/>
    <n v="4"/>
    <n v="328"/>
    <n v="0"/>
    <n v="1312"/>
    <n v="0"/>
    <n v="1312"/>
  </r>
  <r>
    <x v="1543"/>
    <x v="231"/>
    <s v="CUST79984"/>
    <x v="0"/>
    <n v="41"/>
    <x v="2"/>
    <x v="0"/>
    <x v="0"/>
    <x v="4"/>
    <n v="4"/>
    <n v="443"/>
    <n v="5"/>
    <n v="1772"/>
    <n v="88.6"/>
    <n v="1683.4"/>
  </r>
  <r>
    <x v="1544"/>
    <x v="634"/>
    <s v="CUST90006"/>
    <x v="0"/>
    <n v="32"/>
    <x v="1"/>
    <x v="4"/>
    <x v="5"/>
    <x v="0"/>
    <n v="1"/>
    <n v="5222"/>
    <n v="10"/>
    <n v="5222"/>
    <n v="522.20000000000005"/>
    <n v="4699.8"/>
  </r>
  <r>
    <x v="1545"/>
    <x v="282"/>
    <s v="CUST29075"/>
    <x v="0"/>
    <n v="46"/>
    <x v="0"/>
    <x v="0"/>
    <x v="2"/>
    <x v="2"/>
    <n v="1"/>
    <n v="3072"/>
    <n v="0"/>
    <n v="3072"/>
    <n v="0"/>
    <n v="3072"/>
  </r>
  <r>
    <x v="1546"/>
    <x v="82"/>
    <s v="CUST97963"/>
    <x v="0"/>
    <n v="36"/>
    <x v="2"/>
    <x v="3"/>
    <x v="1"/>
    <x v="2"/>
    <n v="3"/>
    <n v="2658"/>
    <n v="0"/>
    <n v="7974"/>
    <n v="0"/>
    <n v="7974"/>
  </r>
  <r>
    <x v="1547"/>
    <x v="50"/>
    <s v="CUST45086"/>
    <x v="1"/>
    <n v="64"/>
    <x v="0"/>
    <x v="0"/>
    <x v="0"/>
    <x v="0"/>
    <n v="1"/>
    <n v="4177"/>
    <n v="5"/>
    <n v="4177"/>
    <n v="208.85"/>
    <n v="3968.15"/>
  </r>
  <r>
    <x v="1548"/>
    <x v="469"/>
    <s v="CUST97673"/>
    <x v="1"/>
    <n v="62"/>
    <x v="0"/>
    <x v="4"/>
    <x v="1"/>
    <x v="3"/>
    <n v="6"/>
    <n v="4424"/>
    <n v="0"/>
    <n v="26544"/>
    <n v="0"/>
    <n v="26544"/>
  </r>
  <r>
    <x v="1549"/>
    <x v="300"/>
    <s v="CUST13295"/>
    <x v="0"/>
    <n v="54"/>
    <x v="0"/>
    <x v="4"/>
    <x v="5"/>
    <x v="4"/>
    <n v="2"/>
    <n v="3677"/>
    <n v="5"/>
    <n v="7354"/>
    <n v="367.7"/>
    <n v="6986.3"/>
  </r>
  <r>
    <x v="1550"/>
    <x v="198"/>
    <s v="CUST48917"/>
    <x v="1"/>
    <n v="30"/>
    <x v="1"/>
    <x v="3"/>
    <x v="1"/>
    <x v="4"/>
    <n v="6"/>
    <n v="4923"/>
    <n v="5"/>
    <n v="29538"/>
    <n v="1476.9"/>
    <n v="28061.1"/>
  </r>
  <r>
    <x v="1551"/>
    <x v="373"/>
    <s v="CUST29873"/>
    <x v="1"/>
    <n v="18"/>
    <x v="3"/>
    <x v="0"/>
    <x v="4"/>
    <x v="3"/>
    <n v="6"/>
    <n v="1982"/>
    <n v="15"/>
    <n v="11892"/>
    <n v="1783.8"/>
    <n v="10108.200000000001"/>
  </r>
  <r>
    <x v="1552"/>
    <x v="635"/>
    <s v="CUST66752"/>
    <x v="0"/>
    <n v="19"/>
    <x v="3"/>
    <x v="3"/>
    <x v="0"/>
    <x v="3"/>
    <n v="7"/>
    <n v="5517"/>
    <n v="10"/>
    <n v="38619"/>
    <n v="3861.9"/>
    <n v="34757.1"/>
  </r>
  <r>
    <x v="1553"/>
    <x v="373"/>
    <s v="CUST35731"/>
    <x v="0"/>
    <n v="25"/>
    <x v="3"/>
    <x v="3"/>
    <x v="0"/>
    <x v="3"/>
    <n v="7"/>
    <n v="6563"/>
    <n v="0"/>
    <n v="45941"/>
    <n v="0"/>
    <n v="45941"/>
  </r>
  <r>
    <x v="1554"/>
    <x v="228"/>
    <s v="CUST41698"/>
    <x v="0"/>
    <n v="28"/>
    <x v="1"/>
    <x v="3"/>
    <x v="2"/>
    <x v="1"/>
    <n v="7"/>
    <n v="1913"/>
    <n v="0"/>
    <n v="13391"/>
    <n v="0"/>
    <n v="13391"/>
  </r>
  <r>
    <x v="1555"/>
    <x v="495"/>
    <s v="CUST62087"/>
    <x v="1"/>
    <n v="34"/>
    <x v="1"/>
    <x v="3"/>
    <x v="4"/>
    <x v="3"/>
    <n v="1"/>
    <n v="6564"/>
    <n v="15"/>
    <n v="6564"/>
    <n v="984.6"/>
    <n v="5579.4"/>
  </r>
  <r>
    <x v="1556"/>
    <x v="354"/>
    <s v="CUST32887"/>
    <x v="0"/>
    <n v="19"/>
    <x v="3"/>
    <x v="3"/>
    <x v="4"/>
    <x v="4"/>
    <n v="6"/>
    <n v="645"/>
    <n v="10"/>
    <n v="3870"/>
    <n v="387"/>
    <n v="3483"/>
  </r>
  <r>
    <x v="1557"/>
    <x v="204"/>
    <s v="CUST54092"/>
    <x v="1"/>
    <n v="39"/>
    <x v="2"/>
    <x v="3"/>
    <x v="1"/>
    <x v="3"/>
    <n v="4"/>
    <n v="2671"/>
    <n v="15"/>
    <n v="10684"/>
    <n v="1602.6"/>
    <n v="9081.4"/>
  </r>
  <r>
    <x v="1558"/>
    <x v="527"/>
    <s v="CUST40596"/>
    <x v="1"/>
    <n v="26"/>
    <x v="1"/>
    <x v="3"/>
    <x v="0"/>
    <x v="4"/>
    <n v="2"/>
    <n v="2307"/>
    <n v="5"/>
    <n v="4614"/>
    <n v="230.7"/>
    <n v="4383.3"/>
  </r>
  <r>
    <x v="1559"/>
    <x v="236"/>
    <s v="CUST99851"/>
    <x v="1"/>
    <n v="44"/>
    <x v="2"/>
    <x v="5"/>
    <x v="1"/>
    <x v="2"/>
    <n v="2"/>
    <n v="6023"/>
    <n v="0"/>
    <n v="12046"/>
    <n v="0"/>
    <n v="12046"/>
  </r>
  <r>
    <x v="1560"/>
    <x v="29"/>
    <s v="CUST65133"/>
    <x v="1"/>
    <n v="23"/>
    <x v="3"/>
    <x v="2"/>
    <x v="0"/>
    <x v="3"/>
    <n v="4"/>
    <n v="6980"/>
    <n v="0"/>
    <n v="27920"/>
    <n v="0"/>
    <n v="27920"/>
  </r>
  <r>
    <x v="1561"/>
    <x v="306"/>
    <s v="CUST51574"/>
    <x v="0"/>
    <n v="57"/>
    <x v="0"/>
    <x v="5"/>
    <x v="4"/>
    <x v="4"/>
    <n v="2"/>
    <n v="4261"/>
    <n v="20"/>
    <n v="8522"/>
    <n v="1704.4"/>
    <n v="6817.6"/>
  </r>
  <r>
    <x v="1562"/>
    <x v="171"/>
    <s v="CUST94966"/>
    <x v="0"/>
    <n v="62"/>
    <x v="0"/>
    <x v="0"/>
    <x v="4"/>
    <x v="0"/>
    <n v="4"/>
    <n v="2584"/>
    <n v="15"/>
    <n v="10336"/>
    <n v="1550.4"/>
    <n v="8785.6"/>
  </r>
  <r>
    <x v="1563"/>
    <x v="512"/>
    <s v="CUST49372"/>
    <x v="0"/>
    <n v="31"/>
    <x v="1"/>
    <x v="2"/>
    <x v="5"/>
    <x v="4"/>
    <n v="4"/>
    <n v="369"/>
    <n v="10"/>
    <n v="1476"/>
    <n v="147.6"/>
    <n v="1328.4"/>
  </r>
  <r>
    <x v="1564"/>
    <x v="142"/>
    <s v="CUST19672"/>
    <x v="0"/>
    <n v="43"/>
    <x v="2"/>
    <x v="5"/>
    <x v="3"/>
    <x v="4"/>
    <n v="1"/>
    <n v="6057"/>
    <n v="10"/>
    <n v="6057"/>
    <n v="605.70000000000005"/>
    <n v="5451.3"/>
  </r>
  <r>
    <x v="1565"/>
    <x v="311"/>
    <s v="CUST62855"/>
    <x v="1"/>
    <n v="53"/>
    <x v="0"/>
    <x v="1"/>
    <x v="5"/>
    <x v="0"/>
    <n v="6"/>
    <n v="6163"/>
    <n v="0"/>
    <n v="36978"/>
    <n v="0"/>
    <n v="36978"/>
  </r>
  <r>
    <x v="1566"/>
    <x v="472"/>
    <s v="CUST72742"/>
    <x v="1"/>
    <n v="22"/>
    <x v="3"/>
    <x v="1"/>
    <x v="5"/>
    <x v="4"/>
    <n v="6"/>
    <n v="5392"/>
    <n v="5"/>
    <n v="32352"/>
    <n v="1617.6"/>
    <n v="30734.400000000001"/>
  </r>
  <r>
    <x v="1567"/>
    <x v="528"/>
    <s v="CUST48470"/>
    <x v="1"/>
    <n v="25"/>
    <x v="3"/>
    <x v="2"/>
    <x v="4"/>
    <x v="0"/>
    <n v="3"/>
    <n v="3547"/>
    <n v="0"/>
    <n v="10641"/>
    <n v="0"/>
    <n v="10641"/>
  </r>
  <r>
    <x v="1568"/>
    <x v="306"/>
    <s v="CUST77468"/>
    <x v="0"/>
    <n v="54"/>
    <x v="0"/>
    <x v="4"/>
    <x v="5"/>
    <x v="4"/>
    <n v="4"/>
    <n v="7529"/>
    <n v="5"/>
    <n v="30116"/>
    <n v="1505.8"/>
    <n v="28610.2"/>
  </r>
  <r>
    <x v="1569"/>
    <x v="540"/>
    <s v="CUST71115"/>
    <x v="1"/>
    <n v="51"/>
    <x v="0"/>
    <x v="4"/>
    <x v="2"/>
    <x v="0"/>
    <n v="7"/>
    <n v="7944"/>
    <n v="0"/>
    <n v="55608"/>
    <n v="0"/>
    <n v="55608"/>
  </r>
  <r>
    <x v="1570"/>
    <x v="353"/>
    <s v="CUST45459"/>
    <x v="1"/>
    <n v="29"/>
    <x v="1"/>
    <x v="2"/>
    <x v="1"/>
    <x v="4"/>
    <n v="6"/>
    <n v="4958"/>
    <n v="10"/>
    <n v="29748"/>
    <n v="2974.8"/>
    <n v="26773.200000000001"/>
  </r>
  <r>
    <x v="1571"/>
    <x v="468"/>
    <s v="CUST68134"/>
    <x v="1"/>
    <n v="64"/>
    <x v="0"/>
    <x v="1"/>
    <x v="5"/>
    <x v="1"/>
    <n v="6"/>
    <n v="4729"/>
    <n v="0"/>
    <n v="28374"/>
    <n v="0"/>
    <n v="28374"/>
  </r>
  <r>
    <x v="1572"/>
    <x v="212"/>
    <s v="CUST47886"/>
    <x v="1"/>
    <n v="48"/>
    <x v="0"/>
    <x v="4"/>
    <x v="4"/>
    <x v="3"/>
    <n v="1"/>
    <n v="5222"/>
    <n v="10"/>
    <n v="5222"/>
    <n v="522.20000000000005"/>
    <n v="4699.8"/>
  </r>
  <r>
    <x v="1573"/>
    <x v="398"/>
    <s v="CUST75846"/>
    <x v="1"/>
    <n v="57"/>
    <x v="0"/>
    <x v="0"/>
    <x v="0"/>
    <x v="4"/>
    <n v="7"/>
    <n v="448"/>
    <n v="5"/>
    <n v="3136"/>
    <n v="156.80000000000001"/>
    <n v="2979.2"/>
  </r>
  <r>
    <x v="1574"/>
    <x v="308"/>
    <s v="CUST13089"/>
    <x v="1"/>
    <n v="35"/>
    <x v="1"/>
    <x v="5"/>
    <x v="4"/>
    <x v="0"/>
    <n v="5"/>
    <n v="2675"/>
    <n v="15"/>
    <n v="13375"/>
    <n v="2006.25"/>
    <n v="11368.75"/>
  </r>
  <r>
    <x v="1575"/>
    <x v="432"/>
    <s v="CUST17456"/>
    <x v="1"/>
    <n v="26"/>
    <x v="1"/>
    <x v="5"/>
    <x v="0"/>
    <x v="1"/>
    <n v="3"/>
    <n v="5975"/>
    <n v="0"/>
    <n v="17925"/>
    <n v="0"/>
    <n v="17925"/>
  </r>
  <r>
    <x v="1576"/>
    <x v="114"/>
    <s v="CUST60718"/>
    <x v="0"/>
    <n v="59"/>
    <x v="0"/>
    <x v="0"/>
    <x v="2"/>
    <x v="0"/>
    <n v="1"/>
    <n v="2260"/>
    <n v="0"/>
    <n v="2260"/>
    <n v="0"/>
    <n v="2260"/>
  </r>
  <r>
    <x v="1577"/>
    <x v="636"/>
    <s v="CUST99330"/>
    <x v="1"/>
    <n v="35"/>
    <x v="1"/>
    <x v="5"/>
    <x v="3"/>
    <x v="4"/>
    <n v="4"/>
    <n v="4747"/>
    <n v="0"/>
    <n v="18988"/>
    <n v="0"/>
    <n v="18988"/>
  </r>
  <r>
    <x v="1578"/>
    <x v="637"/>
    <s v="CUST59771"/>
    <x v="1"/>
    <n v="31"/>
    <x v="1"/>
    <x v="1"/>
    <x v="4"/>
    <x v="0"/>
    <n v="3"/>
    <n v="6286"/>
    <n v="0"/>
    <n v="18858"/>
    <n v="0"/>
    <n v="18858"/>
  </r>
  <r>
    <x v="1579"/>
    <x v="90"/>
    <s v="CUST58699"/>
    <x v="0"/>
    <n v="31"/>
    <x v="1"/>
    <x v="4"/>
    <x v="0"/>
    <x v="4"/>
    <n v="7"/>
    <n v="5650"/>
    <n v="0"/>
    <n v="39550"/>
    <n v="0"/>
    <n v="39550"/>
  </r>
  <r>
    <x v="1580"/>
    <x v="304"/>
    <s v="CUST60512"/>
    <x v="0"/>
    <n v="22"/>
    <x v="3"/>
    <x v="2"/>
    <x v="1"/>
    <x v="3"/>
    <n v="4"/>
    <n v="6094"/>
    <n v="5"/>
    <n v="24376"/>
    <n v="1218.8"/>
    <n v="23157.200000000001"/>
  </r>
  <r>
    <x v="1581"/>
    <x v="411"/>
    <s v="CUST59330"/>
    <x v="0"/>
    <n v="62"/>
    <x v="0"/>
    <x v="5"/>
    <x v="1"/>
    <x v="0"/>
    <n v="5"/>
    <n v="2077"/>
    <n v="15"/>
    <n v="10385"/>
    <n v="1557.75"/>
    <n v="8827.25"/>
  </r>
  <r>
    <x v="1582"/>
    <x v="179"/>
    <s v="CUST16243"/>
    <x v="0"/>
    <n v="57"/>
    <x v="0"/>
    <x v="5"/>
    <x v="0"/>
    <x v="4"/>
    <n v="5"/>
    <n v="3519"/>
    <n v="0"/>
    <n v="17595"/>
    <n v="0"/>
    <n v="17595"/>
  </r>
  <r>
    <x v="1583"/>
    <x v="511"/>
    <s v="CUST99727"/>
    <x v="0"/>
    <n v="52"/>
    <x v="0"/>
    <x v="1"/>
    <x v="3"/>
    <x v="2"/>
    <n v="5"/>
    <n v="6116"/>
    <n v="5"/>
    <n v="30580"/>
    <n v="1529"/>
    <n v="29051"/>
  </r>
  <r>
    <x v="1584"/>
    <x v="86"/>
    <s v="CUST46935"/>
    <x v="1"/>
    <n v="24"/>
    <x v="3"/>
    <x v="0"/>
    <x v="1"/>
    <x v="1"/>
    <n v="7"/>
    <n v="4054"/>
    <n v="0"/>
    <n v="28378"/>
    <n v="0"/>
    <n v="28378"/>
  </r>
  <r>
    <x v="1585"/>
    <x v="491"/>
    <s v="CUST78413"/>
    <x v="0"/>
    <n v="54"/>
    <x v="0"/>
    <x v="5"/>
    <x v="5"/>
    <x v="2"/>
    <n v="6"/>
    <n v="4572"/>
    <n v="0"/>
    <n v="27432"/>
    <n v="0"/>
    <n v="27432"/>
  </r>
  <r>
    <x v="1586"/>
    <x v="638"/>
    <s v="CUST49179"/>
    <x v="1"/>
    <n v="53"/>
    <x v="0"/>
    <x v="2"/>
    <x v="0"/>
    <x v="4"/>
    <n v="1"/>
    <n v="1378"/>
    <n v="15"/>
    <n v="1378"/>
    <n v="206.7"/>
    <n v="1171.3"/>
  </r>
  <r>
    <x v="1587"/>
    <x v="639"/>
    <s v="CUST33142"/>
    <x v="1"/>
    <n v="28"/>
    <x v="1"/>
    <x v="0"/>
    <x v="0"/>
    <x v="2"/>
    <n v="4"/>
    <n v="1803"/>
    <n v="15"/>
    <n v="7212"/>
    <n v="1081.8"/>
    <n v="6130.2"/>
  </r>
  <r>
    <x v="1588"/>
    <x v="316"/>
    <s v="CUST41124"/>
    <x v="1"/>
    <n v="26"/>
    <x v="1"/>
    <x v="0"/>
    <x v="3"/>
    <x v="3"/>
    <n v="1"/>
    <n v="7626"/>
    <n v="15"/>
    <n v="7626"/>
    <n v="1143.9000000000001"/>
    <n v="6482.1"/>
  </r>
  <r>
    <x v="1589"/>
    <x v="53"/>
    <s v="CUST81310"/>
    <x v="1"/>
    <n v="35"/>
    <x v="1"/>
    <x v="2"/>
    <x v="3"/>
    <x v="0"/>
    <n v="3"/>
    <n v="6928"/>
    <n v="10"/>
    <n v="20784"/>
    <n v="2078.4"/>
    <n v="18705.599999999999"/>
  </r>
  <r>
    <x v="1590"/>
    <x v="15"/>
    <s v="CUST65471"/>
    <x v="0"/>
    <n v="28"/>
    <x v="1"/>
    <x v="0"/>
    <x v="3"/>
    <x v="4"/>
    <n v="5"/>
    <n v="6234"/>
    <n v="0"/>
    <n v="31170"/>
    <n v="0"/>
    <n v="31170"/>
  </r>
  <r>
    <x v="1591"/>
    <x v="382"/>
    <s v="CUST45611"/>
    <x v="1"/>
    <n v="47"/>
    <x v="0"/>
    <x v="0"/>
    <x v="3"/>
    <x v="0"/>
    <n v="4"/>
    <n v="2386"/>
    <n v="5"/>
    <n v="9544"/>
    <n v="477.2"/>
    <n v="9066.7999999999993"/>
  </r>
  <r>
    <x v="1592"/>
    <x v="640"/>
    <s v="CUST68064"/>
    <x v="1"/>
    <n v="28"/>
    <x v="1"/>
    <x v="3"/>
    <x v="1"/>
    <x v="3"/>
    <n v="3"/>
    <n v="5105"/>
    <n v="15"/>
    <n v="15315"/>
    <n v="2297.25"/>
    <n v="13017.75"/>
  </r>
  <r>
    <x v="1593"/>
    <x v="73"/>
    <s v="CUST47294"/>
    <x v="1"/>
    <n v="48"/>
    <x v="0"/>
    <x v="1"/>
    <x v="4"/>
    <x v="0"/>
    <n v="4"/>
    <n v="3679"/>
    <n v="15"/>
    <n v="14716"/>
    <n v="2207.4"/>
    <n v="12508.6"/>
  </r>
  <r>
    <x v="1594"/>
    <x v="185"/>
    <s v="CUST52903"/>
    <x v="0"/>
    <n v="46"/>
    <x v="0"/>
    <x v="4"/>
    <x v="1"/>
    <x v="0"/>
    <n v="1"/>
    <n v="3477"/>
    <n v="5"/>
    <n v="3477"/>
    <n v="173.85"/>
    <n v="3303.15"/>
  </r>
  <r>
    <x v="1595"/>
    <x v="380"/>
    <s v="CUST63884"/>
    <x v="1"/>
    <n v="54"/>
    <x v="0"/>
    <x v="0"/>
    <x v="1"/>
    <x v="4"/>
    <n v="4"/>
    <n v="7112"/>
    <n v="10"/>
    <n v="28448"/>
    <n v="2844.8"/>
    <n v="25603.200000000001"/>
  </r>
  <r>
    <x v="1596"/>
    <x v="356"/>
    <s v="CUST34599"/>
    <x v="1"/>
    <n v="30"/>
    <x v="1"/>
    <x v="2"/>
    <x v="1"/>
    <x v="0"/>
    <n v="2"/>
    <n v="6118"/>
    <n v="15"/>
    <n v="12236"/>
    <n v="1835.4"/>
    <n v="10400.6"/>
  </r>
  <r>
    <x v="1597"/>
    <x v="88"/>
    <s v="CUST22021"/>
    <x v="0"/>
    <n v="35"/>
    <x v="1"/>
    <x v="5"/>
    <x v="5"/>
    <x v="1"/>
    <n v="7"/>
    <n v="6783"/>
    <n v="5"/>
    <n v="47481"/>
    <n v="2374.0500000000002"/>
    <n v="45106.95"/>
  </r>
  <r>
    <x v="1598"/>
    <x v="93"/>
    <s v="CUST19556"/>
    <x v="1"/>
    <n v="59"/>
    <x v="0"/>
    <x v="3"/>
    <x v="2"/>
    <x v="1"/>
    <n v="4"/>
    <n v="257"/>
    <n v="10"/>
    <n v="1028"/>
    <n v="102.8"/>
    <n v="925.2"/>
  </r>
  <r>
    <x v="1599"/>
    <x v="220"/>
    <s v="CUST26009"/>
    <x v="0"/>
    <n v="26"/>
    <x v="1"/>
    <x v="0"/>
    <x v="1"/>
    <x v="4"/>
    <n v="2"/>
    <n v="4356"/>
    <n v="5"/>
    <n v="8712"/>
    <n v="435.6"/>
    <n v="8276.4"/>
  </r>
  <r>
    <x v="1600"/>
    <x v="641"/>
    <s v="CUST98290"/>
    <x v="1"/>
    <n v="59"/>
    <x v="0"/>
    <x v="3"/>
    <x v="1"/>
    <x v="1"/>
    <n v="5"/>
    <n v="3259"/>
    <n v="5"/>
    <n v="16295"/>
    <n v="814.75"/>
    <n v="15480.25"/>
  </r>
  <r>
    <x v="1601"/>
    <x v="87"/>
    <s v="CUST67289"/>
    <x v="1"/>
    <n v="40"/>
    <x v="2"/>
    <x v="0"/>
    <x v="1"/>
    <x v="0"/>
    <n v="5"/>
    <n v="5318"/>
    <n v="10"/>
    <n v="26590"/>
    <n v="2659"/>
    <n v="23931"/>
  </r>
  <r>
    <x v="1602"/>
    <x v="435"/>
    <s v="CUST84354"/>
    <x v="1"/>
    <n v="49"/>
    <x v="0"/>
    <x v="3"/>
    <x v="0"/>
    <x v="0"/>
    <n v="5"/>
    <n v="7187"/>
    <n v="10"/>
    <n v="35935"/>
    <n v="3593.5"/>
    <n v="32341.5"/>
  </r>
  <r>
    <x v="1603"/>
    <x v="559"/>
    <s v="CUST42744"/>
    <x v="0"/>
    <n v="42"/>
    <x v="2"/>
    <x v="3"/>
    <x v="3"/>
    <x v="2"/>
    <n v="6"/>
    <n v="2824"/>
    <n v="10"/>
    <n v="16944"/>
    <n v="1694.4"/>
    <n v="15249.6"/>
  </r>
  <r>
    <x v="1604"/>
    <x v="427"/>
    <s v="CUST66012"/>
    <x v="0"/>
    <n v="50"/>
    <x v="0"/>
    <x v="4"/>
    <x v="2"/>
    <x v="4"/>
    <n v="6"/>
    <n v="1204"/>
    <n v="0"/>
    <n v="7224"/>
    <n v="0"/>
    <n v="7224"/>
  </r>
  <r>
    <x v="1605"/>
    <x v="139"/>
    <s v="CUST44840"/>
    <x v="0"/>
    <n v="24"/>
    <x v="3"/>
    <x v="2"/>
    <x v="4"/>
    <x v="1"/>
    <n v="1"/>
    <n v="5463"/>
    <n v="0"/>
    <n v="5463"/>
    <n v="0"/>
    <n v="5463"/>
  </r>
  <r>
    <x v="1606"/>
    <x v="500"/>
    <s v="CUST81657"/>
    <x v="1"/>
    <n v="44"/>
    <x v="2"/>
    <x v="5"/>
    <x v="1"/>
    <x v="4"/>
    <n v="1"/>
    <n v="3659"/>
    <n v="10"/>
    <n v="3659"/>
    <n v="365.9"/>
    <n v="3293.1"/>
  </r>
  <r>
    <x v="1607"/>
    <x v="265"/>
    <s v="CUST35986"/>
    <x v="0"/>
    <n v="37"/>
    <x v="2"/>
    <x v="2"/>
    <x v="0"/>
    <x v="3"/>
    <n v="7"/>
    <n v="4234"/>
    <n v="10"/>
    <n v="29638"/>
    <n v="2963.8"/>
    <n v="26674.2"/>
  </r>
  <r>
    <x v="1608"/>
    <x v="376"/>
    <s v="CUST73946"/>
    <x v="1"/>
    <n v="59"/>
    <x v="0"/>
    <x v="4"/>
    <x v="2"/>
    <x v="3"/>
    <n v="4"/>
    <n v="5918"/>
    <n v="10"/>
    <n v="23672"/>
    <n v="2367.1999999999998"/>
    <n v="21304.799999999999"/>
  </r>
  <r>
    <x v="1609"/>
    <x v="373"/>
    <s v="CUST52355"/>
    <x v="1"/>
    <n v="47"/>
    <x v="0"/>
    <x v="0"/>
    <x v="3"/>
    <x v="2"/>
    <n v="2"/>
    <n v="3439"/>
    <n v="15"/>
    <n v="6878"/>
    <n v="1031.7"/>
    <n v="5846.3"/>
  </r>
  <r>
    <x v="1610"/>
    <x v="291"/>
    <s v="CUST57441"/>
    <x v="0"/>
    <n v="49"/>
    <x v="0"/>
    <x v="3"/>
    <x v="0"/>
    <x v="0"/>
    <n v="4"/>
    <n v="4946"/>
    <n v="0"/>
    <n v="19784"/>
    <n v="0"/>
    <n v="19784"/>
  </r>
  <r>
    <x v="1611"/>
    <x v="636"/>
    <s v="CUST10014"/>
    <x v="0"/>
    <n v="25"/>
    <x v="3"/>
    <x v="4"/>
    <x v="3"/>
    <x v="4"/>
    <n v="1"/>
    <n v="4755"/>
    <n v="0"/>
    <n v="4755"/>
    <n v="0"/>
    <n v="4755"/>
  </r>
  <r>
    <x v="1612"/>
    <x v="486"/>
    <s v="CUST36754"/>
    <x v="0"/>
    <n v="28"/>
    <x v="1"/>
    <x v="1"/>
    <x v="2"/>
    <x v="2"/>
    <n v="5"/>
    <n v="5094"/>
    <n v="0"/>
    <n v="25470"/>
    <n v="0"/>
    <n v="25470"/>
  </r>
  <r>
    <x v="1613"/>
    <x v="54"/>
    <s v="CUST68159"/>
    <x v="0"/>
    <n v="42"/>
    <x v="2"/>
    <x v="2"/>
    <x v="1"/>
    <x v="1"/>
    <n v="2"/>
    <n v="2313"/>
    <n v="0"/>
    <n v="4626"/>
    <n v="0"/>
    <n v="4626"/>
  </r>
  <r>
    <x v="1614"/>
    <x v="31"/>
    <s v="CUST30676"/>
    <x v="0"/>
    <n v="45"/>
    <x v="2"/>
    <x v="3"/>
    <x v="4"/>
    <x v="1"/>
    <n v="3"/>
    <n v="4083"/>
    <n v="10"/>
    <n v="12249"/>
    <n v="1224.9000000000001"/>
    <n v="11024.1"/>
  </r>
  <r>
    <x v="1615"/>
    <x v="338"/>
    <s v="CUST19197"/>
    <x v="0"/>
    <n v="24"/>
    <x v="3"/>
    <x v="4"/>
    <x v="1"/>
    <x v="0"/>
    <n v="2"/>
    <n v="5880"/>
    <n v="15"/>
    <n v="11760"/>
    <n v="1764"/>
    <n v="9996"/>
  </r>
  <r>
    <x v="1616"/>
    <x v="541"/>
    <s v="CUST66728"/>
    <x v="1"/>
    <n v="37"/>
    <x v="2"/>
    <x v="2"/>
    <x v="0"/>
    <x v="1"/>
    <n v="1"/>
    <n v="2082"/>
    <n v="0"/>
    <n v="2082"/>
    <n v="0"/>
    <n v="2082"/>
  </r>
  <r>
    <x v="1617"/>
    <x v="571"/>
    <s v="CUST32095"/>
    <x v="1"/>
    <n v="35"/>
    <x v="1"/>
    <x v="4"/>
    <x v="3"/>
    <x v="1"/>
    <n v="4"/>
    <n v="2760"/>
    <n v="5"/>
    <n v="11040"/>
    <n v="552"/>
    <n v="10488"/>
  </r>
  <r>
    <x v="1618"/>
    <x v="642"/>
    <s v="CUST98335"/>
    <x v="0"/>
    <n v="33"/>
    <x v="1"/>
    <x v="4"/>
    <x v="3"/>
    <x v="3"/>
    <n v="3"/>
    <n v="4063"/>
    <n v="5"/>
    <n v="12189"/>
    <n v="609.45000000000005"/>
    <n v="11579.55"/>
  </r>
  <r>
    <x v="1619"/>
    <x v="205"/>
    <s v="CUST93755"/>
    <x v="0"/>
    <n v="35"/>
    <x v="1"/>
    <x v="5"/>
    <x v="1"/>
    <x v="3"/>
    <n v="2"/>
    <n v="5572"/>
    <n v="0"/>
    <n v="11144"/>
    <n v="0"/>
    <n v="11144"/>
  </r>
  <r>
    <x v="1620"/>
    <x v="643"/>
    <s v="CUST86703"/>
    <x v="0"/>
    <n v="34"/>
    <x v="1"/>
    <x v="0"/>
    <x v="5"/>
    <x v="0"/>
    <n v="1"/>
    <n v="7994"/>
    <n v="5"/>
    <n v="7994"/>
    <n v="399.7"/>
    <n v="7594.3"/>
  </r>
  <r>
    <x v="1621"/>
    <x v="138"/>
    <s v="CUST38475"/>
    <x v="0"/>
    <n v="21"/>
    <x v="3"/>
    <x v="4"/>
    <x v="2"/>
    <x v="2"/>
    <n v="3"/>
    <n v="760"/>
    <n v="0"/>
    <n v="2280"/>
    <n v="0"/>
    <n v="2280"/>
  </r>
  <r>
    <x v="1622"/>
    <x v="345"/>
    <s v="CUST54338"/>
    <x v="1"/>
    <n v="63"/>
    <x v="0"/>
    <x v="0"/>
    <x v="4"/>
    <x v="2"/>
    <n v="2"/>
    <n v="4553"/>
    <n v="0"/>
    <n v="9106"/>
    <n v="0"/>
    <n v="9106"/>
  </r>
  <r>
    <x v="1623"/>
    <x v="495"/>
    <s v="CUST24114"/>
    <x v="1"/>
    <n v="41"/>
    <x v="2"/>
    <x v="3"/>
    <x v="1"/>
    <x v="0"/>
    <n v="7"/>
    <n v="1681"/>
    <n v="0"/>
    <n v="11767"/>
    <n v="0"/>
    <n v="11767"/>
  </r>
  <r>
    <x v="1624"/>
    <x v="600"/>
    <s v="CUST56488"/>
    <x v="0"/>
    <n v="24"/>
    <x v="3"/>
    <x v="2"/>
    <x v="1"/>
    <x v="1"/>
    <n v="6"/>
    <n v="7476"/>
    <n v="5"/>
    <n v="44856"/>
    <n v="2242.8000000000002"/>
    <n v="42613.2"/>
  </r>
  <r>
    <x v="1625"/>
    <x v="453"/>
    <s v="CUST80359"/>
    <x v="1"/>
    <n v="49"/>
    <x v="0"/>
    <x v="4"/>
    <x v="0"/>
    <x v="0"/>
    <n v="4"/>
    <n v="3241"/>
    <n v="5"/>
    <n v="12964"/>
    <n v="648.20000000000005"/>
    <n v="12315.8"/>
  </r>
  <r>
    <x v="1626"/>
    <x v="476"/>
    <s v="CUST11893"/>
    <x v="1"/>
    <n v="44"/>
    <x v="2"/>
    <x v="4"/>
    <x v="3"/>
    <x v="0"/>
    <n v="1"/>
    <n v="3556"/>
    <n v="0"/>
    <n v="3556"/>
    <n v="0"/>
    <n v="3556"/>
  </r>
  <r>
    <x v="1627"/>
    <x v="46"/>
    <s v="CUST85200"/>
    <x v="0"/>
    <n v="20"/>
    <x v="3"/>
    <x v="4"/>
    <x v="3"/>
    <x v="4"/>
    <n v="4"/>
    <n v="990"/>
    <n v="10"/>
    <n v="3960"/>
    <n v="396"/>
    <n v="3564"/>
  </r>
  <r>
    <x v="1628"/>
    <x v="269"/>
    <s v="CUST69853"/>
    <x v="1"/>
    <n v="30"/>
    <x v="1"/>
    <x v="4"/>
    <x v="1"/>
    <x v="0"/>
    <n v="6"/>
    <n v="906"/>
    <n v="5"/>
    <n v="5436"/>
    <n v="271.8"/>
    <n v="5164.2"/>
  </r>
  <r>
    <x v="1629"/>
    <x v="371"/>
    <s v="CUST32819"/>
    <x v="0"/>
    <n v="20"/>
    <x v="3"/>
    <x v="3"/>
    <x v="4"/>
    <x v="0"/>
    <n v="2"/>
    <n v="6874"/>
    <n v="0"/>
    <n v="13748"/>
    <n v="0"/>
    <n v="13748"/>
  </r>
  <r>
    <x v="1630"/>
    <x v="208"/>
    <s v="CUST92375"/>
    <x v="1"/>
    <n v="25"/>
    <x v="3"/>
    <x v="3"/>
    <x v="0"/>
    <x v="4"/>
    <n v="3"/>
    <n v="3877"/>
    <n v="10"/>
    <n v="11631"/>
    <n v="1163.0999999999999"/>
    <n v="10467.9"/>
  </r>
  <r>
    <x v="1631"/>
    <x v="415"/>
    <s v="CUST52277"/>
    <x v="0"/>
    <n v="19"/>
    <x v="3"/>
    <x v="3"/>
    <x v="1"/>
    <x v="1"/>
    <n v="4"/>
    <n v="7322"/>
    <n v="0"/>
    <n v="29288"/>
    <n v="0"/>
    <n v="29288"/>
  </r>
  <r>
    <x v="1632"/>
    <x v="263"/>
    <s v="CUST96256"/>
    <x v="0"/>
    <n v="19"/>
    <x v="3"/>
    <x v="1"/>
    <x v="3"/>
    <x v="1"/>
    <n v="3"/>
    <n v="4530"/>
    <n v="0"/>
    <n v="13590"/>
    <n v="0"/>
    <n v="13590"/>
  </r>
  <r>
    <x v="1633"/>
    <x v="644"/>
    <s v="CUST70386"/>
    <x v="1"/>
    <n v="46"/>
    <x v="0"/>
    <x v="3"/>
    <x v="0"/>
    <x v="2"/>
    <n v="4"/>
    <n v="1002"/>
    <n v="0"/>
    <n v="4008"/>
    <n v="0"/>
    <n v="4008"/>
  </r>
  <r>
    <x v="1634"/>
    <x v="607"/>
    <s v="CUST16628"/>
    <x v="1"/>
    <n v="57"/>
    <x v="0"/>
    <x v="0"/>
    <x v="5"/>
    <x v="3"/>
    <n v="1"/>
    <n v="6697"/>
    <n v="0"/>
    <n v="6697"/>
    <n v="0"/>
    <n v="6697"/>
  </r>
  <r>
    <x v="1635"/>
    <x v="509"/>
    <s v="CUST69147"/>
    <x v="1"/>
    <n v="56"/>
    <x v="0"/>
    <x v="1"/>
    <x v="5"/>
    <x v="2"/>
    <n v="6"/>
    <n v="4776"/>
    <n v="5"/>
    <n v="28656"/>
    <n v="1432.8"/>
    <n v="27223.200000000001"/>
  </r>
  <r>
    <x v="1636"/>
    <x v="185"/>
    <s v="CUST40071"/>
    <x v="0"/>
    <n v="64"/>
    <x v="0"/>
    <x v="0"/>
    <x v="1"/>
    <x v="1"/>
    <n v="1"/>
    <n v="486"/>
    <n v="15"/>
    <n v="486"/>
    <n v="72.900000000000006"/>
    <n v="413.1"/>
  </r>
  <r>
    <x v="1637"/>
    <x v="278"/>
    <s v="CUST54517"/>
    <x v="0"/>
    <n v="19"/>
    <x v="3"/>
    <x v="0"/>
    <x v="0"/>
    <x v="2"/>
    <n v="3"/>
    <n v="3552"/>
    <n v="5"/>
    <n v="10656"/>
    <n v="532.79999999999995"/>
    <n v="10123.200000000001"/>
  </r>
  <r>
    <x v="1638"/>
    <x v="570"/>
    <s v="CUST51258"/>
    <x v="1"/>
    <n v="26"/>
    <x v="1"/>
    <x v="0"/>
    <x v="4"/>
    <x v="0"/>
    <n v="3"/>
    <n v="3225"/>
    <n v="0"/>
    <n v="9675"/>
    <n v="0"/>
    <n v="9675"/>
  </r>
  <r>
    <x v="1639"/>
    <x v="645"/>
    <s v="CUST17497"/>
    <x v="1"/>
    <n v="24"/>
    <x v="3"/>
    <x v="3"/>
    <x v="5"/>
    <x v="2"/>
    <n v="4"/>
    <n v="1583"/>
    <n v="10"/>
    <n v="6332"/>
    <n v="633.20000000000005"/>
    <n v="5698.8"/>
  </r>
  <r>
    <x v="1640"/>
    <x v="574"/>
    <s v="CUST33981"/>
    <x v="1"/>
    <n v="35"/>
    <x v="1"/>
    <x v="3"/>
    <x v="3"/>
    <x v="0"/>
    <n v="4"/>
    <n v="4547"/>
    <n v="10"/>
    <n v="18188"/>
    <n v="1818.8"/>
    <n v="16369.2"/>
  </r>
  <r>
    <x v="1641"/>
    <x v="548"/>
    <s v="CUST79383"/>
    <x v="1"/>
    <n v="44"/>
    <x v="2"/>
    <x v="4"/>
    <x v="1"/>
    <x v="1"/>
    <n v="1"/>
    <n v="4553"/>
    <n v="5"/>
    <n v="4553"/>
    <n v="227.65"/>
    <n v="4325.3500000000004"/>
  </r>
  <r>
    <x v="1642"/>
    <x v="63"/>
    <s v="CUST61069"/>
    <x v="0"/>
    <n v="48"/>
    <x v="0"/>
    <x v="0"/>
    <x v="0"/>
    <x v="0"/>
    <n v="3"/>
    <n v="2352"/>
    <n v="10"/>
    <n v="7056"/>
    <n v="705.6"/>
    <n v="6350.4"/>
  </r>
  <r>
    <x v="1643"/>
    <x v="259"/>
    <s v="CUST49291"/>
    <x v="1"/>
    <n v="51"/>
    <x v="0"/>
    <x v="5"/>
    <x v="1"/>
    <x v="3"/>
    <n v="5"/>
    <n v="3197"/>
    <n v="0"/>
    <n v="15985"/>
    <n v="0"/>
    <n v="15985"/>
  </r>
  <r>
    <x v="1644"/>
    <x v="646"/>
    <s v="CUST13395"/>
    <x v="0"/>
    <n v="27"/>
    <x v="1"/>
    <x v="0"/>
    <x v="1"/>
    <x v="0"/>
    <n v="3"/>
    <n v="4447"/>
    <n v="20"/>
    <n v="13341"/>
    <n v="2668.2"/>
    <n v="10672.8"/>
  </r>
  <r>
    <x v="1645"/>
    <x v="85"/>
    <s v="CUST64580"/>
    <x v="1"/>
    <n v="37"/>
    <x v="2"/>
    <x v="1"/>
    <x v="0"/>
    <x v="0"/>
    <n v="4"/>
    <n v="1164"/>
    <n v="15"/>
    <n v="4656"/>
    <n v="698.4"/>
    <n v="3957.6"/>
  </r>
  <r>
    <x v="1646"/>
    <x v="150"/>
    <s v="CUST63086"/>
    <x v="0"/>
    <n v="39"/>
    <x v="2"/>
    <x v="1"/>
    <x v="5"/>
    <x v="4"/>
    <n v="5"/>
    <n v="2089"/>
    <n v="0"/>
    <n v="10445"/>
    <n v="0"/>
    <n v="10445"/>
  </r>
  <r>
    <x v="1647"/>
    <x v="134"/>
    <s v="CUST98732"/>
    <x v="1"/>
    <n v="44"/>
    <x v="2"/>
    <x v="2"/>
    <x v="1"/>
    <x v="2"/>
    <n v="7"/>
    <n v="1613"/>
    <n v="0"/>
    <n v="11291"/>
    <n v="0"/>
    <n v="11291"/>
  </r>
  <r>
    <x v="1648"/>
    <x v="624"/>
    <s v="CUST47568"/>
    <x v="1"/>
    <n v="56"/>
    <x v="0"/>
    <x v="1"/>
    <x v="2"/>
    <x v="1"/>
    <n v="6"/>
    <n v="2697"/>
    <n v="5"/>
    <n v="16182"/>
    <n v="809.1"/>
    <n v="15372.9"/>
  </r>
  <r>
    <x v="1649"/>
    <x v="129"/>
    <s v="CUST19242"/>
    <x v="1"/>
    <n v="56"/>
    <x v="0"/>
    <x v="3"/>
    <x v="0"/>
    <x v="0"/>
    <n v="6"/>
    <n v="5998"/>
    <n v="20"/>
    <n v="35988"/>
    <n v="7197.6"/>
    <n v="28790.400000000001"/>
  </r>
  <r>
    <x v="1650"/>
    <x v="647"/>
    <s v="CUST75773"/>
    <x v="0"/>
    <n v="22"/>
    <x v="3"/>
    <x v="0"/>
    <x v="1"/>
    <x v="1"/>
    <n v="6"/>
    <n v="6358"/>
    <n v="0"/>
    <n v="38148"/>
    <n v="0"/>
    <n v="38148"/>
  </r>
  <r>
    <x v="1651"/>
    <x v="627"/>
    <s v="CUST65907"/>
    <x v="1"/>
    <n v="46"/>
    <x v="0"/>
    <x v="1"/>
    <x v="0"/>
    <x v="3"/>
    <n v="7"/>
    <n v="4607"/>
    <n v="15"/>
    <n v="32249"/>
    <n v="4837.3500000000004"/>
    <n v="27411.65"/>
  </r>
  <r>
    <x v="1652"/>
    <x v="442"/>
    <s v="CUST66024"/>
    <x v="1"/>
    <n v="61"/>
    <x v="0"/>
    <x v="1"/>
    <x v="4"/>
    <x v="0"/>
    <n v="2"/>
    <n v="7905"/>
    <n v="10"/>
    <n v="15810"/>
    <n v="1581"/>
    <n v="14229"/>
  </r>
  <r>
    <x v="1653"/>
    <x v="510"/>
    <s v="CUST37372"/>
    <x v="1"/>
    <n v="45"/>
    <x v="2"/>
    <x v="2"/>
    <x v="2"/>
    <x v="2"/>
    <n v="7"/>
    <n v="6312"/>
    <n v="5"/>
    <n v="44184"/>
    <n v="2209.1999999999998"/>
    <n v="41974.8"/>
  </r>
  <r>
    <x v="1654"/>
    <x v="461"/>
    <s v="CUST86889"/>
    <x v="0"/>
    <n v="32"/>
    <x v="1"/>
    <x v="5"/>
    <x v="1"/>
    <x v="1"/>
    <n v="5"/>
    <n v="3369"/>
    <n v="0"/>
    <n v="16845"/>
    <n v="0"/>
    <n v="16845"/>
  </r>
  <r>
    <x v="1655"/>
    <x v="648"/>
    <s v="CUST94195"/>
    <x v="0"/>
    <n v="29"/>
    <x v="1"/>
    <x v="3"/>
    <x v="2"/>
    <x v="1"/>
    <n v="5"/>
    <n v="6833"/>
    <n v="20"/>
    <n v="34165"/>
    <n v="6833"/>
    <n v="27332"/>
  </r>
  <r>
    <x v="1656"/>
    <x v="405"/>
    <s v="CUST15343"/>
    <x v="1"/>
    <n v="61"/>
    <x v="0"/>
    <x v="2"/>
    <x v="3"/>
    <x v="1"/>
    <n v="3"/>
    <n v="2261"/>
    <n v="10"/>
    <n v="6783"/>
    <n v="678.3"/>
    <n v="6104.7"/>
  </r>
  <r>
    <x v="1657"/>
    <x v="527"/>
    <s v="CUST64777"/>
    <x v="0"/>
    <n v="19"/>
    <x v="3"/>
    <x v="2"/>
    <x v="3"/>
    <x v="0"/>
    <n v="1"/>
    <n v="7276"/>
    <n v="0"/>
    <n v="7276"/>
    <n v="0"/>
    <n v="7276"/>
  </r>
  <r>
    <x v="1658"/>
    <x v="570"/>
    <s v="CUST49738"/>
    <x v="0"/>
    <n v="20"/>
    <x v="3"/>
    <x v="2"/>
    <x v="3"/>
    <x v="1"/>
    <n v="5"/>
    <n v="7393"/>
    <n v="5"/>
    <n v="36965"/>
    <n v="1848.25"/>
    <n v="35116.75"/>
  </r>
  <r>
    <x v="1659"/>
    <x v="602"/>
    <s v="CUST16858"/>
    <x v="1"/>
    <n v="57"/>
    <x v="0"/>
    <x v="4"/>
    <x v="1"/>
    <x v="4"/>
    <n v="4"/>
    <n v="5600"/>
    <n v="5"/>
    <n v="22400"/>
    <n v="1120"/>
    <n v="21280"/>
  </r>
  <r>
    <x v="1660"/>
    <x v="119"/>
    <s v="CUST43332"/>
    <x v="1"/>
    <n v="62"/>
    <x v="0"/>
    <x v="0"/>
    <x v="2"/>
    <x v="0"/>
    <n v="7"/>
    <n v="5073"/>
    <n v="15"/>
    <n v="35511"/>
    <n v="5326.65"/>
    <n v="30184.35"/>
  </r>
  <r>
    <x v="1661"/>
    <x v="120"/>
    <s v="CUST78740"/>
    <x v="0"/>
    <n v="29"/>
    <x v="1"/>
    <x v="0"/>
    <x v="2"/>
    <x v="1"/>
    <n v="4"/>
    <n v="7592"/>
    <n v="5"/>
    <n v="30368"/>
    <n v="1518.4"/>
    <n v="28849.599999999999"/>
  </r>
  <r>
    <x v="1662"/>
    <x v="191"/>
    <s v="CUST36463"/>
    <x v="0"/>
    <n v="38"/>
    <x v="2"/>
    <x v="0"/>
    <x v="1"/>
    <x v="2"/>
    <n v="6"/>
    <n v="1576"/>
    <n v="10"/>
    <n v="9456"/>
    <n v="945.6"/>
    <n v="8510.4"/>
  </r>
  <r>
    <x v="1663"/>
    <x v="226"/>
    <s v="CUST83130"/>
    <x v="0"/>
    <n v="57"/>
    <x v="0"/>
    <x v="3"/>
    <x v="2"/>
    <x v="2"/>
    <n v="4"/>
    <n v="439"/>
    <n v="5"/>
    <n v="1756"/>
    <n v="87.8"/>
    <n v="1668.2"/>
  </r>
  <r>
    <x v="1664"/>
    <x v="315"/>
    <s v="CUST54997"/>
    <x v="0"/>
    <n v="52"/>
    <x v="0"/>
    <x v="1"/>
    <x v="1"/>
    <x v="0"/>
    <n v="7"/>
    <n v="1426"/>
    <n v="20"/>
    <n v="9982"/>
    <n v="1996.4"/>
    <n v="7985.6"/>
  </r>
  <r>
    <x v="1665"/>
    <x v="379"/>
    <s v="CUST20341"/>
    <x v="1"/>
    <n v="56"/>
    <x v="0"/>
    <x v="1"/>
    <x v="5"/>
    <x v="4"/>
    <n v="5"/>
    <n v="7542"/>
    <n v="5"/>
    <n v="37710"/>
    <n v="1885.5"/>
    <n v="35824.5"/>
  </r>
  <r>
    <x v="1666"/>
    <x v="487"/>
    <s v="CUST26931"/>
    <x v="1"/>
    <n v="54"/>
    <x v="0"/>
    <x v="4"/>
    <x v="3"/>
    <x v="0"/>
    <n v="1"/>
    <n v="5073"/>
    <n v="0"/>
    <n v="5073"/>
    <n v="0"/>
    <n v="5073"/>
  </r>
  <r>
    <x v="1667"/>
    <x v="262"/>
    <s v="CUST97710"/>
    <x v="1"/>
    <n v="29"/>
    <x v="1"/>
    <x v="2"/>
    <x v="3"/>
    <x v="3"/>
    <n v="5"/>
    <n v="3095"/>
    <n v="5"/>
    <n v="15475"/>
    <n v="773.75"/>
    <n v="14701.25"/>
  </r>
  <r>
    <x v="1668"/>
    <x v="156"/>
    <s v="CUST13668"/>
    <x v="1"/>
    <n v="54"/>
    <x v="0"/>
    <x v="3"/>
    <x v="5"/>
    <x v="2"/>
    <n v="5"/>
    <n v="7884"/>
    <n v="20"/>
    <n v="39420"/>
    <n v="7884"/>
    <n v="31536"/>
  </r>
  <r>
    <x v="1669"/>
    <x v="280"/>
    <s v="CUST14012"/>
    <x v="0"/>
    <n v="23"/>
    <x v="3"/>
    <x v="0"/>
    <x v="5"/>
    <x v="0"/>
    <n v="6"/>
    <n v="6872"/>
    <n v="15"/>
    <n v="41232"/>
    <n v="6184.8"/>
    <n v="35047.199999999997"/>
  </r>
  <r>
    <x v="1670"/>
    <x v="300"/>
    <s v="CUST98889"/>
    <x v="0"/>
    <n v="40"/>
    <x v="2"/>
    <x v="4"/>
    <x v="1"/>
    <x v="2"/>
    <n v="5"/>
    <n v="4156"/>
    <n v="10"/>
    <n v="20780"/>
    <n v="2078"/>
    <n v="18702"/>
  </r>
  <r>
    <x v="1671"/>
    <x v="649"/>
    <s v="CUST14046"/>
    <x v="1"/>
    <n v="46"/>
    <x v="0"/>
    <x v="4"/>
    <x v="3"/>
    <x v="3"/>
    <n v="3"/>
    <n v="2133"/>
    <n v="10"/>
    <n v="6399"/>
    <n v="639.9"/>
    <n v="5759.1"/>
  </r>
  <r>
    <x v="1672"/>
    <x v="152"/>
    <s v="CUST46976"/>
    <x v="0"/>
    <n v="25"/>
    <x v="3"/>
    <x v="1"/>
    <x v="4"/>
    <x v="2"/>
    <n v="6"/>
    <n v="3721"/>
    <n v="10"/>
    <n v="22326"/>
    <n v="2232.6"/>
    <n v="20093.400000000001"/>
  </r>
  <r>
    <x v="1673"/>
    <x v="540"/>
    <s v="CUST33738"/>
    <x v="1"/>
    <n v="38"/>
    <x v="2"/>
    <x v="2"/>
    <x v="0"/>
    <x v="0"/>
    <n v="3"/>
    <n v="6495"/>
    <n v="10"/>
    <n v="19485"/>
    <n v="1948.5"/>
    <n v="17536.5"/>
  </r>
  <r>
    <x v="1674"/>
    <x v="457"/>
    <s v="CUST79059"/>
    <x v="1"/>
    <n v="48"/>
    <x v="0"/>
    <x v="0"/>
    <x v="1"/>
    <x v="1"/>
    <n v="4"/>
    <n v="5828"/>
    <n v="10"/>
    <n v="23312"/>
    <n v="2331.1999999999998"/>
    <n v="20980.799999999999"/>
  </r>
  <r>
    <x v="1675"/>
    <x v="33"/>
    <s v="CUST43002"/>
    <x v="1"/>
    <n v="18"/>
    <x v="3"/>
    <x v="5"/>
    <x v="4"/>
    <x v="1"/>
    <n v="7"/>
    <n v="1750"/>
    <n v="10"/>
    <n v="12250"/>
    <n v="1225"/>
    <n v="11025"/>
  </r>
  <r>
    <x v="1676"/>
    <x v="273"/>
    <s v="CUST49641"/>
    <x v="0"/>
    <n v="60"/>
    <x v="0"/>
    <x v="2"/>
    <x v="0"/>
    <x v="0"/>
    <n v="1"/>
    <n v="4665"/>
    <n v="5"/>
    <n v="4665"/>
    <n v="233.25"/>
    <n v="4431.75"/>
  </r>
  <r>
    <x v="1677"/>
    <x v="197"/>
    <s v="CUST57788"/>
    <x v="0"/>
    <n v="60"/>
    <x v="0"/>
    <x v="2"/>
    <x v="2"/>
    <x v="2"/>
    <n v="1"/>
    <n v="2188"/>
    <n v="15"/>
    <n v="2188"/>
    <n v="328.2"/>
    <n v="1859.8"/>
  </r>
  <r>
    <x v="1678"/>
    <x v="526"/>
    <s v="CUST20081"/>
    <x v="1"/>
    <n v="61"/>
    <x v="0"/>
    <x v="3"/>
    <x v="5"/>
    <x v="4"/>
    <n v="7"/>
    <n v="4086"/>
    <n v="10"/>
    <n v="28602"/>
    <n v="2860.2"/>
    <n v="25741.8"/>
  </r>
  <r>
    <x v="1679"/>
    <x v="500"/>
    <s v="CUST64474"/>
    <x v="1"/>
    <n v="47"/>
    <x v="0"/>
    <x v="1"/>
    <x v="3"/>
    <x v="3"/>
    <n v="5"/>
    <n v="7934"/>
    <n v="0"/>
    <n v="39670"/>
    <n v="0"/>
    <n v="39670"/>
  </r>
  <r>
    <x v="1680"/>
    <x v="164"/>
    <s v="CUST22746"/>
    <x v="0"/>
    <n v="50"/>
    <x v="0"/>
    <x v="2"/>
    <x v="2"/>
    <x v="3"/>
    <n v="1"/>
    <n v="185"/>
    <n v="0"/>
    <n v="185"/>
    <n v="0"/>
    <n v="185"/>
  </r>
  <r>
    <x v="1681"/>
    <x v="607"/>
    <s v="CUST32639"/>
    <x v="1"/>
    <n v="18"/>
    <x v="3"/>
    <x v="5"/>
    <x v="0"/>
    <x v="3"/>
    <n v="7"/>
    <n v="7070"/>
    <n v="10"/>
    <n v="49490"/>
    <n v="4949"/>
    <n v="44541"/>
  </r>
  <r>
    <x v="1682"/>
    <x v="341"/>
    <s v="CUST70423"/>
    <x v="0"/>
    <n v="52"/>
    <x v="0"/>
    <x v="1"/>
    <x v="0"/>
    <x v="0"/>
    <n v="7"/>
    <n v="6314"/>
    <n v="15"/>
    <n v="44198"/>
    <n v="6629.7"/>
    <n v="37568.300000000003"/>
  </r>
  <r>
    <x v="1683"/>
    <x v="578"/>
    <s v="CUST26554"/>
    <x v="0"/>
    <n v="55"/>
    <x v="0"/>
    <x v="2"/>
    <x v="2"/>
    <x v="2"/>
    <n v="2"/>
    <n v="3486"/>
    <n v="5"/>
    <n v="6972"/>
    <n v="348.6"/>
    <n v="6623.4"/>
  </r>
  <r>
    <x v="1684"/>
    <x v="356"/>
    <s v="CUST39697"/>
    <x v="1"/>
    <n v="54"/>
    <x v="0"/>
    <x v="3"/>
    <x v="5"/>
    <x v="2"/>
    <n v="5"/>
    <n v="1472"/>
    <n v="5"/>
    <n v="7360"/>
    <n v="368"/>
    <n v="6992"/>
  </r>
  <r>
    <x v="1685"/>
    <x v="196"/>
    <s v="CUST15103"/>
    <x v="1"/>
    <n v="43"/>
    <x v="2"/>
    <x v="4"/>
    <x v="0"/>
    <x v="3"/>
    <n v="7"/>
    <n v="7887"/>
    <n v="5"/>
    <n v="55209"/>
    <n v="2760.45"/>
    <n v="52448.55"/>
  </r>
  <r>
    <x v="1686"/>
    <x v="488"/>
    <s v="CUST53438"/>
    <x v="1"/>
    <n v="64"/>
    <x v="0"/>
    <x v="3"/>
    <x v="0"/>
    <x v="4"/>
    <n v="2"/>
    <n v="7983"/>
    <n v="10"/>
    <n v="15966"/>
    <n v="1596.6"/>
    <n v="14369.4"/>
  </r>
  <r>
    <x v="1687"/>
    <x v="492"/>
    <s v="CUST93779"/>
    <x v="1"/>
    <n v="55"/>
    <x v="0"/>
    <x v="2"/>
    <x v="0"/>
    <x v="2"/>
    <n v="2"/>
    <n v="973"/>
    <n v="10"/>
    <n v="1946"/>
    <n v="194.6"/>
    <n v="1751.4"/>
  </r>
  <r>
    <x v="1688"/>
    <x v="68"/>
    <s v="CUST95600"/>
    <x v="1"/>
    <n v="58"/>
    <x v="0"/>
    <x v="4"/>
    <x v="2"/>
    <x v="0"/>
    <n v="7"/>
    <n v="7143"/>
    <n v="10"/>
    <n v="50001"/>
    <n v="5000.1000000000004"/>
    <n v="45000.9"/>
  </r>
  <r>
    <x v="1689"/>
    <x v="59"/>
    <s v="CUST71112"/>
    <x v="0"/>
    <n v="27"/>
    <x v="1"/>
    <x v="0"/>
    <x v="3"/>
    <x v="3"/>
    <n v="1"/>
    <n v="7803"/>
    <n v="10"/>
    <n v="7803"/>
    <n v="780.3"/>
    <n v="7022.7"/>
  </r>
  <r>
    <x v="1690"/>
    <x v="86"/>
    <s v="CUST61989"/>
    <x v="0"/>
    <n v="34"/>
    <x v="1"/>
    <x v="1"/>
    <x v="2"/>
    <x v="3"/>
    <n v="6"/>
    <n v="811"/>
    <n v="15"/>
    <n v="4866"/>
    <n v="729.9"/>
    <n v="4136.1000000000004"/>
  </r>
  <r>
    <x v="1691"/>
    <x v="629"/>
    <s v="CUST98185"/>
    <x v="1"/>
    <n v="64"/>
    <x v="0"/>
    <x v="1"/>
    <x v="0"/>
    <x v="3"/>
    <n v="6"/>
    <n v="3021"/>
    <n v="15"/>
    <n v="18126"/>
    <n v="2718.9"/>
    <n v="15407.1"/>
  </r>
  <r>
    <x v="1692"/>
    <x v="202"/>
    <s v="CUST99723"/>
    <x v="1"/>
    <n v="52"/>
    <x v="0"/>
    <x v="4"/>
    <x v="4"/>
    <x v="2"/>
    <n v="2"/>
    <n v="6685"/>
    <n v="0"/>
    <n v="13370"/>
    <n v="0"/>
    <n v="13370"/>
  </r>
  <r>
    <x v="1693"/>
    <x v="218"/>
    <s v="CUST76903"/>
    <x v="1"/>
    <n v="62"/>
    <x v="0"/>
    <x v="1"/>
    <x v="0"/>
    <x v="2"/>
    <n v="1"/>
    <n v="364"/>
    <n v="10"/>
    <n v="364"/>
    <n v="36.4"/>
    <n v="327.60000000000002"/>
  </r>
  <r>
    <x v="1694"/>
    <x v="450"/>
    <s v="CUST62358"/>
    <x v="0"/>
    <n v="57"/>
    <x v="0"/>
    <x v="0"/>
    <x v="1"/>
    <x v="1"/>
    <n v="7"/>
    <n v="2747"/>
    <n v="20"/>
    <n v="19229"/>
    <n v="3845.8"/>
    <n v="15383.2"/>
  </r>
  <r>
    <x v="1695"/>
    <x v="646"/>
    <s v="CUST57680"/>
    <x v="1"/>
    <n v="46"/>
    <x v="0"/>
    <x v="1"/>
    <x v="4"/>
    <x v="4"/>
    <n v="6"/>
    <n v="6129"/>
    <n v="15"/>
    <n v="36774"/>
    <n v="5516.1"/>
    <n v="31257.9"/>
  </r>
  <r>
    <x v="1696"/>
    <x v="245"/>
    <s v="CUST21860"/>
    <x v="1"/>
    <n v="58"/>
    <x v="0"/>
    <x v="0"/>
    <x v="4"/>
    <x v="2"/>
    <n v="5"/>
    <n v="2870"/>
    <n v="0"/>
    <n v="14350"/>
    <n v="0"/>
    <n v="14350"/>
  </r>
  <r>
    <x v="1697"/>
    <x v="140"/>
    <s v="CUST75341"/>
    <x v="1"/>
    <n v="58"/>
    <x v="0"/>
    <x v="4"/>
    <x v="1"/>
    <x v="1"/>
    <n v="3"/>
    <n v="1499"/>
    <n v="0"/>
    <n v="4497"/>
    <n v="0"/>
    <n v="4497"/>
  </r>
  <r>
    <x v="1698"/>
    <x v="294"/>
    <s v="CUST46954"/>
    <x v="1"/>
    <n v="44"/>
    <x v="2"/>
    <x v="5"/>
    <x v="1"/>
    <x v="4"/>
    <n v="7"/>
    <n v="5101"/>
    <n v="15"/>
    <n v="35707"/>
    <n v="5356.05"/>
    <n v="30350.95"/>
  </r>
  <r>
    <x v="1699"/>
    <x v="223"/>
    <s v="CUST49206"/>
    <x v="0"/>
    <n v="64"/>
    <x v="0"/>
    <x v="4"/>
    <x v="1"/>
    <x v="1"/>
    <n v="5"/>
    <n v="2754"/>
    <n v="15"/>
    <n v="13770"/>
    <n v="2065.5"/>
    <n v="11704.5"/>
  </r>
  <r>
    <x v="1700"/>
    <x v="565"/>
    <s v="CUST41850"/>
    <x v="1"/>
    <n v="50"/>
    <x v="0"/>
    <x v="4"/>
    <x v="0"/>
    <x v="2"/>
    <n v="5"/>
    <n v="6901"/>
    <n v="0"/>
    <n v="34505"/>
    <n v="0"/>
    <n v="34505"/>
  </r>
  <r>
    <x v="1701"/>
    <x v="576"/>
    <s v="CUST82756"/>
    <x v="0"/>
    <n v="50"/>
    <x v="0"/>
    <x v="3"/>
    <x v="0"/>
    <x v="1"/>
    <n v="2"/>
    <n v="6714"/>
    <n v="5"/>
    <n v="13428"/>
    <n v="671.4"/>
    <n v="12756.6"/>
  </r>
  <r>
    <x v="1702"/>
    <x v="589"/>
    <s v="CUST74835"/>
    <x v="1"/>
    <n v="50"/>
    <x v="0"/>
    <x v="3"/>
    <x v="0"/>
    <x v="4"/>
    <n v="1"/>
    <n v="1204"/>
    <n v="0"/>
    <n v="1204"/>
    <n v="0"/>
    <n v="1204"/>
  </r>
  <r>
    <x v="1703"/>
    <x v="547"/>
    <s v="CUST79894"/>
    <x v="0"/>
    <n v="53"/>
    <x v="0"/>
    <x v="4"/>
    <x v="2"/>
    <x v="1"/>
    <n v="1"/>
    <n v="4377"/>
    <n v="0"/>
    <n v="4377"/>
    <n v="0"/>
    <n v="4377"/>
  </r>
  <r>
    <x v="1704"/>
    <x v="191"/>
    <s v="CUST91602"/>
    <x v="0"/>
    <n v="36"/>
    <x v="2"/>
    <x v="1"/>
    <x v="0"/>
    <x v="4"/>
    <n v="7"/>
    <n v="6819"/>
    <n v="0"/>
    <n v="47733"/>
    <n v="0"/>
    <n v="47733"/>
  </r>
  <r>
    <x v="1705"/>
    <x v="650"/>
    <s v="CUST44403"/>
    <x v="1"/>
    <n v="63"/>
    <x v="0"/>
    <x v="1"/>
    <x v="0"/>
    <x v="1"/>
    <n v="1"/>
    <n v="1383"/>
    <n v="0"/>
    <n v="1383"/>
    <n v="0"/>
    <n v="1383"/>
  </r>
  <r>
    <x v="1706"/>
    <x v="133"/>
    <s v="CUST14999"/>
    <x v="1"/>
    <n v="63"/>
    <x v="0"/>
    <x v="1"/>
    <x v="5"/>
    <x v="4"/>
    <n v="3"/>
    <n v="4382"/>
    <n v="0"/>
    <n v="13146"/>
    <n v="0"/>
    <n v="13146"/>
  </r>
  <r>
    <x v="1707"/>
    <x v="651"/>
    <s v="CUST40203"/>
    <x v="1"/>
    <n v="39"/>
    <x v="2"/>
    <x v="2"/>
    <x v="1"/>
    <x v="1"/>
    <n v="3"/>
    <n v="4492"/>
    <n v="10"/>
    <n v="13476"/>
    <n v="1347.6"/>
    <n v="12128.4"/>
  </r>
  <r>
    <x v="1708"/>
    <x v="392"/>
    <s v="CUST74781"/>
    <x v="0"/>
    <n v="31"/>
    <x v="1"/>
    <x v="2"/>
    <x v="2"/>
    <x v="2"/>
    <n v="2"/>
    <n v="941"/>
    <n v="10"/>
    <n v="1882"/>
    <n v="188.2"/>
    <n v="1693.8"/>
  </r>
  <r>
    <x v="1709"/>
    <x v="288"/>
    <s v="CUST33480"/>
    <x v="0"/>
    <n v="39"/>
    <x v="2"/>
    <x v="0"/>
    <x v="3"/>
    <x v="3"/>
    <n v="1"/>
    <n v="2703"/>
    <n v="5"/>
    <n v="2703"/>
    <n v="135.15"/>
    <n v="2567.85"/>
  </r>
  <r>
    <x v="1710"/>
    <x v="475"/>
    <s v="CUST16695"/>
    <x v="1"/>
    <n v="18"/>
    <x v="3"/>
    <x v="2"/>
    <x v="2"/>
    <x v="0"/>
    <n v="7"/>
    <n v="1049"/>
    <n v="10"/>
    <n v="7343"/>
    <n v="734.3"/>
    <n v="6608.7"/>
  </r>
  <r>
    <x v="1711"/>
    <x v="504"/>
    <s v="CUST65707"/>
    <x v="1"/>
    <n v="36"/>
    <x v="2"/>
    <x v="4"/>
    <x v="1"/>
    <x v="0"/>
    <n v="6"/>
    <n v="849"/>
    <n v="5"/>
    <n v="5094"/>
    <n v="254.7"/>
    <n v="4839.3"/>
  </r>
  <r>
    <x v="1712"/>
    <x v="208"/>
    <s v="CUST97189"/>
    <x v="0"/>
    <n v="41"/>
    <x v="2"/>
    <x v="2"/>
    <x v="3"/>
    <x v="2"/>
    <n v="3"/>
    <n v="5067"/>
    <n v="0"/>
    <n v="15201"/>
    <n v="0"/>
    <n v="15201"/>
  </r>
  <r>
    <x v="1713"/>
    <x v="393"/>
    <s v="CUST59634"/>
    <x v="1"/>
    <n v="20"/>
    <x v="3"/>
    <x v="5"/>
    <x v="1"/>
    <x v="1"/>
    <n v="1"/>
    <n v="3714"/>
    <n v="0"/>
    <n v="3714"/>
    <n v="0"/>
    <n v="3714"/>
  </r>
  <r>
    <x v="1714"/>
    <x v="317"/>
    <s v="CUST88450"/>
    <x v="1"/>
    <n v="21"/>
    <x v="3"/>
    <x v="0"/>
    <x v="3"/>
    <x v="0"/>
    <n v="4"/>
    <n v="4039"/>
    <n v="0"/>
    <n v="16156"/>
    <n v="0"/>
    <n v="16156"/>
  </r>
  <r>
    <x v="1715"/>
    <x v="394"/>
    <s v="CUST38173"/>
    <x v="0"/>
    <n v="51"/>
    <x v="0"/>
    <x v="5"/>
    <x v="1"/>
    <x v="1"/>
    <n v="3"/>
    <n v="713"/>
    <n v="5"/>
    <n v="2139"/>
    <n v="106.95"/>
    <n v="2032.05"/>
  </r>
  <r>
    <x v="1716"/>
    <x v="531"/>
    <s v="CUST99356"/>
    <x v="1"/>
    <n v="50"/>
    <x v="0"/>
    <x v="4"/>
    <x v="1"/>
    <x v="3"/>
    <n v="2"/>
    <n v="5720"/>
    <n v="5"/>
    <n v="11440"/>
    <n v="572"/>
    <n v="10868"/>
  </r>
  <r>
    <x v="1717"/>
    <x v="652"/>
    <s v="CUST50770"/>
    <x v="0"/>
    <n v="27"/>
    <x v="1"/>
    <x v="1"/>
    <x v="1"/>
    <x v="1"/>
    <n v="7"/>
    <n v="4149"/>
    <n v="5"/>
    <n v="29043"/>
    <n v="1452.15"/>
    <n v="27590.85"/>
  </r>
  <r>
    <x v="1718"/>
    <x v="373"/>
    <s v="CUST14635"/>
    <x v="1"/>
    <n v="61"/>
    <x v="0"/>
    <x v="0"/>
    <x v="0"/>
    <x v="1"/>
    <n v="5"/>
    <n v="7621"/>
    <n v="15"/>
    <n v="38105"/>
    <n v="5715.75"/>
    <n v="32389.25"/>
  </r>
  <r>
    <x v="1719"/>
    <x v="485"/>
    <s v="CUST34915"/>
    <x v="1"/>
    <n v="47"/>
    <x v="0"/>
    <x v="0"/>
    <x v="4"/>
    <x v="3"/>
    <n v="1"/>
    <n v="7658"/>
    <n v="0"/>
    <n v="7658"/>
    <n v="0"/>
    <n v="7658"/>
  </r>
  <r>
    <x v="1720"/>
    <x v="456"/>
    <s v="CUST13891"/>
    <x v="0"/>
    <n v="48"/>
    <x v="0"/>
    <x v="5"/>
    <x v="3"/>
    <x v="0"/>
    <n v="6"/>
    <n v="5388"/>
    <n v="0"/>
    <n v="32328"/>
    <n v="0"/>
    <n v="32328"/>
  </r>
  <r>
    <x v="1721"/>
    <x v="437"/>
    <s v="CUST73244"/>
    <x v="0"/>
    <n v="26"/>
    <x v="1"/>
    <x v="3"/>
    <x v="1"/>
    <x v="4"/>
    <n v="1"/>
    <n v="2343"/>
    <n v="10"/>
    <n v="2343"/>
    <n v="234.3"/>
    <n v="2108.6999999999998"/>
  </r>
  <r>
    <x v="1722"/>
    <x v="402"/>
    <s v="CUST16970"/>
    <x v="1"/>
    <n v="32"/>
    <x v="1"/>
    <x v="2"/>
    <x v="2"/>
    <x v="1"/>
    <n v="7"/>
    <n v="3962"/>
    <n v="0"/>
    <n v="27734"/>
    <n v="0"/>
    <n v="27734"/>
  </r>
  <r>
    <x v="1723"/>
    <x v="293"/>
    <s v="CUST74479"/>
    <x v="1"/>
    <n v="61"/>
    <x v="0"/>
    <x v="4"/>
    <x v="2"/>
    <x v="3"/>
    <n v="7"/>
    <n v="3174"/>
    <n v="10"/>
    <n v="22218"/>
    <n v="2221.8000000000002"/>
    <n v="19996.2"/>
  </r>
  <r>
    <x v="1724"/>
    <x v="155"/>
    <s v="CUST68176"/>
    <x v="1"/>
    <n v="41"/>
    <x v="2"/>
    <x v="4"/>
    <x v="1"/>
    <x v="4"/>
    <n v="7"/>
    <n v="537"/>
    <n v="15"/>
    <n v="3759"/>
    <n v="563.85"/>
    <n v="3195.15"/>
  </r>
  <r>
    <x v="1725"/>
    <x v="522"/>
    <s v="CUST69583"/>
    <x v="0"/>
    <n v="52"/>
    <x v="0"/>
    <x v="5"/>
    <x v="2"/>
    <x v="1"/>
    <n v="3"/>
    <n v="3774"/>
    <n v="5"/>
    <n v="11322"/>
    <n v="566.1"/>
    <n v="10755.9"/>
  </r>
  <r>
    <x v="1726"/>
    <x v="580"/>
    <s v="CUST65720"/>
    <x v="0"/>
    <n v="32"/>
    <x v="1"/>
    <x v="4"/>
    <x v="2"/>
    <x v="1"/>
    <n v="2"/>
    <n v="474"/>
    <n v="0"/>
    <n v="948"/>
    <n v="0"/>
    <n v="948"/>
  </r>
  <r>
    <x v="1727"/>
    <x v="261"/>
    <s v="CUST20472"/>
    <x v="0"/>
    <n v="28"/>
    <x v="1"/>
    <x v="2"/>
    <x v="0"/>
    <x v="4"/>
    <n v="2"/>
    <n v="671"/>
    <n v="15"/>
    <n v="1342"/>
    <n v="201.3"/>
    <n v="1140.7"/>
  </r>
  <r>
    <x v="1728"/>
    <x v="79"/>
    <s v="CUST67876"/>
    <x v="0"/>
    <n v="38"/>
    <x v="2"/>
    <x v="4"/>
    <x v="2"/>
    <x v="4"/>
    <n v="2"/>
    <n v="4902"/>
    <n v="15"/>
    <n v="9804"/>
    <n v="1470.6"/>
    <n v="8333.4"/>
  </r>
  <r>
    <x v="1729"/>
    <x v="390"/>
    <s v="CUST78436"/>
    <x v="0"/>
    <n v="59"/>
    <x v="0"/>
    <x v="2"/>
    <x v="5"/>
    <x v="2"/>
    <n v="1"/>
    <n v="249"/>
    <n v="0"/>
    <n v="249"/>
    <n v="0"/>
    <n v="249"/>
  </r>
  <r>
    <x v="1730"/>
    <x v="383"/>
    <s v="CUST69829"/>
    <x v="1"/>
    <n v="28"/>
    <x v="1"/>
    <x v="4"/>
    <x v="5"/>
    <x v="0"/>
    <n v="2"/>
    <n v="5347"/>
    <n v="5"/>
    <n v="10694"/>
    <n v="534.70000000000005"/>
    <n v="10159.299999999999"/>
  </r>
  <r>
    <x v="1731"/>
    <x v="448"/>
    <s v="CUST48811"/>
    <x v="0"/>
    <n v="53"/>
    <x v="0"/>
    <x v="3"/>
    <x v="2"/>
    <x v="4"/>
    <n v="7"/>
    <n v="6456"/>
    <n v="0"/>
    <n v="45192"/>
    <n v="0"/>
    <n v="45192"/>
  </r>
  <r>
    <x v="1732"/>
    <x v="536"/>
    <s v="CUST63841"/>
    <x v="0"/>
    <n v="30"/>
    <x v="1"/>
    <x v="4"/>
    <x v="1"/>
    <x v="4"/>
    <n v="7"/>
    <n v="6917"/>
    <n v="0"/>
    <n v="48419"/>
    <n v="0"/>
    <n v="48419"/>
  </r>
  <r>
    <x v="1733"/>
    <x v="594"/>
    <s v="CUST80433"/>
    <x v="0"/>
    <n v="45"/>
    <x v="2"/>
    <x v="0"/>
    <x v="0"/>
    <x v="0"/>
    <n v="1"/>
    <n v="1158"/>
    <n v="0"/>
    <n v="1158"/>
    <n v="0"/>
    <n v="1158"/>
  </r>
  <r>
    <x v="1734"/>
    <x v="109"/>
    <s v="CUST67838"/>
    <x v="0"/>
    <n v="40"/>
    <x v="2"/>
    <x v="2"/>
    <x v="3"/>
    <x v="0"/>
    <n v="3"/>
    <n v="436"/>
    <n v="0"/>
    <n v="1308"/>
    <n v="0"/>
    <n v="1308"/>
  </r>
  <r>
    <x v="1735"/>
    <x v="614"/>
    <s v="CUST56522"/>
    <x v="0"/>
    <n v="56"/>
    <x v="0"/>
    <x v="3"/>
    <x v="1"/>
    <x v="3"/>
    <n v="2"/>
    <n v="406"/>
    <n v="5"/>
    <n v="812"/>
    <n v="40.6"/>
    <n v="771.4"/>
  </r>
  <r>
    <x v="1736"/>
    <x v="121"/>
    <s v="CUST62872"/>
    <x v="1"/>
    <n v="19"/>
    <x v="3"/>
    <x v="1"/>
    <x v="2"/>
    <x v="2"/>
    <n v="1"/>
    <n v="817"/>
    <n v="0"/>
    <n v="817"/>
    <n v="0"/>
    <n v="817"/>
  </r>
  <r>
    <x v="1737"/>
    <x v="653"/>
    <s v="CUST15981"/>
    <x v="0"/>
    <n v="42"/>
    <x v="2"/>
    <x v="5"/>
    <x v="0"/>
    <x v="1"/>
    <n v="7"/>
    <n v="3573"/>
    <n v="0"/>
    <n v="25011"/>
    <n v="0"/>
    <n v="25011"/>
  </r>
  <r>
    <x v="1738"/>
    <x v="354"/>
    <s v="CUST73568"/>
    <x v="1"/>
    <n v="19"/>
    <x v="3"/>
    <x v="5"/>
    <x v="0"/>
    <x v="0"/>
    <n v="5"/>
    <n v="2591"/>
    <n v="10"/>
    <n v="12955"/>
    <n v="1295.5"/>
    <n v="11659.5"/>
  </r>
  <r>
    <x v="1739"/>
    <x v="380"/>
    <s v="CUST99551"/>
    <x v="1"/>
    <n v="28"/>
    <x v="1"/>
    <x v="1"/>
    <x v="3"/>
    <x v="3"/>
    <n v="5"/>
    <n v="908"/>
    <n v="0"/>
    <n v="4540"/>
    <n v="0"/>
    <n v="4540"/>
  </r>
  <r>
    <x v="1740"/>
    <x v="300"/>
    <s v="CUST45508"/>
    <x v="0"/>
    <n v="53"/>
    <x v="0"/>
    <x v="3"/>
    <x v="3"/>
    <x v="1"/>
    <n v="5"/>
    <n v="2624"/>
    <n v="0"/>
    <n v="13120"/>
    <n v="0"/>
    <n v="13120"/>
  </r>
  <r>
    <x v="1741"/>
    <x v="591"/>
    <s v="CUST21117"/>
    <x v="1"/>
    <n v="25"/>
    <x v="3"/>
    <x v="0"/>
    <x v="2"/>
    <x v="2"/>
    <n v="1"/>
    <n v="5488"/>
    <n v="5"/>
    <n v="5488"/>
    <n v="274.39999999999998"/>
    <n v="5213.6000000000004"/>
  </r>
  <r>
    <x v="1742"/>
    <x v="495"/>
    <s v="CUST30061"/>
    <x v="1"/>
    <n v="25"/>
    <x v="3"/>
    <x v="3"/>
    <x v="2"/>
    <x v="3"/>
    <n v="3"/>
    <n v="5809"/>
    <n v="15"/>
    <n v="17427"/>
    <n v="2614.0500000000002"/>
    <n v="14812.95"/>
  </r>
  <r>
    <x v="1743"/>
    <x v="397"/>
    <s v="CUST50557"/>
    <x v="1"/>
    <n v="26"/>
    <x v="1"/>
    <x v="5"/>
    <x v="4"/>
    <x v="3"/>
    <n v="5"/>
    <n v="6358"/>
    <n v="5"/>
    <n v="31790"/>
    <n v="1589.5"/>
    <n v="30200.5"/>
  </r>
  <r>
    <x v="1744"/>
    <x v="279"/>
    <s v="CUST59042"/>
    <x v="1"/>
    <n v="31"/>
    <x v="1"/>
    <x v="4"/>
    <x v="0"/>
    <x v="0"/>
    <n v="2"/>
    <n v="6283"/>
    <n v="0"/>
    <n v="12566"/>
    <n v="0"/>
    <n v="12566"/>
  </r>
  <r>
    <x v="1745"/>
    <x v="15"/>
    <s v="CUST97729"/>
    <x v="1"/>
    <n v="42"/>
    <x v="2"/>
    <x v="4"/>
    <x v="0"/>
    <x v="1"/>
    <n v="5"/>
    <n v="7216"/>
    <n v="5"/>
    <n v="36080"/>
    <n v="1804"/>
    <n v="34276"/>
  </r>
  <r>
    <x v="1746"/>
    <x v="549"/>
    <s v="CUST66128"/>
    <x v="1"/>
    <n v="19"/>
    <x v="3"/>
    <x v="1"/>
    <x v="1"/>
    <x v="3"/>
    <n v="1"/>
    <n v="3593"/>
    <n v="20"/>
    <n v="3593"/>
    <n v="718.6"/>
    <n v="2874.4"/>
  </r>
  <r>
    <x v="1747"/>
    <x v="524"/>
    <s v="CUST82152"/>
    <x v="0"/>
    <n v="30"/>
    <x v="1"/>
    <x v="4"/>
    <x v="4"/>
    <x v="3"/>
    <n v="5"/>
    <n v="329"/>
    <n v="5"/>
    <n v="1645"/>
    <n v="82.25"/>
    <n v="1562.75"/>
  </r>
  <r>
    <x v="1748"/>
    <x v="380"/>
    <s v="CUST82900"/>
    <x v="1"/>
    <n v="21"/>
    <x v="3"/>
    <x v="5"/>
    <x v="0"/>
    <x v="1"/>
    <n v="1"/>
    <n v="6304"/>
    <n v="0"/>
    <n v="6304"/>
    <n v="0"/>
    <n v="6304"/>
  </r>
  <r>
    <x v="1749"/>
    <x v="81"/>
    <s v="CUST24024"/>
    <x v="1"/>
    <n v="63"/>
    <x v="0"/>
    <x v="0"/>
    <x v="2"/>
    <x v="2"/>
    <n v="4"/>
    <n v="2496"/>
    <n v="20"/>
    <n v="9984"/>
    <n v="1996.8"/>
    <n v="7987.2"/>
  </r>
  <r>
    <x v="1750"/>
    <x v="151"/>
    <s v="CUST97897"/>
    <x v="0"/>
    <n v="25"/>
    <x v="3"/>
    <x v="4"/>
    <x v="0"/>
    <x v="3"/>
    <n v="1"/>
    <n v="1025"/>
    <n v="0"/>
    <n v="1025"/>
    <n v="0"/>
    <n v="1025"/>
  </r>
  <r>
    <x v="1751"/>
    <x v="597"/>
    <s v="CUST93982"/>
    <x v="1"/>
    <n v="52"/>
    <x v="0"/>
    <x v="4"/>
    <x v="0"/>
    <x v="4"/>
    <n v="3"/>
    <n v="4800"/>
    <n v="0"/>
    <n v="14400"/>
    <n v="0"/>
    <n v="14400"/>
  </r>
  <r>
    <x v="1752"/>
    <x v="478"/>
    <s v="CUST65206"/>
    <x v="1"/>
    <n v="60"/>
    <x v="0"/>
    <x v="4"/>
    <x v="2"/>
    <x v="2"/>
    <n v="2"/>
    <n v="4936"/>
    <n v="10"/>
    <n v="9872"/>
    <n v="987.2"/>
    <n v="8884.7999999999993"/>
  </r>
  <r>
    <x v="1753"/>
    <x v="550"/>
    <s v="CUST86828"/>
    <x v="1"/>
    <n v="19"/>
    <x v="3"/>
    <x v="4"/>
    <x v="5"/>
    <x v="1"/>
    <n v="6"/>
    <n v="5798"/>
    <n v="0"/>
    <n v="34788"/>
    <n v="0"/>
    <n v="34788"/>
  </r>
  <r>
    <x v="1754"/>
    <x v="643"/>
    <s v="CUST37730"/>
    <x v="1"/>
    <n v="41"/>
    <x v="2"/>
    <x v="2"/>
    <x v="1"/>
    <x v="4"/>
    <n v="6"/>
    <n v="235"/>
    <n v="10"/>
    <n v="1410"/>
    <n v="141"/>
    <n v="1269"/>
  </r>
  <r>
    <x v="1755"/>
    <x v="584"/>
    <s v="CUST23946"/>
    <x v="0"/>
    <n v="30"/>
    <x v="1"/>
    <x v="4"/>
    <x v="0"/>
    <x v="0"/>
    <n v="1"/>
    <n v="3896"/>
    <n v="5"/>
    <n v="3896"/>
    <n v="194.8"/>
    <n v="3701.2"/>
  </r>
  <r>
    <x v="1756"/>
    <x v="526"/>
    <s v="CUST28721"/>
    <x v="1"/>
    <n v="46"/>
    <x v="0"/>
    <x v="5"/>
    <x v="1"/>
    <x v="0"/>
    <n v="4"/>
    <n v="2037"/>
    <n v="0"/>
    <n v="8148"/>
    <n v="0"/>
    <n v="8148"/>
  </r>
  <r>
    <x v="1757"/>
    <x v="384"/>
    <s v="CUST57281"/>
    <x v="1"/>
    <n v="47"/>
    <x v="0"/>
    <x v="5"/>
    <x v="3"/>
    <x v="1"/>
    <n v="7"/>
    <n v="6556"/>
    <n v="20"/>
    <n v="45892"/>
    <n v="9178.4"/>
    <n v="36713.599999999999"/>
  </r>
  <r>
    <x v="1758"/>
    <x v="654"/>
    <s v="CUST11353"/>
    <x v="0"/>
    <n v="60"/>
    <x v="0"/>
    <x v="0"/>
    <x v="4"/>
    <x v="0"/>
    <n v="5"/>
    <n v="2204"/>
    <n v="0"/>
    <n v="11020"/>
    <n v="0"/>
    <n v="11020"/>
  </r>
  <r>
    <x v="1759"/>
    <x v="7"/>
    <s v="CUST82584"/>
    <x v="1"/>
    <n v="20"/>
    <x v="3"/>
    <x v="3"/>
    <x v="3"/>
    <x v="2"/>
    <n v="3"/>
    <n v="5212"/>
    <n v="0"/>
    <n v="15636"/>
    <n v="0"/>
    <n v="15636"/>
  </r>
  <r>
    <x v="1760"/>
    <x v="352"/>
    <s v="CUST30936"/>
    <x v="1"/>
    <n v="44"/>
    <x v="2"/>
    <x v="1"/>
    <x v="2"/>
    <x v="0"/>
    <n v="3"/>
    <n v="1091"/>
    <n v="0"/>
    <n v="3273"/>
    <n v="0"/>
    <n v="3273"/>
  </r>
  <r>
    <x v="1761"/>
    <x v="172"/>
    <s v="CUST80558"/>
    <x v="0"/>
    <n v="28"/>
    <x v="1"/>
    <x v="5"/>
    <x v="2"/>
    <x v="2"/>
    <n v="1"/>
    <n v="191"/>
    <n v="0"/>
    <n v="191"/>
    <n v="0"/>
    <n v="191"/>
  </r>
  <r>
    <x v="1762"/>
    <x v="534"/>
    <s v="CUST79078"/>
    <x v="1"/>
    <n v="62"/>
    <x v="0"/>
    <x v="2"/>
    <x v="0"/>
    <x v="2"/>
    <n v="7"/>
    <n v="4255"/>
    <n v="15"/>
    <n v="29785"/>
    <n v="4467.75"/>
    <n v="25317.25"/>
  </r>
  <r>
    <x v="1763"/>
    <x v="93"/>
    <s v="CUST94791"/>
    <x v="1"/>
    <n v="60"/>
    <x v="0"/>
    <x v="2"/>
    <x v="1"/>
    <x v="3"/>
    <n v="6"/>
    <n v="6102"/>
    <n v="5"/>
    <n v="36612"/>
    <n v="1830.6"/>
    <n v="34781.4"/>
  </r>
  <r>
    <x v="1764"/>
    <x v="517"/>
    <s v="CUST15877"/>
    <x v="1"/>
    <n v="36"/>
    <x v="2"/>
    <x v="1"/>
    <x v="3"/>
    <x v="3"/>
    <n v="4"/>
    <n v="3724"/>
    <n v="10"/>
    <n v="14896"/>
    <n v="1489.6"/>
    <n v="13406.4"/>
  </r>
  <r>
    <x v="1765"/>
    <x v="212"/>
    <s v="CUST85641"/>
    <x v="1"/>
    <n v="35"/>
    <x v="1"/>
    <x v="1"/>
    <x v="4"/>
    <x v="2"/>
    <n v="2"/>
    <n v="1535"/>
    <n v="15"/>
    <n v="3070"/>
    <n v="460.5"/>
    <n v="2609.5"/>
  </r>
  <r>
    <x v="1766"/>
    <x v="475"/>
    <s v="CUST69774"/>
    <x v="0"/>
    <n v="40"/>
    <x v="2"/>
    <x v="1"/>
    <x v="2"/>
    <x v="3"/>
    <n v="5"/>
    <n v="727"/>
    <n v="10"/>
    <n v="3635"/>
    <n v="363.5"/>
    <n v="3271.5"/>
  </r>
  <r>
    <x v="1767"/>
    <x v="251"/>
    <s v="CUST78449"/>
    <x v="0"/>
    <n v="61"/>
    <x v="0"/>
    <x v="2"/>
    <x v="2"/>
    <x v="0"/>
    <n v="2"/>
    <n v="1763"/>
    <n v="15"/>
    <n v="3526"/>
    <n v="528.9"/>
    <n v="2997.1"/>
  </r>
  <r>
    <x v="1768"/>
    <x v="390"/>
    <s v="CUST32629"/>
    <x v="1"/>
    <n v="48"/>
    <x v="0"/>
    <x v="5"/>
    <x v="4"/>
    <x v="0"/>
    <n v="3"/>
    <n v="4945"/>
    <n v="5"/>
    <n v="14835"/>
    <n v="741.75"/>
    <n v="14093.25"/>
  </r>
  <r>
    <x v="1769"/>
    <x v="189"/>
    <s v="CUST35026"/>
    <x v="1"/>
    <n v="24"/>
    <x v="3"/>
    <x v="1"/>
    <x v="1"/>
    <x v="3"/>
    <n v="6"/>
    <n v="4397"/>
    <n v="15"/>
    <n v="26382"/>
    <n v="3957.3"/>
    <n v="22424.7"/>
  </r>
  <r>
    <x v="1770"/>
    <x v="550"/>
    <s v="CUST20140"/>
    <x v="0"/>
    <n v="39"/>
    <x v="2"/>
    <x v="2"/>
    <x v="1"/>
    <x v="1"/>
    <n v="2"/>
    <n v="5060"/>
    <n v="0"/>
    <n v="10120"/>
    <n v="0"/>
    <n v="10120"/>
  </r>
  <r>
    <x v="1771"/>
    <x v="288"/>
    <s v="CUST10862"/>
    <x v="0"/>
    <n v="51"/>
    <x v="0"/>
    <x v="4"/>
    <x v="0"/>
    <x v="0"/>
    <n v="2"/>
    <n v="1959"/>
    <n v="15"/>
    <n v="3918"/>
    <n v="587.70000000000005"/>
    <n v="3330.3"/>
  </r>
  <r>
    <x v="1772"/>
    <x v="401"/>
    <s v="CUST50102"/>
    <x v="1"/>
    <n v="29"/>
    <x v="1"/>
    <x v="0"/>
    <x v="2"/>
    <x v="3"/>
    <n v="6"/>
    <n v="4301"/>
    <n v="0"/>
    <n v="25806"/>
    <n v="0"/>
    <n v="25806"/>
  </r>
  <r>
    <x v="1773"/>
    <x v="567"/>
    <s v="CUST27870"/>
    <x v="1"/>
    <n v="47"/>
    <x v="0"/>
    <x v="5"/>
    <x v="0"/>
    <x v="1"/>
    <n v="5"/>
    <n v="7260"/>
    <n v="5"/>
    <n v="36300"/>
    <n v="1815"/>
    <n v="34485"/>
  </r>
  <r>
    <x v="1774"/>
    <x v="180"/>
    <s v="CUST52186"/>
    <x v="1"/>
    <n v="62"/>
    <x v="0"/>
    <x v="1"/>
    <x v="1"/>
    <x v="2"/>
    <n v="6"/>
    <n v="1775"/>
    <n v="0"/>
    <n v="10650"/>
    <n v="0"/>
    <n v="10650"/>
  </r>
  <r>
    <x v="1775"/>
    <x v="166"/>
    <s v="CUST15945"/>
    <x v="0"/>
    <n v="56"/>
    <x v="0"/>
    <x v="1"/>
    <x v="2"/>
    <x v="4"/>
    <n v="2"/>
    <n v="5423"/>
    <n v="0"/>
    <n v="10846"/>
    <n v="0"/>
    <n v="10846"/>
  </r>
  <r>
    <x v="1776"/>
    <x v="564"/>
    <s v="CUST29592"/>
    <x v="1"/>
    <n v="28"/>
    <x v="1"/>
    <x v="4"/>
    <x v="1"/>
    <x v="0"/>
    <n v="3"/>
    <n v="5608"/>
    <n v="10"/>
    <n v="16824"/>
    <n v="1682.4"/>
    <n v="15141.6"/>
  </r>
  <r>
    <x v="1777"/>
    <x v="532"/>
    <s v="CUST47443"/>
    <x v="1"/>
    <n v="30"/>
    <x v="1"/>
    <x v="5"/>
    <x v="5"/>
    <x v="4"/>
    <n v="5"/>
    <n v="4894"/>
    <n v="0"/>
    <n v="24470"/>
    <n v="0"/>
    <n v="24470"/>
  </r>
  <r>
    <x v="1778"/>
    <x v="623"/>
    <s v="CUST82618"/>
    <x v="1"/>
    <n v="62"/>
    <x v="0"/>
    <x v="0"/>
    <x v="1"/>
    <x v="3"/>
    <n v="1"/>
    <n v="369"/>
    <n v="0"/>
    <n v="369"/>
    <n v="0"/>
    <n v="369"/>
  </r>
  <r>
    <x v="1779"/>
    <x v="307"/>
    <s v="CUST54360"/>
    <x v="1"/>
    <n v="43"/>
    <x v="2"/>
    <x v="1"/>
    <x v="2"/>
    <x v="0"/>
    <n v="4"/>
    <n v="1590"/>
    <n v="0"/>
    <n v="6360"/>
    <n v="0"/>
    <n v="6360"/>
  </r>
  <r>
    <x v="1780"/>
    <x v="623"/>
    <s v="CUST58428"/>
    <x v="0"/>
    <n v="59"/>
    <x v="0"/>
    <x v="1"/>
    <x v="2"/>
    <x v="4"/>
    <n v="3"/>
    <n v="6021"/>
    <n v="15"/>
    <n v="18063"/>
    <n v="2709.45"/>
    <n v="15353.55"/>
  </r>
  <r>
    <x v="1781"/>
    <x v="331"/>
    <s v="CUST46781"/>
    <x v="1"/>
    <n v="40"/>
    <x v="2"/>
    <x v="1"/>
    <x v="0"/>
    <x v="4"/>
    <n v="6"/>
    <n v="6676"/>
    <n v="10"/>
    <n v="40056"/>
    <n v="4005.6"/>
    <n v="36050.400000000001"/>
  </r>
  <r>
    <x v="1782"/>
    <x v="370"/>
    <s v="CUST93388"/>
    <x v="1"/>
    <n v="59"/>
    <x v="0"/>
    <x v="4"/>
    <x v="3"/>
    <x v="0"/>
    <n v="3"/>
    <n v="1230"/>
    <n v="0"/>
    <n v="3690"/>
    <n v="0"/>
    <n v="3690"/>
  </r>
  <r>
    <x v="1783"/>
    <x v="161"/>
    <s v="CUST34606"/>
    <x v="0"/>
    <n v="43"/>
    <x v="2"/>
    <x v="2"/>
    <x v="0"/>
    <x v="3"/>
    <n v="3"/>
    <n v="5351"/>
    <n v="0"/>
    <n v="16053"/>
    <n v="0"/>
    <n v="16053"/>
  </r>
  <r>
    <x v="1784"/>
    <x v="396"/>
    <s v="CUST90180"/>
    <x v="1"/>
    <n v="49"/>
    <x v="0"/>
    <x v="3"/>
    <x v="3"/>
    <x v="2"/>
    <n v="7"/>
    <n v="1535"/>
    <n v="5"/>
    <n v="10745"/>
    <n v="537.25"/>
    <n v="10207.75"/>
  </r>
  <r>
    <x v="1785"/>
    <x v="570"/>
    <s v="CUST25730"/>
    <x v="1"/>
    <n v="54"/>
    <x v="0"/>
    <x v="0"/>
    <x v="1"/>
    <x v="3"/>
    <n v="6"/>
    <n v="2854"/>
    <n v="5"/>
    <n v="17124"/>
    <n v="856.2"/>
    <n v="16267.8"/>
  </r>
  <r>
    <x v="1786"/>
    <x v="277"/>
    <s v="CUST50533"/>
    <x v="0"/>
    <n v="28"/>
    <x v="1"/>
    <x v="3"/>
    <x v="0"/>
    <x v="1"/>
    <n v="1"/>
    <n v="5361"/>
    <n v="10"/>
    <n v="5361"/>
    <n v="536.1"/>
    <n v="4824.8999999999996"/>
  </r>
  <r>
    <x v="1787"/>
    <x v="312"/>
    <s v="CUST39658"/>
    <x v="0"/>
    <n v="56"/>
    <x v="0"/>
    <x v="2"/>
    <x v="1"/>
    <x v="4"/>
    <n v="6"/>
    <n v="3139"/>
    <n v="15"/>
    <n v="18834"/>
    <n v="2825.1"/>
    <n v="16008.9"/>
  </r>
  <r>
    <x v="1788"/>
    <x v="655"/>
    <s v="CUST74522"/>
    <x v="1"/>
    <n v="63"/>
    <x v="0"/>
    <x v="3"/>
    <x v="0"/>
    <x v="0"/>
    <n v="5"/>
    <n v="1470"/>
    <n v="10"/>
    <n v="7350"/>
    <n v="735"/>
    <n v="6615"/>
  </r>
  <r>
    <x v="1789"/>
    <x v="546"/>
    <s v="CUST95522"/>
    <x v="0"/>
    <n v="59"/>
    <x v="0"/>
    <x v="4"/>
    <x v="2"/>
    <x v="4"/>
    <n v="7"/>
    <n v="6072"/>
    <n v="0"/>
    <n v="42504"/>
    <n v="0"/>
    <n v="42504"/>
  </r>
  <r>
    <x v="1790"/>
    <x v="310"/>
    <s v="CUST33860"/>
    <x v="1"/>
    <n v="46"/>
    <x v="0"/>
    <x v="4"/>
    <x v="3"/>
    <x v="3"/>
    <n v="5"/>
    <n v="5186"/>
    <n v="0"/>
    <n v="25930"/>
    <n v="0"/>
    <n v="25930"/>
  </r>
  <r>
    <x v="1791"/>
    <x v="51"/>
    <s v="CUST10819"/>
    <x v="1"/>
    <n v="22"/>
    <x v="3"/>
    <x v="0"/>
    <x v="2"/>
    <x v="2"/>
    <n v="7"/>
    <n v="7037"/>
    <n v="15"/>
    <n v="49259"/>
    <n v="7388.85"/>
    <n v="41870.15"/>
  </r>
  <r>
    <x v="1792"/>
    <x v="127"/>
    <s v="CUST66657"/>
    <x v="0"/>
    <n v="55"/>
    <x v="0"/>
    <x v="4"/>
    <x v="1"/>
    <x v="1"/>
    <n v="7"/>
    <n v="5578"/>
    <n v="0"/>
    <n v="39046"/>
    <n v="0"/>
    <n v="39046"/>
  </r>
  <r>
    <x v="1793"/>
    <x v="276"/>
    <s v="CUST78163"/>
    <x v="1"/>
    <n v="25"/>
    <x v="3"/>
    <x v="3"/>
    <x v="3"/>
    <x v="2"/>
    <n v="4"/>
    <n v="4738"/>
    <n v="0"/>
    <n v="18952"/>
    <n v="0"/>
    <n v="18952"/>
  </r>
  <r>
    <x v="1794"/>
    <x v="454"/>
    <s v="CUST63737"/>
    <x v="1"/>
    <n v="18"/>
    <x v="3"/>
    <x v="0"/>
    <x v="1"/>
    <x v="4"/>
    <n v="7"/>
    <n v="5066"/>
    <n v="10"/>
    <n v="35462"/>
    <n v="3546.2"/>
    <n v="31915.8"/>
  </r>
  <r>
    <x v="1795"/>
    <x v="606"/>
    <s v="CUST61317"/>
    <x v="1"/>
    <n v="60"/>
    <x v="0"/>
    <x v="5"/>
    <x v="0"/>
    <x v="2"/>
    <n v="4"/>
    <n v="1013"/>
    <n v="5"/>
    <n v="4052"/>
    <n v="202.6"/>
    <n v="3849.4"/>
  </r>
  <r>
    <x v="1796"/>
    <x v="277"/>
    <s v="CUST73795"/>
    <x v="0"/>
    <n v="53"/>
    <x v="0"/>
    <x v="3"/>
    <x v="2"/>
    <x v="4"/>
    <n v="2"/>
    <n v="1536"/>
    <n v="10"/>
    <n v="3072"/>
    <n v="307.2"/>
    <n v="2764.8"/>
  </r>
  <r>
    <x v="1797"/>
    <x v="485"/>
    <s v="CUST68847"/>
    <x v="1"/>
    <n v="59"/>
    <x v="0"/>
    <x v="5"/>
    <x v="3"/>
    <x v="3"/>
    <n v="5"/>
    <n v="308"/>
    <n v="0"/>
    <n v="1540"/>
    <n v="0"/>
    <n v="1540"/>
  </r>
  <r>
    <x v="1798"/>
    <x v="408"/>
    <s v="CUST93652"/>
    <x v="1"/>
    <n v="37"/>
    <x v="2"/>
    <x v="0"/>
    <x v="1"/>
    <x v="1"/>
    <n v="6"/>
    <n v="6796"/>
    <n v="0"/>
    <n v="40776"/>
    <n v="0"/>
    <n v="40776"/>
  </r>
  <r>
    <x v="1799"/>
    <x v="100"/>
    <s v="CUST25940"/>
    <x v="0"/>
    <n v="58"/>
    <x v="0"/>
    <x v="5"/>
    <x v="4"/>
    <x v="2"/>
    <n v="2"/>
    <n v="1269"/>
    <n v="10"/>
    <n v="2538"/>
    <n v="253.8"/>
    <n v="2284.1999999999998"/>
  </r>
  <r>
    <x v="1800"/>
    <x v="148"/>
    <s v="CUST72335"/>
    <x v="1"/>
    <n v="64"/>
    <x v="0"/>
    <x v="2"/>
    <x v="1"/>
    <x v="4"/>
    <n v="7"/>
    <n v="283"/>
    <n v="5"/>
    <n v="1981"/>
    <n v="99.05"/>
    <n v="1881.95"/>
  </r>
  <r>
    <x v="1801"/>
    <x v="535"/>
    <s v="CUST55393"/>
    <x v="1"/>
    <n v="62"/>
    <x v="0"/>
    <x v="4"/>
    <x v="3"/>
    <x v="3"/>
    <n v="2"/>
    <n v="3243"/>
    <n v="0"/>
    <n v="6486"/>
    <n v="0"/>
    <n v="6486"/>
  </r>
  <r>
    <x v="1802"/>
    <x v="251"/>
    <s v="CUST57851"/>
    <x v="0"/>
    <n v="21"/>
    <x v="3"/>
    <x v="3"/>
    <x v="1"/>
    <x v="1"/>
    <n v="2"/>
    <n v="5947"/>
    <n v="10"/>
    <n v="11894"/>
    <n v="1189.4000000000001"/>
    <n v="10704.6"/>
  </r>
  <r>
    <x v="1803"/>
    <x v="327"/>
    <s v="CUST66809"/>
    <x v="1"/>
    <n v="63"/>
    <x v="0"/>
    <x v="5"/>
    <x v="0"/>
    <x v="2"/>
    <n v="2"/>
    <n v="6594"/>
    <n v="0"/>
    <n v="13188"/>
    <n v="0"/>
    <n v="13188"/>
  </r>
  <r>
    <x v="1804"/>
    <x v="268"/>
    <s v="CUST81090"/>
    <x v="1"/>
    <n v="64"/>
    <x v="0"/>
    <x v="5"/>
    <x v="4"/>
    <x v="0"/>
    <n v="1"/>
    <n v="2626"/>
    <n v="0"/>
    <n v="2626"/>
    <n v="0"/>
    <n v="2626"/>
  </r>
  <r>
    <x v="1805"/>
    <x v="650"/>
    <s v="CUST88618"/>
    <x v="0"/>
    <n v="59"/>
    <x v="0"/>
    <x v="3"/>
    <x v="5"/>
    <x v="3"/>
    <n v="2"/>
    <n v="6126"/>
    <n v="0"/>
    <n v="12252"/>
    <n v="0"/>
    <n v="12252"/>
  </r>
  <r>
    <x v="1806"/>
    <x v="656"/>
    <s v="CUST15772"/>
    <x v="0"/>
    <n v="57"/>
    <x v="0"/>
    <x v="3"/>
    <x v="1"/>
    <x v="4"/>
    <n v="7"/>
    <n v="4332"/>
    <n v="10"/>
    <n v="30324"/>
    <n v="3032.4"/>
    <n v="27291.599999999999"/>
  </r>
  <r>
    <x v="1807"/>
    <x v="228"/>
    <s v="CUST72092"/>
    <x v="1"/>
    <n v="21"/>
    <x v="3"/>
    <x v="1"/>
    <x v="1"/>
    <x v="3"/>
    <n v="7"/>
    <n v="3560"/>
    <n v="0"/>
    <n v="24920"/>
    <n v="0"/>
    <n v="24920"/>
  </r>
  <r>
    <x v="1808"/>
    <x v="159"/>
    <s v="CUST20465"/>
    <x v="1"/>
    <n v="24"/>
    <x v="3"/>
    <x v="3"/>
    <x v="1"/>
    <x v="0"/>
    <n v="6"/>
    <n v="4675"/>
    <n v="0"/>
    <n v="28050"/>
    <n v="0"/>
    <n v="28050"/>
  </r>
  <r>
    <x v="1809"/>
    <x v="412"/>
    <s v="CUST63439"/>
    <x v="1"/>
    <n v="45"/>
    <x v="2"/>
    <x v="2"/>
    <x v="5"/>
    <x v="3"/>
    <n v="2"/>
    <n v="321"/>
    <n v="10"/>
    <n v="642"/>
    <n v="64.2"/>
    <n v="577.79999999999995"/>
  </r>
  <r>
    <x v="1810"/>
    <x v="67"/>
    <s v="CUST36109"/>
    <x v="1"/>
    <n v="41"/>
    <x v="2"/>
    <x v="5"/>
    <x v="2"/>
    <x v="2"/>
    <n v="3"/>
    <n v="7442"/>
    <n v="5"/>
    <n v="22326"/>
    <n v="1116.3"/>
    <n v="21209.7"/>
  </r>
  <r>
    <x v="1811"/>
    <x v="435"/>
    <s v="CUST31262"/>
    <x v="0"/>
    <n v="51"/>
    <x v="0"/>
    <x v="2"/>
    <x v="3"/>
    <x v="4"/>
    <n v="1"/>
    <n v="4989"/>
    <n v="0"/>
    <n v="4989"/>
    <n v="0"/>
    <n v="4989"/>
  </r>
  <r>
    <x v="1812"/>
    <x v="602"/>
    <s v="CUST79134"/>
    <x v="0"/>
    <n v="23"/>
    <x v="3"/>
    <x v="4"/>
    <x v="1"/>
    <x v="4"/>
    <n v="6"/>
    <n v="7417"/>
    <n v="0"/>
    <n v="44502"/>
    <n v="0"/>
    <n v="44502"/>
  </r>
  <r>
    <x v="1813"/>
    <x v="70"/>
    <s v="CUST14785"/>
    <x v="1"/>
    <n v="52"/>
    <x v="0"/>
    <x v="2"/>
    <x v="1"/>
    <x v="3"/>
    <n v="2"/>
    <n v="6804"/>
    <n v="5"/>
    <n v="13608"/>
    <n v="680.4"/>
    <n v="12927.6"/>
  </r>
  <r>
    <x v="1814"/>
    <x v="606"/>
    <s v="CUST11979"/>
    <x v="1"/>
    <n v="29"/>
    <x v="1"/>
    <x v="2"/>
    <x v="1"/>
    <x v="1"/>
    <n v="1"/>
    <n v="1781"/>
    <n v="15"/>
    <n v="1781"/>
    <n v="267.14999999999998"/>
    <n v="1513.85"/>
  </r>
  <r>
    <x v="1815"/>
    <x v="163"/>
    <s v="CUST24344"/>
    <x v="0"/>
    <n v="58"/>
    <x v="0"/>
    <x v="5"/>
    <x v="5"/>
    <x v="1"/>
    <n v="1"/>
    <n v="5937"/>
    <n v="0"/>
    <n v="5937"/>
    <n v="0"/>
    <n v="5937"/>
  </r>
  <r>
    <x v="1816"/>
    <x v="545"/>
    <s v="CUST69214"/>
    <x v="1"/>
    <n v="32"/>
    <x v="1"/>
    <x v="2"/>
    <x v="2"/>
    <x v="0"/>
    <n v="1"/>
    <n v="7300"/>
    <n v="10"/>
    <n v="7300"/>
    <n v="730"/>
    <n v="6570"/>
  </r>
  <r>
    <x v="1817"/>
    <x v="97"/>
    <s v="CUST30310"/>
    <x v="1"/>
    <n v="49"/>
    <x v="0"/>
    <x v="3"/>
    <x v="0"/>
    <x v="0"/>
    <n v="5"/>
    <n v="7960"/>
    <n v="10"/>
    <n v="39800"/>
    <n v="3980"/>
    <n v="35820"/>
  </r>
  <r>
    <x v="1818"/>
    <x v="605"/>
    <s v="CUST86587"/>
    <x v="1"/>
    <n v="56"/>
    <x v="0"/>
    <x v="3"/>
    <x v="2"/>
    <x v="0"/>
    <n v="1"/>
    <n v="4810"/>
    <n v="0"/>
    <n v="4810"/>
    <n v="0"/>
    <n v="4810"/>
  </r>
  <r>
    <x v="1819"/>
    <x v="235"/>
    <s v="CUST10776"/>
    <x v="0"/>
    <n v="57"/>
    <x v="0"/>
    <x v="4"/>
    <x v="0"/>
    <x v="2"/>
    <n v="4"/>
    <n v="6776"/>
    <n v="0"/>
    <n v="27104"/>
    <n v="0"/>
    <n v="27104"/>
  </r>
  <r>
    <x v="1820"/>
    <x v="262"/>
    <s v="CUST63984"/>
    <x v="0"/>
    <n v="49"/>
    <x v="0"/>
    <x v="2"/>
    <x v="4"/>
    <x v="4"/>
    <n v="4"/>
    <n v="3924"/>
    <n v="0"/>
    <n v="15696"/>
    <n v="0"/>
    <n v="15696"/>
  </r>
  <r>
    <x v="1821"/>
    <x v="450"/>
    <s v="CUST86988"/>
    <x v="1"/>
    <n v="60"/>
    <x v="0"/>
    <x v="5"/>
    <x v="2"/>
    <x v="4"/>
    <n v="3"/>
    <n v="6725"/>
    <n v="0"/>
    <n v="20175"/>
    <n v="0"/>
    <n v="20175"/>
  </r>
  <r>
    <x v="1822"/>
    <x v="444"/>
    <s v="CUST49242"/>
    <x v="0"/>
    <n v="22"/>
    <x v="3"/>
    <x v="3"/>
    <x v="1"/>
    <x v="0"/>
    <n v="5"/>
    <n v="706"/>
    <n v="0"/>
    <n v="3530"/>
    <n v="0"/>
    <n v="3530"/>
  </r>
  <r>
    <x v="1823"/>
    <x v="645"/>
    <s v="CUST55233"/>
    <x v="1"/>
    <n v="55"/>
    <x v="0"/>
    <x v="1"/>
    <x v="1"/>
    <x v="4"/>
    <n v="3"/>
    <n v="4345"/>
    <n v="10"/>
    <n v="13035"/>
    <n v="1303.5"/>
    <n v="11731.5"/>
  </r>
  <r>
    <x v="1824"/>
    <x v="561"/>
    <s v="CUST39852"/>
    <x v="1"/>
    <n v="59"/>
    <x v="0"/>
    <x v="3"/>
    <x v="3"/>
    <x v="0"/>
    <n v="1"/>
    <n v="5906"/>
    <n v="0"/>
    <n v="5906"/>
    <n v="0"/>
    <n v="5906"/>
  </r>
  <r>
    <x v="1825"/>
    <x v="188"/>
    <s v="CUST46907"/>
    <x v="0"/>
    <n v="47"/>
    <x v="0"/>
    <x v="2"/>
    <x v="4"/>
    <x v="0"/>
    <n v="3"/>
    <n v="3413"/>
    <n v="10"/>
    <n v="10239"/>
    <n v="1023.9"/>
    <n v="9215.1"/>
  </r>
  <r>
    <x v="1826"/>
    <x v="452"/>
    <s v="CUST21933"/>
    <x v="1"/>
    <n v="38"/>
    <x v="2"/>
    <x v="0"/>
    <x v="0"/>
    <x v="0"/>
    <n v="5"/>
    <n v="3115"/>
    <n v="10"/>
    <n v="15575"/>
    <n v="1557.5"/>
    <n v="14017.5"/>
  </r>
  <r>
    <x v="1827"/>
    <x v="541"/>
    <s v="CUST41063"/>
    <x v="0"/>
    <n v="54"/>
    <x v="0"/>
    <x v="0"/>
    <x v="0"/>
    <x v="0"/>
    <n v="2"/>
    <n v="2280"/>
    <n v="10"/>
    <n v="4560"/>
    <n v="456"/>
    <n v="4104"/>
  </r>
  <r>
    <x v="1828"/>
    <x v="211"/>
    <s v="CUST19998"/>
    <x v="1"/>
    <n v="46"/>
    <x v="0"/>
    <x v="0"/>
    <x v="2"/>
    <x v="4"/>
    <n v="5"/>
    <n v="7793"/>
    <n v="0"/>
    <n v="38965"/>
    <n v="0"/>
    <n v="38965"/>
  </r>
  <r>
    <x v="1829"/>
    <x v="657"/>
    <s v="CUST28602"/>
    <x v="1"/>
    <n v="36"/>
    <x v="2"/>
    <x v="1"/>
    <x v="2"/>
    <x v="3"/>
    <n v="7"/>
    <n v="3181"/>
    <n v="15"/>
    <n v="22267"/>
    <n v="3340.05"/>
    <n v="18926.95"/>
  </r>
  <r>
    <x v="1830"/>
    <x v="351"/>
    <s v="CUST97906"/>
    <x v="1"/>
    <n v="54"/>
    <x v="0"/>
    <x v="2"/>
    <x v="3"/>
    <x v="0"/>
    <n v="7"/>
    <n v="7850"/>
    <n v="0"/>
    <n v="54950"/>
    <n v="0"/>
    <n v="54950"/>
  </r>
  <r>
    <x v="1831"/>
    <x v="486"/>
    <s v="CUST40465"/>
    <x v="0"/>
    <n v="56"/>
    <x v="0"/>
    <x v="4"/>
    <x v="1"/>
    <x v="1"/>
    <n v="6"/>
    <n v="5035"/>
    <n v="0"/>
    <n v="30210"/>
    <n v="0"/>
    <n v="30210"/>
  </r>
  <r>
    <x v="1832"/>
    <x v="645"/>
    <s v="CUST57639"/>
    <x v="1"/>
    <n v="25"/>
    <x v="3"/>
    <x v="1"/>
    <x v="0"/>
    <x v="0"/>
    <n v="7"/>
    <n v="5417"/>
    <n v="5"/>
    <n v="37919"/>
    <n v="1895.95"/>
    <n v="36023.050000000003"/>
  </r>
  <r>
    <x v="1833"/>
    <x v="658"/>
    <s v="CUST60674"/>
    <x v="1"/>
    <n v="36"/>
    <x v="2"/>
    <x v="5"/>
    <x v="2"/>
    <x v="1"/>
    <n v="5"/>
    <n v="3290"/>
    <n v="15"/>
    <n v="16450"/>
    <n v="2467.5"/>
    <n v="13982.5"/>
  </r>
  <r>
    <x v="1834"/>
    <x v="174"/>
    <s v="CUST67338"/>
    <x v="0"/>
    <n v="49"/>
    <x v="0"/>
    <x v="3"/>
    <x v="3"/>
    <x v="3"/>
    <n v="2"/>
    <n v="7097"/>
    <n v="5"/>
    <n v="14194"/>
    <n v="709.7"/>
    <n v="13484.3"/>
  </r>
  <r>
    <x v="1835"/>
    <x v="450"/>
    <s v="CUST24319"/>
    <x v="1"/>
    <n v="63"/>
    <x v="0"/>
    <x v="5"/>
    <x v="2"/>
    <x v="4"/>
    <n v="1"/>
    <n v="6044"/>
    <n v="10"/>
    <n v="6044"/>
    <n v="604.4"/>
    <n v="5439.6"/>
  </r>
  <r>
    <x v="1836"/>
    <x v="80"/>
    <s v="CUST35389"/>
    <x v="0"/>
    <n v="42"/>
    <x v="2"/>
    <x v="3"/>
    <x v="1"/>
    <x v="1"/>
    <n v="3"/>
    <n v="7234"/>
    <n v="10"/>
    <n v="21702"/>
    <n v="2170.1999999999998"/>
    <n v="19531.8"/>
  </r>
  <r>
    <x v="1837"/>
    <x v="595"/>
    <s v="CUST67805"/>
    <x v="0"/>
    <n v="64"/>
    <x v="0"/>
    <x v="4"/>
    <x v="1"/>
    <x v="2"/>
    <n v="5"/>
    <n v="5621"/>
    <n v="0"/>
    <n v="28105"/>
    <n v="0"/>
    <n v="28105"/>
  </r>
  <r>
    <x v="1838"/>
    <x v="80"/>
    <s v="CUST73802"/>
    <x v="0"/>
    <n v="50"/>
    <x v="0"/>
    <x v="5"/>
    <x v="2"/>
    <x v="4"/>
    <n v="1"/>
    <n v="4756"/>
    <n v="10"/>
    <n v="4756"/>
    <n v="475.6"/>
    <n v="4280.3999999999996"/>
  </r>
  <r>
    <x v="1839"/>
    <x v="618"/>
    <s v="CUST22331"/>
    <x v="1"/>
    <n v="33"/>
    <x v="1"/>
    <x v="2"/>
    <x v="3"/>
    <x v="1"/>
    <n v="2"/>
    <n v="204"/>
    <n v="0"/>
    <n v="408"/>
    <n v="0"/>
    <n v="408"/>
  </r>
  <r>
    <x v="1840"/>
    <x v="139"/>
    <s v="CUST72290"/>
    <x v="0"/>
    <n v="60"/>
    <x v="0"/>
    <x v="2"/>
    <x v="2"/>
    <x v="1"/>
    <n v="7"/>
    <n v="7088"/>
    <n v="0"/>
    <n v="49616"/>
    <n v="0"/>
    <n v="49616"/>
  </r>
  <r>
    <x v="1841"/>
    <x v="507"/>
    <s v="CUST84302"/>
    <x v="0"/>
    <n v="47"/>
    <x v="0"/>
    <x v="5"/>
    <x v="0"/>
    <x v="2"/>
    <n v="5"/>
    <n v="2340"/>
    <n v="10"/>
    <n v="11700"/>
    <n v="1170"/>
    <n v="10530"/>
  </r>
  <r>
    <x v="1842"/>
    <x v="331"/>
    <s v="CUST16280"/>
    <x v="0"/>
    <n v="47"/>
    <x v="0"/>
    <x v="3"/>
    <x v="1"/>
    <x v="3"/>
    <n v="7"/>
    <n v="2278"/>
    <n v="10"/>
    <n v="15946"/>
    <n v="1594.6"/>
    <n v="14351.4"/>
  </r>
  <r>
    <x v="1843"/>
    <x v="41"/>
    <s v="CUST52563"/>
    <x v="1"/>
    <n v="29"/>
    <x v="1"/>
    <x v="5"/>
    <x v="0"/>
    <x v="1"/>
    <n v="3"/>
    <n v="3384"/>
    <n v="0"/>
    <n v="10152"/>
    <n v="0"/>
    <n v="10152"/>
  </r>
  <r>
    <x v="1844"/>
    <x v="218"/>
    <s v="CUST47384"/>
    <x v="0"/>
    <n v="63"/>
    <x v="0"/>
    <x v="3"/>
    <x v="1"/>
    <x v="1"/>
    <n v="3"/>
    <n v="6309"/>
    <n v="0"/>
    <n v="18927"/>
    <n v="0"/>
    <n v="18927"/>
  </r>
  <r>
    <x v="1845"/>
    <x v="499"/>
    <s v="CUST94224"/>
    <x v="0"/>
    <n v="29"/>
    <x v="1"/>
    <x v="5"/>
    <x v="4"/>
    <x v="4"/>
    <n v="2"/>
    <n v="7831"/>
    <n v="0"/>
    <n v="15662"/>
    <n v="0"/>
    <n v="15662"/>
  </r>
  <r>
    <x v="1846"/>
    <x v="520"/>
    <s v="CUST98936"/>
    <x v="1"/>
    <n v="47"/>
    <x v="0"/>
    <x v="2"/>
    <x v="1"/>
    <x v="2"/>
    <n v="4"/>
    <n v="3187"/>
    <n v="0"/>
    <n v="12748"/>
    <n v="0"/>
    <n v="12748"/>
  </r>
  <r>
    <x v="1847"/>
    <x v="140"/>
    <s v="CUST35443"/>
    <x v="0"/>
    <n v="27"/>
    <x v="1"/>
    <x v="1"/>
    <x v="1"/>
    <x v="3"/>
    <n v="2"/>
    <n v="703"/>
    <n v="0"/>
    <n v="1406"/>
    <n v="0"/>
    <n v="1406"/>
  </r>
  <r>
    <x v="1848"/>
    <x v="143"/>
    <s v="CUST88493"/>
    <x v="1"/>
    <n v="57"/>
    <x v="0"/>
    <x v="1"/>
    <x v="1"/>
    <x v="1"/>
    <n v="4"/>
    <n v="3284"/>
    <n v="0"/>
    <n v="13136"/>
    <n v="0"/>
    <n v="13136"/>
  </r>
  <r>
    <x v="1849"/>
    <x v="319"/>
    <s v="CUST61812"/>
    <x v="1"/>
    <n v="37"/>
    <x v="2"/>
    <x v="2"/>
    <x v="2"/>
    <x v="0"/>
    <n v="3"/>
    <n v="7067"/>
    <n v="0"/>
    <n v="21201"/>
    <n v="0"/>
    <n v="21201"/>
  </r>
  <r>
    <x v="1850"/>
    <x v="256"/>
    <s v="CUST20248"/>
    <x v="1"/>
    <n v="62"/>
    <x v="0"/>
    <x v="0"/>
    <x v="5"/>
    <x v="2"/>
    <n v="2"/>
    <n v="7302"/>
    <n v="15"/>
    <n v="14604"/>
    <n v="2190.6"/>
    <n v="12413.4"/>
  </r>
  <r>
    <x v="1851"/>
    <x v="650"/>
    <s v="CUST96454"/>
    <x v="1"/>
    <n v="23"/>
    <x v="3"/>
    <x v="5"/>
    <x v="4"/>
    <x v="2"/>
    <n v="5"/>
    <n v="7975"/>
    <n v="15"/>
    <n v="39875"/>
    <n v="5981.25"/>
    <n v="33893.75"/>
  </r>
  <r>
    <x v="1852"/>
    <x v="199"/>
    <s v="CUST22445"/>
    <x v="0"/>
    <n v="26"/>
    <x v="1"/>
    <x v="5"/>
    <x v="2"/>
    <x v="3"/>
    <n v="5"/>
    <n v="847"/>
    <n v="0"/>
    <n v="4235"/>
    <n v="0"/>
    <n v="4235"/>
  </r>
  <r>
    <x v="1853"/>
    <x v="138"/>
    <s v="CUST39849"/>
    <x v="1"/>
    <n v="46"/>
    <x v="0"/>
    <x v="3"/>
    <x v="4"/>
    <x v="4"/>
    <n v="3"/>
    <n v="5838"/>
    <n v="0"/>
    <n v="17514"/>
    <n v="0"/>
    <n v="17514"/>
  </r>
  <r>
    <x v="1854"/>
    <x v="209"/>
    <s v="CUST99971"/>
    <x v="0"/>
    <n v="29"/>
    <x v="1"/>
    <x v="2"/>
    <x v="0"/>
    <x v="3"/>
    <n v="3"/>
    <n v="731"/>
    <n v="0"/>
    <n v="2193"/>
    <n v="0"/>
    <n v="2193"/>
  </r>
  <r>
    <x v="1855"/>
    <x v="100"/>
    <s v="CUST79613"/>
    <x v="1"/>
    <n v="41"/>
    <x v="2"/>
    <x v="0"/>
    <x v="3"/>
    <x v="3"/>
    <n v="5"/>
    <n v="2943"/>
    <n v="0"/>
    <n v="14715"/>
    <n v="0"/>
    <n v="14715"/>
  </r>
  <r>
    <x v="1856"/>
    <x v="323"/>
    <s v="CUST93007"/>
    <x v="1"/>
    <n v="40"/>
    <x v="2"/>
    <x v="5"/>
    <x v="0"/>
    <x v="3"/>
    <n v="2"/>
    <n v="2588"/>
    <n v="0"/>
    <n v="5176"/>
    <n v="0"/>
    <n v="5176"/>
  </r>
  <r>
    <x v="1857"/>
    <x v="482"/>
    <s v="CUST69454"/>
    <x v="1"/>
    <n v="46"/>
    <x v="0"/>
    <x v="0"/>
    <x v="1"/>
    <x v="3"/>
    <n v="1"/>
    <n v="6393"/>
    <n v="5"/>
    <n v="6393"/>
    <n v="319.64999999999998"/>
    <n v="6073.35"/>
  </r>
  <r>
    <x v="1858"/>
    <x v="612"/>
    <s v="CUST71100"/>
    <x v="0"/>
    <n v="38"/>
    <x v="2"/>
    <x v="2"/>
    <x v="1"/>
    <x v="0"/>
    <n v="2"/>
    <n v="7493"/>
    <n v="0"/>
    <n v="14986"/>
    <n v="0"/>
    <n v="14986"/>
  </r>
  <r>
    <x v="1859"/>
    <x v="367"/>
    <s v="CUST77681"/>
    <x v="0"/>
    <n v="36"/>
    <x v="2"/>
    <x v="3"/>
    <x v="2"/>
    <x v="4"/>
    <n v="6"/>
    <n v="2979"/>
    <n v="0"/>
    <n v="17874"/>
    <n v="0"/>
    <n v="17874"/>
  </r>
  <r>
    <x v="1860"/>
    <x v="304"/>
    <s v="CUST20356"/>
    <x v="1"/>
    <n v="21"/>
    <x v="3"/>
    <x v="0"/>
    <x v="5"/>
    <x v="1"/>
    <n v="2"/>
    <n v="4003"/>
    <n v="5"/>
    <n v="8006"/>
    <n v="400.3"/>
    <n v="7605.7"/>
  </r>
  <r>
    <x v="1861"/>
    <x v="177"/>
    <s v="CUST34531"/>
    <x v="1"/>
    <n v="63"/>
    <x v="0"/>
    <x v="3"/>
    <x v="4"/>
    <x v="0"/>
    <n v="4"/>
    <n v="4133"/>
    <n v="0"/>
    <n v="16532"/>
    <n v="0"/>
    <n v="16532"/>
  </r>
  <r>
    <x v="1862"/>
    <x v="541"/>
    <s v="CUST80341"/>
    <x v="1"/>
    <n v="19"/>
    <x v="3"/>
    <x v="1"/>
    <x v="3"/>
    <x v="2"/>
    <n v="4"/>
    <n v="5524"/>
    <n v="0"/>
    <n v="22096"/>
    <n v="0"/>
    <n v="22096"/>
  </r>
  <r>
    <x v="1863"/>
    <x v="627"/>
    <s v="CUST11325"/>
    <x v="1"/>
    <n v="21"/>
    <x v="3"/>
    <x v="3"/>
    <x v="5"/>
    <x v="3"/>
    <n v="5"/>
    <n v="2475"/>
    <n v="10"/>
    <n v="12375"/>
    <n v="1237.5"/>
    <n v="11137.5"/>
  </r>
  <r>
    <x v="1864"/>
    <x v="319"/>
    <s v="CUST84510"/>
    <x v="1"/>
    <n v="32"/>
    <x v="1"/>
    <x v="3"/>
    <x v="0"/>
    <x v="4"/>
    <n v="5"/>
    <n v="306"/>
    <n v="10"/>
    <n v="1530"/>
    <n v="153"/>
    <n v="1377"/>
  </r>
  <r>
    <x v="1865"/>
    <x v="361"/>
    <s v="CUST39056"/>
    <x v="1"/>
    <n v="21"/>
    <x v="3"/>
    <x v="1"/>
    <x v="0"/>
    <x v="3"/>
    <n v="1"/>
    <n v="6113"/>
    <n v="0"/>
    <n v="6113"/>
    <n v="0"/>
    <n v="6113"/>
  </r>
  <r>
    <x v="1866"/>
    <x v="185"/>
    <s v="CUST86108"/>
    <x v="0"/>
    <n v="40"/>
    <x v="2"/>
    <x v="2"/>
    <x v="1"/>
    <x v="2"/>
    <n v="3"/>
    <n v="3986"/>
    <n v="10"/>
    <n v="11958"/>
    <n v="1195.8"/>
    <n v="10762.2"/>
  </r>
  <r>
    <x v="1867"/>
    <x v="321"/>
    <s v="CUST33293"/>
    <x v="0"/>
    <n v="28"/>
    <x v="1"/>
    <x v="3"/>
    <x v="0"/>
    <x v="0"/>
    <n v="6"/>
    <n v="5893"/>
    <n v="15"/>
    <n v="35358"/>
    <n v="5303.7"/>
    <n v="30054.3"/>
  </r>
  <r>
    <x v="1868"/>
    <x v="659"/>
    <s v="CUST39309"/>
    <x v="1"/>
    <n v="44"/>
    <x v="2"/>
    <x v="4"/>
    <x v="1"/>
    <x v="2"/>
    <n v="4"/>
    <n v="4047"/>
    <n v="0"/>
    <n v="16188"/>
    <n v="0"/>
    <n v="16188"/>
  </r>
  <r>
    <x v="1869"/>
    <x v="62"/>
    <s v="CUST95795"/>
    <x v="0"/>
    <n v="52"/>
    <x v="0"/>
    <x v="0"/>
    <x v="5"/>
    <x v="2"/>
    <n v="4"/>
    <n v="3521"/>
    <n v="0"/>
    <n v="14084"/>
    <n v="0"/>
    <n v="14084"/>
  </r>
  <r>
    <x v="1870"/>
    <x v="226"/>
    <s v="CUST29998"/>
    <x v="1"/>
    <n v="24"/>
    <x v="3"/>
    <x v="4"/>
    <x v="0"/>
    <x v="3"/>
    <n v="7"/>
    <n v="1238"/>
    <n v="5"/>
    <n v="8666"/>
    <n v="433.3"/>
    <n v="8232.7000000000007"/>
  </r>
  <r>
    <x v="1871"/>
    <x v="618"/>
    <s v="CUST88712"/>
    <x v="1"/>
    <n v="35"/>
    <x v="1"/>
    <x v="2"/>
    <x v="0"/>
    <x v="4"/>
    <n v="6"/>
    <n v="2725"/>
    <n v="0"/>
    <n v="16350"/>
    <n v="0"/>
    <n v="16350"/>
  </r>
  <r>
    <x v="1872"/>
    <x v="187"/>
    <s v="CUST62989"/>
    <x v="1"/>
    <n v="27"/>
    <x v="1"/>
    <x v="0"/>
    <x v="4"/>
    <x v="0"/>
    <n v="1"/>
    <n v="1653"/>
    <n v="0"/>
    <n v="1653"/>
    <n v="0"/>
    <n v="1653"/>
  </r>
  <r>
    <x v="1873"/>
    <x v="121"/>
    <s v="CUST14911"/>
    <x v="0"/>
    <n v="37"/>
    <x v="2"/>
    <x v="3"/>
    <x v="0"/>
    <x v="4"/>
    <n v="5"/>
    <n v="3576"/>
    <n v="5"/>
    <n v="17880"/>
    <n v="894"/>
    <n v="16986"/>
  </r>
  <r>
    <x v="1874"/>
    <x v="279"/>
    <s v="CUST18059"/>
    <x v="0"/>
    <n v="51"/>
    <x v="0"/>
    <x v="5"/>
    <x v="2"/>
    <x v="0"/>
    <n v="1"/>
    <n v="2329"/>
    <n v="10"/>
    <n v="2329"/>
    <n v="232.9"/>
    <n v="2096.1"/>
  </r>
  <r>
    <x v="1875"/>
    <x v="484"/>
    <s v="CUST11405"/>
    <x v="1"/>
    <n v="41"/>
    <x v="2"/>
    <x v="5"/>
    <x v="5"/>
    <x v="0"/>
    <n v="6"/>
    <n v="3881"/>
    <n v="10"/>
    <n v="23286"/>
    <n v="2328.6"/>
    <n v="20957.400000000001"/>
  </r>
  <r>
    <x v="1876"/>
    <x v="8"/>
    <s v="CUST20330"/>
    <x v="1"/>
    <n v="50"/>
    <x v="0"/>
    <x v="2"/>
    <x v="3"/>
    <x v="1"/>
    <n v="3"/>
    <n v="7660"/>
    <n v="10"/>
    <n v="22980"/>
    <n v="2298"/>
    <n v="20682"/>
  </r>
  <r>
    <x v="1877"/>
    <x v="177"/>
    <s v="CUST89743"/>
    <x v="0"/>
    <n v="55"/>
    <x v="0"/>
    <x v="3"/>
    <x v="1"/>
    <x v="0"/>
    <n v="3"/>
    <n v="4854"/>
    <n v="5"/>
    <n v="14562"/>
    <n v="728.1"/>
    <n v="13833.9"/>
  </r>
  <r>
    <x v="1878"/>
    <x v="345"/>
    <s v="CUST97269"/>
    <x v="1"/>
    <n v="61"/>
    <x v="0"/>
    <x v="2"/>
    <x v="1"/>
    <x v="3"/>
    <n v="3"/>
    <n v="1578"/>
    <n v="20"/>
    <n v="4734"/>
    <n v="946.8"/>
    <n v="3787.2"/>
  </r>
  <r>
    <x v="1879"/>
    <x v="54"/>
    <s v="CUST93292"/>
    <x v="0"/>
    <n v="51"/>
    <x v="0"/>
    <x v="2"/>
    <x v="3"/>
    <x v="3"/>
    <n v="3"/>
    <n v="1173"/>
    <n v="0"/>
    <n v="3519"/>
    <n v="0"/>
    <n v="3519"/>
  </r>
  <r>
    <x v="1880"/>
    <x v="324"/>
    <s v="CUST24923"/>
    <x v="0"/>
    <n v="20"/>
    <x v="3"/>
    <x v="3"/>
    <x v="1"/>
    <x v="0"/>
    <n v="2"/>
    <n v="3756"/>
    <n v="0"/>
    <n v="7512"/>
    <n v="0"/>
    <n v="7512"/>
  </r>
  <r>
    <x v="1881"/>
    <x v="269"/>
    <s v="CUST29973"/>
    <x v="1"/>
    <n v="26"/>
    <x v="1"/>
    <x v="1"/>
    <x v="2"/>
    <x v="3"/>
    <n v="7"/>
    <n v="2096"/>
    <n v="0"/>
    <n v="14672"/>
    <n v="0"/>
    <n v="14672"/>
  </r>
  <r>
    <x v="1882"/>
    <x v="652"/>
    <s v="CUST81027"/>
    <x v="1"/>
    <n v="37"/>
    <x v="2"/>
    <x v="1"/>
    <x v="1"/>
    <x v="4"/>
    <n v="4"/>
    <n v="7631"/>
    <n v="10"/>
    <n v="30524"/>
    <n v="3052.4"/>
    <n v="27471.599999999999"/>
  </r>
  <r>
    <x v="1883"/>
    <x v="311"/>
    <s v="CUST59376"/>
    <x v="1"/>
    <n v="21"/>
    <x v="3"/>
    <x v="1"/>
    <x v="0"/>
    <x v="2"/>
    <n v="7"/>
    <n v="1468"/>
    <n v="10"/>
    <n v="10276"/>
    <n v="1027.5999999999999"/>
    <n v="9248.4"/>
  </r>
  <r>
    <x v="1884"/>
    <x v="625"/>
    <s v="CUST17143"/>
    <x v="1"/>
    <n v="60"/>
    <x v="0"/>
    <x v="0"/>
    <x v="1"/>
    <x v="4"/>
    <n v="4"/>
    <n v="1372"/>
    <n v="0"/>
    <n v="5488"/>
    <n v="0"/>
    <n v="5488"/>
  </r>
  <r>
    <x v="1885"/>
    <x v="347"/>
    <s v="CUST37635"/>
    <x v="0"/>
    <n v="35"/>
    <x v="1"/>
    <x v="5"/>
    <x v="3"/>
    <x v="4"/>
    <n v="7"/>
    <n v="2658"/>
    <n v="0"/>
    <n v="18606"/>
    <n v="0"/>
    <n v="18606"/>
  </r>
  <r>
    <x v="1886"/>
    <x v="660"/>
    <s v="CUST14973"/>
    <x v="0"/>
    <n v="44"/>
    <x v="2"/>
    <x v="4"/>
    <x v="1"/>
    <x v="0"/>
    <n v="2"/>
    <n v="2920"/>
    <n v="0"/>
    <n v="5840"/>
    <n v="0"/>
    <n v="5840"/>
  </r>
  <r>
    <x v="1887"/>
    <x v="654"/>
    <s v="CUST52094"/>
    <x v="1"/>
    <n v="41"/>
    <x v="2"/>
    <x v="0"/>
    <x v="5"/>
    <x v="2"/>
    <n v="2"/>
    <n v="7704"/>
    <n v="0"/>
    <n v="15408"/>
    <n v="0"/>
    <n v="15408"/>
  </r>
  <r>
    <x v="1888"/>
    <x v="77"/>
    <s v="CUST84630"/>
    <x v="1"/>
    <n v="29"/>
    <x v="1"/>
    <x v="1"/>
    <x v="0"/>
    <x v="1"/>
    <n v="6"/>
    <n v="4454"/>
    <n v="10"/>
    <n v="26724"/>
    <n v="2672.4"/>
    <n v="24051.599999999999"/>
  </r>
  <r>
    <x v="1889"/>
    <x v="120"/>
    <s v="CUST65808"/>
    <x v="0"/>
    <n v="29"/>
    <x v="1"/>
    <x v="2"/>
    <x v="0"/>
    <x v="1"/>
    <n v="7"/>
    <n v="5225"/>
    <n v="5"/>
    <n v="36575"/>
    <n v="1828.75"/>
    <n v="34746.25"/>
  </r>
  <r>
    <x v="1890"/>
    <x v="607"/>
    <s v="CUST80651"/>
    <x v="0"/>
    <n v="60"/>
    <x v="0"/>
    <x v="2"/>
    <x v="3"/>
    <x v="2"/>
    <n v="7"/>
    <n v="6831"/>
    <n v="15"/>
    <n v="47817"/>
    <n v="7172.55"/>
    <n v="40644.449999999997"/>
  </r>
  <r>
    <x v="1891"/>
    <x v="311"/>
    <s v="CUST23977"/>
    <x v="1"/>
    <n v="56"/>
    <x v="0"/>
    <x v="1"/>
    <x v="3"/>
    <x v="4"/>
    <n v="4"/>
    <n v="4559"/>
    <n v="0"/>
    <n v="18236"/>
    <n v="0"/>
    <n v="18236"/>
  </r>
  <r>
    <x v="1892"/>
    <x v="187"/>
    <s v="CUST66569"/>
    <x v="1"/>
    <n v="40"/>
    <x v="2"/>
    <x v="3"/>
    <x v="0"/>
    <x v="2"/>
    <n v="4"/>
    <n v="4057"/>
    <n v="0"/>
    <n v="16228"/>
    <n v="0"/>
    <n v="16228"/>
  </r>
  <r>
    <x v="1893"/>
    <x v="289"/>
    <s v="CUST93608"/>
    <x v="0"/>
    <n v="59"/>
    <x v="0"/>
    <x v="3"/>
    <x v="5"/>
    <x v="3"/>
    <n v="3"/>
    <n v="4801"/>
    <n v="0"/>
    <n v="14403"/>
    <n v="0"/>
    <n v="14403"/>
  </r>
  <r>
    <x v="1894"/>
    <x v="366"/>
    <s v="CUST95634"/>
    <x v="0"/>
    <n v="20"/>
    <x v="3"/>
    <x v="1"/>
    <x v="5"/>
    <x v="2"/>
    <n v="6"/>
    <n v="7259"/>
    <n v="10"/>
    <n v="43554"/>
    <n v="4355.3999999999996"/>
    <n v="39198.6"/>
  </r>
  <r>
    <x v="1895"/>
    <x v="94"/>
    <s v="CUST25584"/>
    <x v="0"/>
    <n v="39"/>
    <x v="2"/>
    <x v="0"/>
    <x v="1"/>
    <x v="2"/>
    <n v="7"/>
    <n v="835"/>
    <n v="10"/>
    <n v="5845"/>
    <n v="584.5"/>
    <n v="5260.5"/>
  </r>
  <r>
    <x v="1896"/>
    <x v="661"/>
    <s v="CUST80556"/>
    <x v="1"/>
    <n v="26"/>
    <x v="1"/>
    <x v="5"/>
    <x v="2"/>
    <x v="1"/>
    <n v="7"/>
    <n v="7724"/>
    <n v="5"/>
    <n v="54068"/>
    <n v="2703.4"/>
    <n v="51364.6"/>
  </r>
  <r>
    <x v="1897"/>
    <x v="124"/>
    <s v="CUST61791"/>
    <x v="1"/>
    <n v="40"/>
    <x v="2"/>
    <x v="3"/>
    <x v="0"/>
    <x v="4"/>
    <n v="3"/>
    <n v="2303"/>
    <n v="0"/>
    <n v="6909"/>
    <n v="0"/>
    <n v="6909"/>
  </r>
  <r>
    <x v="1898"/>
    <x v="366"/>
    <s v="CUST77653"/>
    <x v="1"/>
    <n v="54"/>
    <x v="0"/>
    <x v="1"/>
    <x v="1"/>
    <x v="0"/>
    <n v="2"/>
    <n v="6012"/>
    <n v="0"/>
    <n v="12024"/>
    <n v="0"/>
    <n v="12024"/>
  </r>
  <r>
    <x v="1899"/>
    <x v="413"/>
    <s v="CUST17474"/>
    <x v="1"/>
    <n v="51"/>
    <x v="0"/>
    <x v="1"/>
    <x v="4"/>
    <x v="2"/>
    <n v="1"/>
    <n v="2685"/>
    <n v="0"/>
    <n v="2685"/>
    <n v="0"/>
    <n v="2685"/>
  </r>
  <r>
    <x v="1900"/>
    <x v="232"/>
    <s v="CUST24595"/>
    <x v="1"/>
    <n v="33"/>
    <x v="1"/>
    <x v="3"/>
    <x v="5"/>
    <x v="4"/>
    <n v="7"/>
    <n v="3265"/>
    <n v="15"/>
    <n v="22855"/>
    <n v="3428.25"/>
    <n v="19426.75"/>
  </r>
  <r>
    <x v="1901"/>
    <x v="560"/>
    <s v="CUST45937"/>
    <x v="1"/>
    <n v="19"/>
    <x v="3"/>
    <x v="1"/>
    <x v="5"/>
    <x v="1"/>
    <n v="6"/>
    <n v="6654"/>
    <n v="0"/>
    <n v="39924"/>
    <n v="0"/>
    <n v="39924"/>
  </r>
  <r>
    <x v="1902"/>
    <x v="385"/>
    <s v="CUST99699"/>
    <x v="1"/>
    <n v="36"/>
    <x v="2"/>
    <x v="4"/>
    <x v="2"/>
    <x v="2"/>
    <n v="6"/>
    <n v="7337"/>
    <n v="5"/>
    <n v="44022"/>
    <n v="2201.1"/>
    <n v="41820.9"/>
  </r>
  <r>
    <x v="1903"/>
    <x v="442"/>
    <s v="CUST86876"/>
    <x v="1"/>
    <n v="28"/>
    <x v="1"/>
    <x v="2"/>
    <x v="1"/>
    <x v="2"/>
    <n v="7"/>
    <n v="2270"/>
    <n v="10"/>
    <n v="15890"/>
    <n v="1589"/>
    <n v="14301"/>
  </r>
  <r>
    <x v="1904"/>
    <x v="532"/>
    <s v="CUST12837"/>
    <x v="1"/>
    <n v="51"/>
    <x v="0"/>
    <x v="5"/>
    <x v="4"/>
    <x v="3"/>
    <n v="2"/>
    <n v="5417"/>
    <n v="15"/>
    <n v="10834"/>
    <n v="1625.1"/>
    <n v="9208.9"/>
  </r>
  <r>
    <x v="1905"/>
    <x v="422"/>
    <s v="CUST98217"/>
    <x v="0"/>
    <n v="29"/>
    <x v="1"/>
    <x v="0"/>
    <x v="1"/>
    <x v="0"/>
    <n v="3"/>
    <n v="4923"/>
    <n v="5"/>
    <n v="14769"/>
    <n v="738.45"/>
    <n v="14030.55"/>
  </r>
  <r>
    <x v="1906"/>
    <x v="430"/>
    <s v="CUST87113"/>
    <x v="1"/>
    <n v="45"/>
    <x v="2"/>
    <x v="5"/>
    <x v="1"/>
    <x v="4"/>
    <n v="1"/>
    <n v="1860"/>
    <n v="5"/>
    <n v="1860"/>
    <n v="93"/>
    <n v="1767"/>
  </r>
  <r>
    <x v="1907"/>
    <x v="586"/>
    <s v="CUST20303"/>
    <x v="1"/>
    <n v="39"/>
    <x v="2"/>
    <x v="2"/>
    <x v="1"/>
    <x v="2"/>
    <n v="5"/>
    <n v="2951"/>
    <n v="0"/>
    <n v="14755"/>
    <n v="0"/>
    <n v="14755"/>
  </r>
  <r>
    <x v="1908"/>
    <x v="256"/>
    <s v="CUST82326"/>
    <x v="0"/>
    <n v="61"/>
    <x v="0"/>
    <x v="2"/>
    <x v="5"/>
    <x v="3"/>
    <n v="6"/>
    <n v="7247"/>
    <n v="10"/>
    <n v="43482"/>
    <n v="4348.2"/>
    <n v="39133.800000000003"/>
  </r>
  <r>
    <x v="1909"/>
    <x v="444"/>
    <s v="CUST79919"/>
    <x v="1"/>
    <n v="34"/>
    <x v="1"/>
    <x v="4"/>
    <x v="1"/>
    <x v="3"/>
    <n v="1"/>
    <n v="6942"/>
    <n v="0"/>
    <n v="6942"/>
    <n v="0"/>
    <n v="6942"/>
  </r>
  <r>
    <x v="1910"/>
    <x v="657"/>
    <s v="CUST67097"/>
    <x v="1"/>
    <n v="54"/>
    <x v="0"/>
    <x v="0"/>
    <x v="2"/>
    <x v="0"/>
    <n v="2"/>
    <n v="5107"/>
    <n v="15"/>
    <n v="10214"/>
    <n v="1532.1"/>
    <n v="8681.9"/>
  </r>
  <r>
    <x v="1911"/>
    <x v="174"/>
    <s v="CUST13969"/>
    <x v="1"/>
    <n v="31"/>
    <x v="1"/>
    <x v="2"/>
    <x v="0"/>
    <x v="2"/>
    <n v="5"/>
    <n v="3726"/>
    <n v="20"/>
    <n v="18630"/>
    <n v="3726"/>
    <n v="14904"/>
  </r>
  <r>
    <x v="1912"/>
    <x v="268"/>
    <s v="CUST61679"/>
    <x v="1"/>
    <n v="43"/>
    <x v="2"/>
    <x v="0"/>
    <x v="1"/>
    <x v="4"/>
    <n v="5"/>
    <n v="399"/>
    <n v="5"/>
    <n v="1995"/>
    <n v="99.75"/>
    <n v="1895.25"/>
  </r>
  <r>
    <x v="1913"/>
    <x v="137"/>
    <s v="CUST63259"/>
    <x v="1"/>
    <n v="63"/>
    <x v="0"/>
    <x v="4"/>
    <x v="0"/>
    <x v="2"/>
    <n v="7"/>
    <n v="7508"/>
    <n v="0"/>
    <n v="52556"/>
    <n v="0"/>
    <n v="52556"/>
  </r>
  <r>
    <x v="1914"/>
    <x v="318"/>
    <s v="CUST37971"/>
    <x v="1"/>
    <n v="29"/>
    <x v="1"/>
    <x v="4"/>
    <x v="4"/>
    <x v="4"/>
    <n v="7"/>
    <n v="4135"/>
    <n v="10"/>
    <n v="28945"/>
    <n v="2894.5"/>
    <n v="26050.5"/>
  </r>
  <r>
    <x v="1915"/>
    <x v="72"/>
    <s v="CUST86084"/>
    <x v="1"/>
    <n v="64"/>
    <x v="0"/>
    <x v="4"/>
    <x v="1"/>
    <x v="3"/>
    <n v="7"/>
    <n v="3446"/>
    <n v="0"/>
    <n v="24122"/>
    <n v="0"/>
    <n v="24122"/>
  </r>
  <r>
    <x v="1916"/>
    <x v="440"/>
    <s v="CUST47383"/>
    <x v="1"/>
    <n v="36"/>
    <x v="2"/>
    <x v="0"/>
    <x v="4"/>
    <x v="4"/>
    <n v="4"/>
    <n v="577"/>
    <n v="15"/>
    <n v="2308"/>
    <n v="346.2"/>
    <n v="1961.8"/>
  </r>
  <r>
    <x v="1917"/>
    <x v="547"/>
    <s v="CUST58353"/>
    <x v="1"/>
    <n v="22"/>
    <x v="3"/>
    <x v="5"/>
    <x v="0"/>
    <x v="4"/>
    <n v="7"/>
    <n v="6971"/>
    <n v="5"/>
    <n v="48797"/>
    <n v="2439.85"/>
    <n v="46357.15"/>
  </r>
  <r>
    <x v="1918"/>
    <x v="367"/>
    <s v="CUST74814"/>
    <x v="0"/>
    <n v="58"/>
    <x v="0"/>
    <x v="3"/>
    <x v="2"/>
    <x v="0"/>
    <n v="6"/>
    <n v="3459"/>
    <n v="0"/>
    <n v="20754"/>
    <n v="0"/>
    <n v="20754"/>
  </r>
  <r>
    <x v="1919"/>
    <x v="477"/>
    <s v="CUST43988"/>
    <x v="0"/>
    <n v="61"/>
    <x v="0"/>
    <x v="1"/>
    <x v="3"/>
    <x v="3"/>
    <n v="3"/>
    <n v="6325"/>
    <n v="5"/>
    <n v="18975"/>
    <n v="948.75"/>
    <n v="18026.25"/>
  </r>
  <r>
    <x v="1920"/>
    <x v="32"/>
    <s v="CUST88749"/>
    <x v="0"/>
    <n v="60"/>
    <x v="0"/>
    <x v="3"/>
    <x v="1"/>
    <x v="4"/>
    <n v="6"/>
    <n v="4824"/>
    <n v="10"/>
    <n v="28944"/>
    <n v="2894.4"/>
    <n v="26049.599999999999"/>
  </r>
  <r>
    <x v="1921"/>
    <x v="448"/>
    <s v="CUST71762"/>
    <x v="0"/>
    <n v="19"/>
    <x v="3"/>
    <x v="1"/>
    <x v="2"/>
    <x v="3"/>
    <n v="5"/>
    <n v="4809"/>
    <n v="10"/>
    <n v="24045"/>
    <n v="2404.5"/>
    <n v="21640.5"/>
  </r>
  <r>
    <x v="1922"/>
    <x v="366"/>
    <s v="CUST10564"/>
    <x v="1"/>
    <n v="27"/>
    <x v="1"/>
    <x v="5"/>
    <x v="2"/>
    <x v="3"/>
    <n v="3"/>
    <n v="6331"/>
    <n v="15"/>
    <n v="18993"/>
    <n v="2848.95"/>
    <n v="16144.05"/>
  </r>
  <r>
    <x v="1923"/>
    <x v="366"/>
    <s v="CUST95182"/>
    <x v="1"/>
    <n v="53"/>
    <x v="0"/>
    <x v="4"/>
    <x v="4"/>
    <x v="3"/>
    <n v="3"/>
    <n v="1107"/>
    <n v="0"/>
    <n v="3321"/>
    <n v="0"/>
    <n v="3321"/>
  </r>
  <r>
    <x v="1924"/>
    <x v="265"/>
    <s v="CUST68874"/>
    <x v="1"/>
    <n v="32"/>
    <x v="1"/>
    <x v="4"/>
    <x v="1"/>
    <x v="4"/>
    <n v="7"/>
    <n v="2252"/>
    <n v="0"/>
    <n v="15764"/>
    <n v="0"/>
    <n v="15764"/>
  </r>
  <r>
    <x v="1925"/>
    <x v="412"/>
    <s v="CUST44027"/>
    <x v="0"/>
    <n v="46"/>
    <x v="0"/>
    <x v="3"/>
    <x v="3"/>
    <x v="2"/>
    <n v="1"/>
    <n v="2821"/>
    <n v="10"/>
    <n v="2821"/>
    <n v="282.10000000000002"/>
    <n v="2538.9"/>
  </r>
  <r>
    <x v="1926"/>
    <x v="662"/>
    <s v="CUST32739"/>
    <x v="1"/>
    <n v="43"/>
    <x v="2"/>
    <x v="5"/>
    <x v="3"/>
    <x v="1"/>
    <n v="6"/>
    <n v="821"/>
    <n v="0"/>
    <n v="4926"/>
    <n v="0"/>
    <n v="4926"/>
  </r>
  <r>
    <x v="1927"/>
    <x v="663"/>
    <s v="CUST79339"/>
    <x v="0"/>
    <n v="34"/>
    <x v="1"/>
    <x v="1"/>
    <x v="4"/>
    <x v="0"/>
    <n v="2"/>
    <n v="3686"/>
    <n v="0"/>
    <n v="7372"/>
    <n v="0"/>
    <n v="7372"/>
  </r>
  <r>
    <x v="1928"/>
    <x v="664"/>
    <s v="CUST55712"/>
    <x v="0"/>
    <n v="55"/>
    <x v="0"/>
    <x v="1"/>
    <x v="5"/>
    <x v="3"/>
    <n v="1"/>
    <n v="5534"/>
    <n v="5"/>
    <n v="5534"/>
    <n v="276.7"/>
    <n v="5257.3"/>
  </r>
  <r>
    <x v="1929"/>
    <x v="196"/>
    <s v="CUST83740"/>
    <x v="1"/>
    <n v="21"/>
    <x v="3"/>
    <x v="1"/>
    <x v="0"/>
    <x v="3"/>
    <n v="4"/>
    <n v="6699"/>
    <n v="5"/>
    <n v="26796"/>
    <n v="1339.8"/>
    <n v="25456.2"/>
  </r>
  <r>
    <x v="1930"/>
    <x v="4"/>
    <s v="CUST40740"/>
    <x v="0"/>
    <n v="47"/>
    <x v="0"/>
    <x v="5"/>
    <x v="0"/>
    <x v="2"/>
    <n v="7"/>
    <n v="1610"/>
    <n v="15"/>
    <n v="11270"/>
    <n v="1690.5"/>
    <n v="9579.5"/>
  </r>
  <r>
    <x v="1931"/>
    <x v="190"/>
    <s v="CUST45150"/>
    <x v="1"/>
    <n v="57"/>
    <x v="0"/>
    <x v="1"/>
    <x v="4"/>
    <x v="2"/>
    <n v="3"/>
    <n v="1732"/>
    <n v="0"/>
    <n v="5196"/>
    <n v="0"/>
    <n v="5196"/>
  </r>
  <r>
    <x v="1932"/>
    <x v="236"/>
    <s v="CUST17597"/>
    <x v="1"/>
    <n v="22"/>
    <x v="3"/>
    <x v="4"/>
    <x v="4"/>
    <x v="2"/>
    <n v="2"/>
    <n v="2572"/>
    <n v="10"/>
    <n v="5144"/>
    <n v="514.4"/>
    <n v="4629.6000000000004"/>
  </r>
  <r>
    <x v="1933"/>
    <x v="665"/>
    <s v="CUST57762"/>
    <x v="0"/>
    <n v="58"/>
    <x v="0"/>
    <x v="4"/>
    <x v="1"/>
    <x v="3"/>
    <n v="3"/>
    <n v="4588"/>
    <n v="0"/>
    <n v="13764"/>
    <n v="0"/>
    <n v="13764"/>
  </r>
  <r>
    <x v="1934"/>
    <x v="666"/>
    <s v="CUST82233"/>
    <x v="0"/>
    <n v="30"/>
    <x v="1"/>
    <x v="1"/>
    <x v="0"/>
    <x v="3"/>
    <n v="3"/>
    <n v="4319"/>
    <n v="10"/>
    <n v="12957"/>
    <n v="1295.7"/>
    <n v="11661.3"/>
  </r>
  <r>
    <x v="1935"/>
    <x v="241"/>
    <s v="CUST63518"/>
    <x v="1"/>
    <n v="42"/>
    <x v="2"/>
    <x v="2"/>
    <x v="3"/>
    <x v="4"/>
    <n v="5"/>
    <n v="1000"/>
    <n v="10"/>
    <n v="5000"/>
    <n v="500"/>
    <n v="4500"/>
  </r>
  <r>
    <x v="1936"/>
    <x v="34"/>
    <s v="CUST40637"/>
    <x v="1"/>
    <n v="21"/>
    <x v="3"/>
    <x v="0"/>
    <x v="1"/>
    <x v="4"/>
    <n v="2"/>
    <n v="2005"/>
    <n v="15"/>
    <n v="4010"/>
    <n v="601.5"/>
    <n v="3408.5"/>
  </r>
  <r>
    <x v="1937"/>
    <x v="31"/>
    <s v="CUST54961"/>
    <x v="0"/>
    <n v="37"/>
    <x v="2"/>
    <x v="2"/>
    <x v="1"/>
    <x v="4"/>
    <n v="5"/>
    <n v="7015"/>
    <n v="10"/>
    <n v="35075"/>
    <n v="3507.5"/>
    <n v="31567.5"/>
  </r>
  <r>
    <x v="1938"/>
    <x v="350"/>
    <s v="CUST10435"/>
    <x v="0"/>
    <n v="36"/>
    <x v="2"/>
    <x v="0"/>
    <x v="4"/>
    <x v="0"/>
    <n v="2"/>
    <n v="7225"/>
    <n v="10"/>
    <n v="14450"/>
    <n v="1445"/>
    <n v="13005"/>
  </r>
  <r>
    <x v="1939"/>
    <x v="282"/>
    <s v="CUST96052"/>
    <x v="1"/>
    <n v="53"/>
    <x v="0"/>
    <x v="5"/>
    <x v="2"/>
    <x v="2"/>
    <n v="7"/>
    <n v="4944"/>
    <n v="15"/>
    <n v="34608"/>
    <n v="5191.2"/>
    <n v="29416.799999999999"/>
  </r>
  <r>
    <x v="1940"/>
    <x v="667"/>
    <s v="CUST88027"/>
    <x v="0"/>
    <n v="21"/>
    <x v="3"/>
    <x v="2"/>
    <x v="0"/>
    <x v="2"/>
    <n v="5"/>
    <n v="5155"/>
    <n v="15"/>
    <n v="25775"/>
    <n v="3866.25"/>
    <n v="21908.75"/>
  </r>
  <r>
    <x v="1941"/>
    <x v="227"/>
    <s v="CUST79647"/>
    <x v="1"/>
    <n v="62"/>
    <x v="0"/>
    <x v="5"/>
    <x v="0"/>
    <x v="0"/>
    <n v="6"/>
    <n v="2364"/>
    <n v="0"/>
    <n v="14184"/>
    <n v="0"/>
    <n v="14184"/>
  </r>
  <r>
    <x v="1942"/>
    <x v="563"/>
    <s v="CUST75789"/>
    <x v="0"/>
    <n v="35"/>
    <x v="1"/>
    <x v="5"/>
    <x v="4"/>
    <x v="0"/>
    <n v="5"/>
    <n v="7132"/>
    <n v="15"/>
    <n v="35660"/>
    <n v="5349"/>
    <n v="30311"/>
  </r>
  <r>
    <x v="1943"/>
    <x v="491"/>
    <s v="CUST95050"/>
    <x v="1"/>
    <n v="62"/>
    <x v="0"/>
    <x v="2"/>
    <x v="2"/>
    <x v="0"/>
    <n v="6"/>
    <n v="7961"/>
    <n v="10"/>
    <n v="47766"/>
    <n v="4776.6000000000004"/>
    <n v="42989.4"/>
  </r>
  <r>
    <x v="1944"/>
    <x v="579"/>
    <s v="CUST66484"/>
    <x v="1"/>
    <n v="54"/>
    <x v="0"/>
    <x v="0"/>
    <x v="0"/>
    <x v="4"/>
    <n v="5"/>
    <n v="7276"/>
    <n v="0"/>
    <n v="36380"/>
    <n v="0"/>
    <n v="36380"/>
  </r>
  <r>
    <x v="1945"/>
    <x v="242"/>
    <s v="CUST18503"/>
    <x v="1"/>
    <n v="59"/>
    <x v="0"/>
    <x v="3"/>
    <x v="1"/>
    <x v="3"/>
    <n v="1"/>
    <n v="6089"/>
    <n v="5"/>
    <n v="6089"/>
    <n v="304.45"/>
    <n v="5784.55"/>
  </r>
  <r>
    <x v="1946"/>
    <x v="407"/>
    <s v="CUST15699"/>
    <x v="1"/>
    <n v="51"/>
    <x v="0"/>
    <x v="3"/>
    <x v="3"/>
    <x v="3"/>
    <n v="3"/>
    <n v="7860"/>
    <n v="15"/>
    <n v="23580"/>
    <n v="3537"/>
    <n v="20043"/>
  </r>
  <r>
    <x v="1947"/>
    <x v="178"/>
    <s v="CUST54325"/>
    <x v="1"/>
    <n v="63"/>
    <x v="0"/>
    <x v="3"/>
    <x v="2"/>
    <x v="4"/>
    <n v="5"/>
    <n v="5927"/>
    <n v="5"/>
    <n v="29635"/>
    <n v="1481.75"/>
    <n v="28153.25"/>
  </r>
  <r>
    <x v="1948"/>
    <x v="365"/>
    <s v="CUST18549"/>
    <x v="1"/>
    <n v="32"/>
    <x v="1"/>
    <x v="2"/>
    <x v="0"/>
    <x v="1"/>
    <n v="3"/>
    <n v="4976"/>
    <n v="0"/>
    <n v="14928"/>
    <n v="0"/>
    <n v="14928"/>
  </r>
  <r>
    <x v="1949"/>
    <x v="457"/>
    <s v="CUST22701"/>
    <x v="1"/>
    <n v="44"/>
    <x v="2"/>
    <x v="2"/>
    <x v="2"/>
    <x v="4"/>
    <n v="1"/>
    <n v="5286"/>
    <n v="0"/>
    <n v="5286"/>
    <n v="0"/>
    <n v="5286"/>
  </r>
  <r>
    <x v="1950"/>
    <x v="536"/>
    <s v="CUST25683"/>
    <x v="0"/>
    <n v="40"/>
    <x v="2"/>
    <x v="1"/>
    <x v="3"/>
    <x v="1"/>
    <n v="7"/>
    <n v="3791"/>
    <n v="20"/>
    <n v="26537"/>
    <n v="5307.4"/>
    <n v="21229.599999999999"/>
  </r>
  <r>
    <x v="1951"/>
    <x v="668"/>
    <s v="CUST24420"/>
    <x v="1"/>
    <n v="18"/>
    <x v="3"/>
    <x v="3"/>
    <x v="4"/>
    <x v="1"/>
    <n v="4"/>
    <n v="5881"/>
    <n v="10"/>
    <n v="23524"/>
    <n v="2352.4"/>
    <n v="21171.599999999999"/>
  </r>
  <r>
    <x v="1952"/>
    <x v="669"/>
    <s v="CUST71539"/>
    <x v="1"/>
    <n v="61"/>
    <x v="0"/>
    <x v="0"/>
    <x v="0"/>
    <x v="2"/>
    <n v="1"/>
    <n v="2195"/>
    <n v="15"/>
    <n v="2195"/>
    <n v="329.25"/>
    <n v="1865.75"/>
  </r>
  <r>
    <x v="1953"/>
    <x v="647"/>
    <s v="CUST43583"/>
    <x v="1"/>
    <n v="62"/>
    <x v="0"/>
    <x v="5"/>
    <x v="0"/>
    <x v="4"/>
    <n v="7"/>
    <n v="1378"/>
    <n v="10"/>
    <n v="9646"/>
    <n v="964.6"/>
    <n v="8681.4"/>
  </r>
  <r>
    <x v="1954"/>
    <x v="377"/>
    <s v="CUST71974"/>
    <x v="1"/>
    <n v="32"/>
    <x v="1"/>
    <x v="5"/>
    <x v="2"/>
    <x v="4"/>
    <n v="6"/>
    <n v="1510"/>
    <n v="0"/>
    <n v="9060"/>
    <n v="0"/>
    <n v="9060"/>
  </r>
  <r>
    <x v="1955"/>
    <x v="422"/>
    <s v="CUST77144"/>
    <x v="1"/>
    <n v="22"/>
    <x v="3"/>
    <x v="2"/>
    <x v="1"/>
    <x v="3"/>
    <n v="4"/>
    <n v="2064"/>
    <n v="0"/>
    <n v="8256"/>
    <n v="0"/>
    <n v="8256"/>
  </r>
  <r>
    <x v="1956"/>
    <x v="179"/>
    <s v="CUST41679"/>
    <x v="1"/>
    <n v="39"/>
    <x v="2"/>
    <x v="5"/>
    <x v="3"/>
    <x v="4"/>
    <n v="7"/>
    <n v="6190"/>
    <n v="0"/>
    <n v="43330"/>
    <n v="0"/>
    <n v="43330"/>
  </r>
  <r>
    <x v="1957"/>
    <x v="66"/>
    <s v="CUST32709"/>
    <x v="1"/>
    <n v="23"/>
    <x v="3"/>
    <x v="0"/>
    <x v="3"/>
    <x v="3"/>
    <n v="4"/>
    <n v="5888"/>
    <n v="5"/>
    <n v="23552"/>
    <n v="1177.5999999999999"/>
    <n v="22374.400000000001"/>
  </r>
  <r>
    <x v="1958"/>
    <x v="113"/>
    <s v="CUST31350"/>
    <x v="1"/>
    <n v="60"/>
    <x v="0"/>
    <x v="1"/>
    <x v="3"/>
    <x v="3"/>
    <n v="3"/>
    <n v="6879"/>
    <n v="0"/>
    <n v="20637"/>
    <n v="0"/>
    <n v="20637"/>
  </r>
  <r>
    <x v="1959"/>
    <x v="668"/>
    <s v="CUST18679"/>
    <x v="1"/>
    <n v="20"/>
    <x v="3"/>
    <x v="4"/>
    <x v="2"/>
    <x v="0"/>
    <n v="1"/>
    <n v="1347"/>
    <n v="5"/>
    <n v="1347"/>
    <n v="67.349999999999994"/>
    <n v="1279.6500000000001"/>
  </r>
  <r>
    <x v="1960"/>
    <x v="544"/>
    <s v="CUST18899"/>
    <x v="1"/>
    <n v="30"/>
    <x v="1"/>
    <x v="2"/>
    <x v="0"/>
    <x v="3"/>
    <n v="4"/>
    <n v="2383"/>
    <n v="10"/>
    <n v="9532"/>
    <n v="953.2"/>
    <n v="8578.7999999999993"/>
  </r>
  <r>
    <x v="1961"/>
    <x v="274"/>
    <s v="CUST28077"/>
    <x v="1"/>
    <n v="59"/>
    <x v="0"/>
    <x v="1"/>
    <x v="2"/>
    <x v="3"/>
    <n v="4"/>
    <n v="2754"/>
    <n v="5"/>
    <n v="11016"/>
    <n v="550.79999999999995"/>
    <n v="10465.200000000001"/>
  </r>
  <r>
    <x v="1962"/>
    <x v="216"/>
    <s v="CUST54799"/>
    <x v="0"/>
    <n v="63"/>
    <x v="0"/>
    <x v="3"/>
    <x v="0"/>
    <x v="2"/>
    <n v="6"/>
    <n v="1259"/>
    <n v="0"/>
    <n v="7554"/>
    <n v="0"/>
    <n v="7554"/>
  </r>
  <r>
    <x v="1963"/>
    <x v="483"/>
    <s v="CUST43240"/>
    <x v="1"/>
    <n v="31"/>
    <x v="1"/>
    <x v="1"/>
    <x v="1"/>
    <x v="0"/>
    <n v="3"/>
    <n v="1628"/>
    <n v="0"/>
    <n v="4884"/>
    <n v="0"/>
    <n v="4884"/>
  </r>
  <r>
    <x v="1964"/>
    <x v="272"/>
    <s v="CUST72943"/>
    <x v="0"/>
    <n v="20"/>
    <x v="3"/>
    <x v="5"/>
    <x v="5"/>
    <x v="0"/>
    <n v="5"/>
    <n v="2129"/>
    <n v="15"/>
    <n v="10645"/>
    <n v="1596.75"/>
    <n v="9048.25"/>
  </r>
  <r>
    <x v="1965"/>
    <x v="46"/>
    <s v="CUST20516"/>
    <x v="0"/>
    <n v="24"/>
    <x v="3"/>
    <x v="5"/>
    <x v="5"/>
    <x v="4"/>
    <n v="1"/>
    <n v="984"/>
    <n v="10"/>
    <n v="984"/>
    <n v="98.4"/>
    <n v="885.6"/>
  </r>
  <r>
    <x v="1966"/>
    <x v="670"/>
    <s v="CUST94759"/>
    <x v="1"/>
    <n v="39"/>
    <x v="2"/>
    <x v="1"/>
    <x v="1"/>
    <x v="0"/>
    <n v="1"/>
    <n v="5021"/>
    <n v="0"/>
    <n v="5021"/>
    <n v="0"/>
    <n v="5021"/>
  </r>
  <r>
    <x v="1967"/>
    <x v="671"/>
    <s v="CUST62407"/>
    <x v="0"/>
    <n v="31"/>
    <x v="1"/>
    <x v="5"/>
    <x v="3"/>
    <x v="3"/>
    <n v="2"/>
    <n v="4469"/>
    <n v="20"/>
    <n v="8938"/>
    <n v="1787.6"/>
    <n v="7150.4"/>
  </r>
  <r>
    <x v="1968"/>
    <x v="61"/>
    <s v="CUST13749"/>
    <x v="1"/>
    <n v="56"/>
    <x v="0"/>
    <x v="5"/>
    <x v="5"/>
    <x v="2"/>
    <n v="4"/>
    <n v="6025"/>
    <n v="5"/>
    <n v="24100"/>
    <n v="1205"/>
    <n v="22895"/>
  </r>
  <r>
    <x v="1969"/>
    <x v="74"/>
    <s v="CUST86477"/>
    <x v="0"/>
    <n v="26"/>
    <x v="1"/>
    <x v="2"/>
    <x v="1"/>
    <x v="2"/>
    <n v="6"/>
    <n v="5458"/>
    <n v="10"/>
    <n v="32748"/>
    <n v="3274.8"/>
    <n v="29473.200000000001"/>
  </r>
  <r>
    <x v="1970"/>
    <x v="107"/>
    <s v="CUST92520"/>
    <x v="0"/>
    <n v="53"/>
    <x v="0"/>
    <x v="1"/>
    <x v="1"/>
    <x v="2"/>
    <n v="1"/>
    <n v="2744"/>
    <n v="15"/>
    <n v="2744"/>
    <n v="411.6"/>
    <n v="2332.4"/>
  </r>
  <r>
    <x v="1971"/>
    <x v="672"/>
    <s v="CUST10793"/>
    <x v="1"/>
    <n v="55"/>
    <x v="0"/>
    <x v="5"/>
    <x v="1"/>
    <x v="3"/>
    <n v="5"/>
    <n v="1410"/>
    <n v="0"/>
    <n v="7050"/>
    <n v="0"/>
    <n v="7050"/>
  </r>
  <r>
    <x v="1972"/>
    <x v="478"/>
    <s v="CUST28282"/>
    <x v="0"/>
    <n v="23"/>
    <x v="3"/>
    <x v="5"/>
    <x v="5"/>
    <x v="2"/>
    <n v="4"/>
    <n v="2417"/>
    <n v="0"/>
    <n v="9668"/>
    <n v="0"/>
    <n v="9668"/>
  </r>
  <r>
    <x v="1973"/>
    <x v="673"/>
    <s v="CUST40923"/>
    <x v="1"/>
    <n v="58"/>
    <x v="0"/>
    <x v="0"/>
    <x v="4"/>
    <x v="2"/>
    <n v="7"/>
    <n v="776"/>
    <n v="10"/>
    <n v="5432"/>
    <n v="543.20000000000005"/>
    <n v="4888.8"/>
  </r>
  <r>
    <x v="1974"/>
    <x v="321"/>
    <s v="CUST15838"/>
    <x v="1"/>
    <n v="61"/>
    <x v="0"/>
    <x v="2"/>
    <x v="0"/>
    <x v="4"/>
    <n v="4"/>
    <n v="7118"/>
    <n v="10"/>
    <n v="28472"/>
    <n v="2847.2"/>
    <n v="25624.799999999999"/>
  </r>
  <r>
    <x v="1975"/>
    <x v="145"/>
    <s v="CUST44816"/>
    <x v="1"/>
    <n v="27"/>
    <x v="1"/>
    <x v="1"/>
    <x v="4"/>
    <x v="4"/>
    <n v="5"/>
    <n v="6110"/>
    <n v="20"/>
    <n v="30550"/>
    <n v="6110"/>
    <n v="24440"/>
  </r>
  <r>
    <x v="1976"/>
    <x v="655"/>
    <s v="CUST99687"/>
    <x v="1"/>
    <n v="56"/>
    <x v="0"/>
    <x v="4"/>
    <x v="3"/>
    <x v="3"/>
    <n v="2"/>
    <n v="2272"/>
    <n v="0"/>
    <n v="4544"/>
    <n v="0"/>
    <n v="4544"/>
  </r>
  <r>
    <x v="1977"/>
    <x v="674"/>
    <s v="CUST42613"/>
    <x v="0"/>
    <n v="37"/>
    <x v="2"/>
    <x v="1"/>
    <x v="2"/>
    <x v="1"/>
    <n v="7"/>
    <n v="776"/>
    <n v="0"/>
    <n v="5432"/>
    <n v="0"/>
    <n v="5432"/>
  </r>
  <r>
    <x v="1978"/>
    <x v="627"/>
    <s v="CUST91111"/>
    <x v="1"/>
    <n v="25"/>
    <x v="3"/>
    <x v="3"/>
    <x v="0"/>
    <x v="0"/>
    <n v="3"/>
    <n v="345"/>
    <n v="20"/>
    <n v="1035"/>
    <n v="207"/>
    <n v="828"/>
  </r>
  <r>
    <x v="1979"/>
    <x v="63"/>
    <s v="CUST32662"/>
    <x v="1"/>
    <n v="59"/>
    <x v="0"/>
    <x v="4"/>
    <x v="0"/>
    <x v="2"/>
    <n v="1"/>
    <n v="565"/>
    <n v="5"/>
    <n v="565"/>
    <n v="28.25"/>
    <n v="536.75"/>
  </r>
  <r>
    <x v="1980"/>
    <x v="237"/>
    <s v="CUST59668"/>
    <x v="0"/>
    <n v="42"/>
    <x v="2"/>
    <x v="5"/>
    <x v="3"/>
    <x v="4"/>
    <n v="2"/>
    <n v="873"/>
    <n v="0"/>
    <n v="1746"/>
    <n v="0"/>
    <n v="1746"/>
  </r>
  <r>
    <x v="1981"/>
    <x v="0"/>
    <s v="CUST48278"/>
    <x v="1"/>
    <n v="57"/>
    <x v="0"/>
    <x v="3"/>
    <x v="2"/>
    <x v="1"/>
    <n v="6"/>
    <n v="876"/>
    <n v="10"/>
    <n v="5256"/>
    <n v="525.6"/>
    <n v="4730.3999999999996"/>
  </r>
  <r>
    <x v="1982"/>
    <x v="148"/>
    <s v="CUST38584"/>
    <x v="0"/>
    <n v="28"/>
    <x v="1"/>
    <x v="3"/>
    <x v="1"/>
    <x v="3"/>
    <n v="5"/>
    <n v="178"/>
    <n v="0"/>
    <n v="890"/>
    <n v="0"/>
    <n v="890"/>
  </r>
  <r>
    <x v="1983"/>
    <x v="600"/>
    <s v="CUST81141"/>
    <x v="0"/>
    <n v="56"/>
    <x v="0"/>
    <x v="3"/>
    <x v="5"/>
    <x v="2"/>
    <n v="5"/>
    <n v="3494"/>
    <n v="5"/>
    <n v="17470"/>
    <n v="873.5"/>
    <n v="16596.5"/>
  </r>
  <r>
    <x v="1984"/>
    <x v="623"/>
    <s v="CUST53637"/>
    <x v="1"/>
    <n v="59"/>
    <x v="0"/>
    <x v="4"/>
    <x v="1"/>
    <x v="0"/>
    <n v="7"/>
    <n v="7958"/>
    <n v="0"/>
    <n v="55706"/>
    <n v="0"/>
    <n v="55706"/>
  </r>
  <r>
    <x v="1985"/>
    <x v="418"/>
    <s v="CUST26037"/>
    <x v="0"/>
    <n v="38"/>
    <x v="2"/>
    <x v="1"/>
    <x v="1"/>
    <x v="3"/>
    <n v="1"/>
    <n v="4320"/>
    <n v="0"/>
    <n v="4320"/>
    <n v="0"/>
    <n v="4320"/>
  </r>
  <r>
    <x v="1986"/>
    <x v="436"/>
    <s v="CUST10821"/>
    <x v="0"/>
    <n v="35"/>
    <x v="1"/>
    <x v="1"/>
    <x v="5"/>
    <x v="4"/>
    <n v="6"/>
    <n v="7452"/>
    <n v="15"/>
    <n v="44712"/>
    <n v="6706.8"/>
    <n v="38005.199999999997"/>
  </r>
  <r>
    <x v="1987"/>
    <x v="280"/>
    <s v="CUST98388"/>
    <x v="0"/>
    <n v="58"/>
    <x v="0"/>
    <x v="4"/>
    <x v="3"/>
    <x v="0"/>
    <n v="7"/>
    <n v="6523"/>
    <n v="0"/>
    <n v="45661"/>
    <n v="0"/>
    <n v="45661"/>
  </r>
  <r>
    <x v="1988"/>
    <x v="31"/>
    <s v="CUST30027"/>
    <x v="0"/>
    <n v="53"/>
    <x v="0"/>
    <x v="3"/>
    <x v="4"/>
    <x v="1"/>
    <n v="3"/>
    <n v="933"/>
    <n v="5"/>
    <n v="2799"/>
    <n v="139.94999999999999"/>
    <n v="2659.05"/>
  </r>
  <r>
    <x v="1989"/>
    <x v="210"/>
    <s v="CUST35645"/>
    <x v="0"/>
    <n v="60"/>
    <x v="0"/>
    <x v="5"/>
    <x v="4"/>
    <x v="2"/>
    <n v="1"/>
    <n v="2634"/>
    <n v="10"/>
    <n v="2634"/>
    <n v="263.39999999999998"/>
    <n v="2370.6"/>
  </r>
  <r>
    <x v="1990"/>
    <x v="30"/>
    <s v="CUST83744"/>
    <x v="1"/>
    <n v="28"/>
    <x v="1"/>
    <x v="1"/>
    <x v="5"/>
    <x v="0"/>
    <n v="4"/>
    <n v="3097"/>
    <n v="10"/>
    <n v="12388"/>
    <n v="1238.8"/>
    <n v="11149.2"/>
  </r>
  <r>
    <x v="1991"/>
    <x v="93"/>
    <s v="CUST30613"/>
    <x v="1"/>
    <n v="55"/>
    <x v="0"/>
    <x v="4"/>
    <x v="4"/>
    <x v="0"/>
    <n v="7"/>
    <n v="7857"/>
    <n v="15"/>
    <n v="54999"/>
    <n v="8249.85"/>
    <n v="46749.15"/>
  </r>
  <r>
    <x v="1992"/>
    <x v="441"/>
    <s v="CUST95462"/>
    <x v="1"/>
    <n v="30"/>
    <x v="1"/>
    <x v="3"/>
    <x v="0"/>
    <x v="2"/>
    <n v="5"/>
    <n v="2898"/>
    <n v="0"/>
    <n v="14490"/>
    <n v="0"/>
    <n v="14490"/>
  </r>
  <r>
    <x v="1993"/>
    <x v="571"/>
    <s v="CUST48128"/>
    <x v="1"/>
    <n v="36"/>
    <x v="2"/>
    <x v="3"/>
    <x v="4"/>
    <x v="4"/>
    <n v="6"/>
    <n v="2004"/>
    <n v="0"/>
    <n v="12024"/>
    <n v="0"/>
    <n v="12024"/>
  </r>
  <r>
    <x v="1994"/>
    <x v="71"/>
    <s v="CUST39877"/>
    <x v="0"/>
    <n v="25"/>
    <x v="3"/>
    <x v="3"/>
    <x v="0"/>
    <x v="0"/>
    <n v="4"/>
    <n v="2883"/>
    <n v="5"/>
    <n v="11532"/>
    <n v="576.6"/>
    <n v="10955.4"/>
  </r>
  <r>
    <x v="1995"/>
    <x v="211"/>
    <s v="CUST70892"/>
    <x v="0"/>
    <n v="23"/>
    <x v="3"/>
    <x v="3"/>
    <x v="3"/>
    <x v="0"/>
    <n v="3"/>
    <n v="1278"/>
    <n v="0"/>
    <n v="3834"/>
    <n v="0"/>
    <n v="3834"/>
  </r>
  <r>
    <x v="1996"/>
    <x v="373"/>
    <s v="CUST90089"/>
    <x v="1"/>
    <n v="58"/>
    <x v="0"/>
    <x v="3"/>
    <x v="2"/>
    <x v="1"/>
    <n v="1"/>
    <n v="6714"/>
    <n v="5"/>
    <n v="6714"/>
    <n v="335.7"/>
    <n v="6378.3"/>
  </r>
  <r>
    <x v="1997"/>
    <x v="317"/>
    <s v="CUST92457"/>
    <x v="1"/>
    <n v="21"/>
    <x v="3"/>
    <x v="4"/>
    <x v="2"/>
    <x v="3"/>
    <n v="1"/>
    <n v="7930"/>
    <n v="0"/>
    <n v="7930"/>
    <n v="0"/>
    <n v="7930"/>
  </r>
  <r>
    <x v="1998"/>
    <x v="209"/>
    <s v="CUST92955"/>
    <x v="1"/>
    <n v="31"/>
    <x v="1"/>
    <x v="5"/>
    <x v="5"/>
    <x v="1"/>
    <n v="2"/>
    <n v="5520"/>
    <n v="0"/>
    <n v="11040"/>
    <n v="0"/>
    <n v="11040"/>
  </r>
  <r>
    <x v="1999"/>
    <x v="407"/>
    <s v="CUST27856"/>
    <x v="0"/>
    <n v="18"/>
    <x v="3"/>
    <x v="0"/>
    <x v="3"/>
    <x v="1"/>
    <n v="4"/>
    <n v="7016"/>
    <n v="10"/>
    <n v="28064"/>
    <n v="2806.4"/>
    <n v="25257.5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13B2B7-D210-47AD-9EDD-AF6462AF7F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B11" firstHeaderRow="1" firstDataRow="1" firstDataCol="1"/>
  <pivotFields count="18">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64" showAll="0">
      <items count="676">
        <item x="328"/>
        <item x="155"/>
        <item x="419"/>
        <item x="559"/>
        <item x="653"/>
        <item x="117"/>
        <item x="22"/>
        <item x="355"/>
        <item x="169"/>
        <item x="366"/>
        <item x="186"/>
        <item x="108"/>
        <item x="637"/>
        <item x="303"/>
        <item x="619"/>
        <item x="234"/>
        <item x="648"/>
        <item x="222"/>
        <item x="59"/>
        <item x="69"/>
        <item x="461"/>
        <item x="623"/>
        <item x="527"/>
        <item x="617"/>
        <item x="626"/>
        <item x="285"/>
        <item x="104"/>
        <item x="480"/>
        <item x="350"/>
        <item x="364"/>
        <item x="61"/>
        <item x="81"/>
        <item x="255"/>
        <item x="414"/>
        <item x="537"/>
        <item x="89"/>
        <item x="576"/>
        <item x="291"/>
        <item x="150"/>
        <item x="24"/>
        <item x="148"/>
        <item x="72"/>
        <item x="574"/>
        <item x="118"/>
        <item x="458"/>
        <item x="386"/>
        <item x="577"/>
        <item x="407"/>
        <item x="345"/>
        <item x="521"/>
        <item x="297"/>
        <item x="529"/>
        <item x="394"/>
        <item x="628"/>
        <item x="450"/>
        <item x="448"/>
        <item x="453"/>
        <item x="199"/>
        <item x="16"/>
        <item x="189"/>
        <item x="544"/>
        <item x="40"/>
        <item x="236"/>
        <item x="517"/>
        <item x="20"/>
        <item x="137"/>
        <item x="197"/>
        <item x="205"/>
        <item x="287"/>
        <item x="481"/>
        <item x="456"/>
        <item x="369"/>
        <item x="67"/>
        <item x="279"/>
        <item x="132"/>
        <item x="301"/>
        <item x="334"/>
        <item x="231"/>
        <item x="360"/>
        <item x="342"/>
        <item x="232"/>
        <item x="53"/>
        <item x="337"/>
        <item x="538"/>
        <item x="151"/>
        <item x="634"/>
        <item x="608"/>
        <item x="641"/>
        <item x="101"/>
        <item x="646"/>
        <item x="228"/>
        <item x="263"/>
        <item x="235"/>
        <item x="196"/>
        <item x="112"/>
        <item x="74"/>
        <item x="663"/>
        <item x="650"/>
        <item x="276"/>
        <item x="29"/>
        <item x="654"/>
        <item x="323"/>
        <item x="635"/>
        <item x="397"/>
        <item x="378"/>
        <item x="330"/>
        <item x="329"/>
        <item x="395"/>
        <item x="221"/>
        <item x="588"/>
        <item x="62"/>
        <item x="267"/>
        <item x="579"/>
        <item x="258"/>
        <item x="669"/>
        <item x="607"/>
        <item x="271"/>
        <item x="66"/>
        <item x="90"/>
        <item x="580"/>
        <item x="357"/>
        <item x="570"/>
        <item x="314"/>
        <item x="277"/>
        <item x="37"/>
        <item x="511"/>
        <item x="254"/>
        <item x="459"/>
        <item x="174"/>
        <item x="185"/>
        <item x="343"/>
        <item x="656"/>
        <item x="499"/>
        <item x="430"/>
        <item x="322"/>
        <item x="52"/>
        <item x="27"/>
        <item x="572"/>
        <item x="371"/>
        <item x="384"/>
        <item x="168"/>
        <item x="225"/>
        <item x="497"/>
        <item x="489"/>
        <item x="187"/>
        <item x="147"/>
        <item x="324"/>
        <item x="510"/>
        <item x="629"/>
        <item x="299"/>
        <item x="534"/>
        <item x="15"/>
        <item x="542"/>
        <item x="103"/>
        <item x="603"/>
        <item x="543"/>
        <item x="332"/>
        <item x="347"/>
        <item x="0"/>
        <item x="181"/>
        <item x="494"/>
        <item x="274"/>
        <item x="102"/>
        <item x="216"/>
        <item x="122"/>
        <item x="28"/>
        <item x="215"/>
        <item x="8"/>
        <item x="353"/>
        <item x="440"/>
        <item x="30"/>
        <item x="106"/>
        <item x="425"/>
        <item x="426"/>
        <item x="402"/>
        <item x="275"/>
        <item x="39"/>
        <item x="1"/>
        <item x="100"/>
        <item x="247"/>
        <item x="595"/>
        <item x="375"/>
        <item x="33"/>
        <item x="487"/>
        <item x="71"/>
        <item x="560"/>
        <item x="239"/>
        <item x="618"/>
        <item x="157"/>
        <item x="476"/>
        <item x="176"/>
        <item x="5"/>
        <item x="249"/>
        <item x="358"/>
        <item x="333"/>
        <item x="87"/>
        <item x="593"/>
        <item x="514"/>
        <item x="429"/>
        <item x="58"/>
        <item x="567"/>
        <item x="388"/>
        <item x="526"/>
        <item x="390"/>
        <item x="54"/>
        <item x="130"/>
        <item x="266"/>
        <item x="261"/>
        <item x="621"/>
        <item x="418"/>
        <item x="140"/>
        <item x="177"/>
        <item x="562"/>
        <item x="128"/>
        <item x="115"/>
        <item x="401"/>
        <item x="411"/>
        <item x="227"/>
        <item x="428"/>
        <item x="348"/>
        <item x="243"/>
        <item x="479"/>
        <item x="335"/>
        <item x="528"/>
        <item x="346"/>
        <item x="226"/>
        <item x="135"/>
        <item x="382"/>
        <item x="645"/>
        <item x="21"/>
        <item x="439"/>
        <item x="616"/>
        <item x="592"/>
        <item x="283"/>
        <item x="160"/>
        <item x="496"/>
        <item x="41"/>
        <item x="316"/>
        <item x="82"/>
        <item x="444"/>
        <item x="659"/>
        <item x="606"/>
        <item x="152"/>
        <item x="164"/>
        <item x="252"/>
        <item x="264"/>
        <item x="153"/>
        <item x="470"/>
        <item x="540"/>
        <item x="434"/>
        <item x="220"/>
        <item x="259"/>
        <item x="79"/>
        <item x="468"/>
        <item x="48"/>
        <item x="586"/>
        <item x="442"/>
        <item x="105"/>
        <item x="590"/>
        <item x="668"/>
        <item x="609"/>
        <item x="63"/>
        <item x="156"/>
        <item x="144"/>
        <item x="578"/>
        <item x="31"/>
        <item x="377"/>
        <item x="292"/>
        <item x="306"/>
        <item x="627"/>
        <item x="238"/>
        <item x="447"/>
        <item x="599"/>
        <item x="172"/>
        <item x="466"/>
        <item x="260"/>
        <item x="406"/>
        <item x="253"/>
        <item x="351"/>
        <item x="557"/>
        <item x="536"/>
        <item x="486"/>
        <item x="665"/>
        <item x="80"/>
        <item x="339"/>
        <item x="218"/>
        <item x="32"/>
        <item x="280"/>
        <item x="493"/>
        <item x="141"/>
        <item x="532"/>
        <item x="51"/>
        <item x="581"/>
        <item x="512"/>
        <item x="354"/>
        <item x="454"/>
        <item x="370"/>
        <item x="421"/>
        <item x="643"/>
        <item x="26"/>
        <item x="602"/>
        <item x="503"/>
        <item x="290"/>
        <item x="651"/>
        <item x="129"/>
        <item x="120"/>
        <item x="367"/>
        <item x="520"/>
        <item x="298"/>
        <item x="563"/>
        <item x="269"/>
        <item x="161"/>
        <item x="372"/>
        <item x="154"/>
        <item x="242"/>
        <item x="307"/>
        <item x="671"/>
        <item x="12"/>
        <item x="356"/>
        <item x="549"/>
        <item x="7"/>
        <item x="45"/>
        <item x="647"/>
        <item x="403"/>
        <item x="413"/>
        <item x="294"/>
        <item x="571"/>
        <item x="56"/>
        <item x="492"/>
        <item x="338"/>
        <item x="488"/>
        <item x="660"/>
        <item x="471"/>
        <item x="190"/>
        <item x="305"/>
        <item x="498"/>
        <item x="13"/>
        <item x="321"/>
        <item x="206"/>
        <item x="300"/>
        <item x="417"/>
        <item x="95"/>
        <item x="44"/>
        <item x="465"/>
        <item x="336"/>
        <item x="361"/>
        <item x="546"/>
        <item x="209"/>
        <item x="376"/>
        <item x="362"/>
        <item x="281"/>
        <item x="495"/>
        <item x="569"/>
        <item x="240"/>
        <item x="405"/>
        <item x="462"/>
        <item x="636"/>
        <item x="404"/>
        <item x="18"/>
        <item x="341"/>
        <item x="75"/>
        <item x="327"/>
        <item x="553"/>
        <item x="649"/>
        <item x="9"/>
        <item x="552"/>
        <item x="43"/>
        <item x="326"/>
        <item x="68"/>
        <item x="472"/>
        <item x="325"/>
        <item x="257"/>
        <item x="214"/>
        <item x="596"/>
        <item x="535"/>
        <item x="600"/>
        <item x="208"/>
        <item x="432"/>
        <item x="91"/>
        <item x="615"/>
        <item x="65"/>
        <item x="201"/>
        <item x="452"/>
        <item x="518"/>
        <item x="445"/>
        <item x="539"/>
        <item x="124"/>
        <item x="485"/>
        <item x="460"/>
        <item x="293"/>
        <item x="331"/>
        <item x="183"/>
        <item x="171"/>
        <item x="288"/>
        <item x="657"/>
        <item x="672"/>
        <item x="17"/>
        <item x="219"/>
        <item x="88"/>
        <item x="475"/>
        <item x="165"/>
        <item x="420"/>
        <item x="119"/>
        <item x="233"/>
        <item x="180"/>
        <item x="381"/>
        <item x="467"/>
        <item x="111"/>
        <item x="23"/>
        <item x="613"/>
        <item x="548"/>
        <item x="50"/>
        <item x="483"/>
        <item x="230"/>
        <item x="612"/>
        <item x="652"/>
        <item x="393"/>
        <item x="655"/>
        <item x="491"/>
        <item x="83"/>
        <item x="551"/>
        <item x="282"/>
        <item x="484"/>
        <item x="92"/>
        <item x="163"/>
        <item x="34"/>
        <item x="368"/>
        <item x="387"/>
        <item x="469"/>
        <item x="573"/>
        <item x="248"/>
        <item x="131"/>
        <item x="365"/>
        <item x="464"/>
        <item x="594"/>
        <item x="84"/>
        <item x="126"/>
        <item x="134"/>
        <item x="319"/>
        <item x="550"/>
        <item x="224"/>
        <item x="399"/>
        <item x="57"/>
        <item x="455"/>
        <item x="38"/>
        <item x="610"/>
        <item x="385"/>
        <item x="114"/>
        <item x="436"/>
        <item x="110"/>
        <item x="620"/>
        <item x="192"/>
        <item x="449"/>
        <item x="639"/>
        <item x="541"/>
        <item x="36"/>
        <item x="99"/>
        <item x="272"/>
        <item x="113"/>
        <item x="605"/>
        <item x="409"/>
        <item x="630"/>
        <item x="311"/>
        <item x="3"/>
        <item x="601"/>
        <item x="666"/>
        <item x="373"/>
        <item x="166"/>
        <item x="662"/>
        <item x="522"/>
        <item x="523"/>
        <item x="587"/>
        <item x="582"/>
        <item x="19"/>
        <item x="575"/>
        <item x="438"/>
        <item x="392"/>
        <item x="60"/>
        <item x="184"/>
        <item x="584"/>
        <item x="173"/>
        <item x="210"/>
        <item x="179"/>
        <item x="49"/>
        <item x="508"/>
        <item x="73"/>
        <item x="501"/>
        <item x="245"/>
        <item x="502"/>
        <item x="116"/>
        <item x="591"/>
        <item x="597"/>
        <item x="318"/>
        <item x="251"/>
        <item x="533"/>
        <item x="10"/>
        <item x="198"/>
        <item x="2"/>
        <item x="310"/>
        <item x="167"/>
        <item x="642"/>
        <item x="564"/>
        <item x="380"/>
        <item x="320"/>
        <item x="473"/>
        <item x="250"/>
        <item x="217"/>
        <item x="555"/>
        <item x="188"/>
        <item x="241"/>
        <item x="35"/>
        <item x="474"/>
        <item x="352"/>
        <item x="408"/>
        <item x="14"/>
        <item x="86"/>
        <item x="658"/>
        <item x="504"/>
        <item x="614"/>
        <item x="194"/>
        <item x="158"/>
        <item x="200"/>
        <item x="463"/>
        <item x="545"/>
        <item x="631"/>
        <item x="85"/>
        <item x="398"/>
        <item x="583"/>
        <item x="516"/>
        <item x="391"/>
        <item x="624"/>
        <item x="644"/>
        <item x="204"/>
        <item x="278"/>
        <item x="142"/>
        <item x="162"/>
        <item x="416"/>
        <item x="507"/>
        <item x="4"/>
        <item x="363"/>
        <item x="308"/>
        <item x="423"/>
        <item x="47"/>
        <item x="11"/>
        <item x="561"/>
        <item x="633"/>
        <item x="127"/>
        <item x="143"/>
        <item x="515"/>
        <item x="446"/>
        <item x="312"/>
        <item x="262"/>
        <item x="509"/>
        <item x="374"/>
        <item x="566"/>
        <item x="530"/>
        <item x="125"/>
        <item x="383"/>
        <item x="359"/>
        <item x="46"/>
        <item x="191"/>
        <item x="212"/>
        <item x="202"/>
        <item x="268"/>
        <item x="568"/>
        <item x="667"/>
        <item x="632"/>
        <item x="170"/>
        <item x="389"/>
        <item x="289"/>
        <item x="6"/>
        <item x="313"/>
        <item x="121"/>
        <item x="506"/>
        <item x="670"/>
        <item x="589"/>
        <item x="76"/>
        <item x="457"/>
        <item x="315"/>
        <item x="317"/>
        <item x="441"/>
        <item x="422"/>
        <item x="149"/>
        <item x="145"/>
        <item x="344"/>
        <item x="70"/>
        <item x="451"/>
        <item x="136"/>
        <item x="207"/>
        <item x="78"/>
        <item x="203"/>
        <item x="195"/>
        <item x="182"/>
        <item x="175"/>
        <item x="478"/>
        <item x="524"/>
        <item x="622"/>
        <item x="424"/>
        <item x="223"/>
        <item x="109"/>
        <item x="97"/>
        <item x="93"/>
        <item x="625"/>
        <item x="547"/>
        <item x="558"/>
        <item x="396"/>
        <item x="77"/>
        <item x="505"/>
        <item x="556"/>
        <item x="500"/>
        <item x="304"/>
        <item x="55"/>
        <item x="490"/>
        <item x="435"/>
        <item x="604"/>
        <item x="159"/>
        <item x="431"/>
        <item x="531"/>
        <item x="673"/>
        <item x="133"/>
        <item x="598"/>
        <item x="246"/>
        <item x="525"/>
        <item x="674"/>
        <item x="244"/>
        <item x="295"/>
        <item x="585"/>
        <item x="94"/>
        <item x="482"/>
        <item x="565"/>
        <item x="664"/>
        <item x="340"/>
        <item x="256"/>
        <item x="349"/>
        <item x="433"/>
        <item x="302"/>
        <item x="123"/>
        <item x="178"/>
        <item x="265"/>
        <item x="193"/>
        <item x="211"/>
        <item x="286"/>
        <item x="400"/>
        <item x="237"/>
        <item x="477"/>
        <item x="64"/>
        <item x="139"/>
        <item x="640"/>
        <item x="638"/>
        <item x="379"/>
        <item x="661"/>
        <item x="25"/>
        <item x="42"/>
        <item x="437"/>
        <item x="284"/>
        <item x="519"/>
        <item x="296"/>
        <item x="96"/>
        <item x="138"/>
        <item x="513"/>
        <item x="554"/>
        <item x="412"/>
        <item x="270"/>
        <item x="229"/>
        <item x="213"/>
        <item x="611"/>
        <item x="98"/>
        <item x="415"/>
        <item x="273"/>
        <item x="443"/>
        <item x="427"/>
        <item x="107"/>
        <item x="146"/>
        <item x="309"/>
        <item x="410"/>
        <item t="default"/>
      </items>
    </pivotField>
    <pivotField showAll="0"/>
    <pivotField showAll="0"/>
    <pivotField showAll="0"/>
    <pivotField showAll="0">
      <items count="5">
        <item x="3"/>
        <item x="1"/>
        <item x="2"/>
        <item x="0"/>
        <item t="default"/>
      </items>
    </pivotField>
    <pivotField showAll="0">
      <items count="7">
        <item x="5"/>
        <item x="1"/>
        <item x="2"/>
        <item x="0"/>
        <item x="3"/>
        <item x="4"/>
        <item t="default"/>
      </items>
    </pivotField>
    <pivotField axis="axisRow" showAll="0">
      <items count="7">
        <item x="4"/>
        <item x="1"/>
        <item x="0"/>
        <item x="5"/>
        <item x="2"/>
        <item x="3"/>
        <item t="default"/>
      </items>
    </pivotField>
    <pivotField showAll="0">
      <items count="6">
        <item x="3"/>
        <item x="4"/>
        <item x="2"/>
        <item x="1"/>
        <item x="0"/>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7">
    <i>
      <x/>
    </i>
    <i>
      <x v="1"/>
    </i>
    <i>
      <x v="2"/>
    </i>
    <i>
      <x v="3"/>
    </i>
    <i>
      <x v="4"/>
    </i>
    <i>
      <x v="5"/>
    </i>
    <i t="grand">
      <x/>
    </i>
  </rowItems>
  <colItems count="1">
    <i/>
  </colItems>
  <dataFields count="1">
    <dataField name="Sum of Net Sales" fld="14" baseField="0" baseItem="0"/>
  </dataFields>
  <chartFormats count="3">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9784A1-503E-4B54-BD72-4450551EB4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B11" firstHeaderRow="1" firstDataRow="1" firstDataCol="1"/>
  <pivotFields count="18">
    <pivotField showAll="0"/>
    <pivotField numFmtId="164" showAll="0">
      <items count="676">
        <item x="328"/>
        <item x="155"/>
        <item x="419"/>
        <item x="559"/>
        <item x="653"/>
        <item x="117"/>
        <item x="22"/>
        <item x="355"/>
        <item x="169"/>
        <item x="366"/>
        <item x="186"/>
        <item x="108"/>
        <item x="637"/>
        <item x="303"/>
        <item x="619"/>
        <item x="234"/>
        <item x="648"/>
        <item x="222"/>
        <item x="59"/>
        <item x="69"/>
        <item x="461"/>
        <item x="623"/>
        <item x="527"/>
        <item x="617"/>
        <item x="626"/>
        <item x="285"/>
        <item x="104"/>
        <item x="480"/>
        <item x="350"/>
        <item x="364"/>
        <item x="61"/>
        <item x="81"/>
        <item x="255"/>
        <item x="414"/>
        <item x="537"/>
        <item x="89"/>
        <item x="576"/>
        <item x="291"/>
        <item x="150"/>
        <item x="24"/>
        <item x="148"/>
        <item x="72"/>
        <item x="574"/>
        <item x="118"/>
        <item x="458"/>
        <item x="386"/>
        <item x="577"/>
        <item x="407"/>
        <item x="345"/>
        <item x="521"/>
        <item x="297"/>
        <item x="529"/>
        <item x="394"/>
        <item x="628"/>
        <item x="450"/>
        <item x="448"/>
        <item x="453"/>
        <item x="199"/>
        <item x="16"/>
        <item x="189"/>
        <item x="544"/>
        <item x="40"/>
        <item x="236"/>
        <item x="517"/>
        <item x="20"/>
        <item x="137"/>
        <item x="197"/>
        <item x="205"/>
        <item x="287"/>
        <item x="481"/>
        <item x="456"/>
        <item x="369"/>
        <item x="67"/>
        <item x="279"/>
        <item x="132"/>
        <item x="301"/>
        <item x="334"/>
        <item x="231"/>
        <item x="360"/>
        <item x="342"/>
        <item x="232"/>
        <item x="53"/>
        <item x="337"/>
        <item x="538"/>
        <item x="151"/>
        <item x="634"/>
        <item x="608"/>
        <item x="641"/>
        <item x="101"/>
        <item x="646"/>
        <item x="228"/>
        <item x="263"/>
        <item x="235"/>
        <item x="196"/>
        <item x="112"/>
        <item x="74"/>
        <item x="663"/>
        <item x="650"/>
        <item x="276"/>
        <item x="29"/>
        <item x="654"/>
        <item x="323"/>
        <item x="635"/>
        <item x="397"/>
        <item x="378"/>
        <item x="330"/>
        <item x="329"/>
        <item x="395"/>
        <item x="221"/>
        <item x="588"/>
        <item x="62"/>
        <item x="267"/>
        <item x="579"/>
        <item x="258"/>
        <item x="669"/>
        <item x="607"/>
        <item x="271"/>
        <item x="66"/>
        <item x="90"/>
        <item x="580"/>
        <item x="357"/>
        <item x="570"/>
        <item x="314"/>
        <item x="277"/>
        <item x="37"/>
        <item x="511"/>
        <item x="254"/>
        <item x="459"/>
        <item x="174"/>
        <item x="185"/>
        <item x="343"/>
        <item x="656"/>
        <item x="499"/>
        <item x="430"/>
        <item x="322"/>
        <item x="52"/>
        <item x="27"/>
        <item x="572"/>
        <item x="371"/>
        <item x="384"/>
        <item x="168"/>
        <item x="225"/>
        <item x="497"/>
        <item x="489"/>
        <item x="187"/>
        <item x="147"/>
        <item x="324"/>
        <item x="510"/>
        <item x="629"/>
        <item x="299"/>
        <item x="534"/>
        <item x="15"/>
        <item x="542"/>
        <item x="103"/>
        <item x="603"/>
        <item x="543"/>
        <item x="332"/>
        <item x="347"/>
        <item x="0"/>
        <item x="181"/>
        <item x="494"/>
        <item x="274"/>
        <item x="102"/>
        <item x="216"/>
        <item x="122"/>
        <item x="28"/>
        <item x="215"/>
        <item x="8"/>
        <item x="353"/>
        <item x="440"/>
        <item x="30"/>
        <item x="106"/>
        <item x="425"/>
        <item x="426"/>
        <item x="402"/>
        <item x="275"/>
        <item x="39"/>
        <item x="1"/>
        <item x="100"/>
        <item x="247"/>
        <item x="595"/>
        <item x="375"/>
        <item x="33"/>
        <item x="487"/>
        <item x="71"/>
        <item x="560"/>
        <item x="239"/>
        <item x="618"/>
        <item x="157"/>
        <item x="476"/>
        <item x="176"/>
        <item x="5"/>
        <item x="249"/>
        <item x="358"/>
        <item x="333"/>
        <item x="87"/>
        <item x="593"/>
        <item x="514"/>
        <item x="429"/>
        <item x="58"/>
        <item x="567"/>
        <item x="388"/>
        <item x="526"/>
        <item x="390"/>
        <item x="54"/>
        <item x="130"/>
        <item x="266"/>
        <item x="261"/>
        <item x="621"/>
        <item x="418"/>
        <item x="140"/>
        <item x="177"/>
        <item x="562"/>
        <item x="128"/>
        <item x="115"/>
        <item x="401"/>
        <item x="411"/>
        <item x="227"/>
        <item x="428"/>
        <item x="348"/>
        <item x="243"/>
        <item x="479"/>
        <item x="335"/>
        <item x="528"/>
        <item x="346"/>
        <item x="226"/>
        <item x="135"/>
        <item x="382"/>
        <item x="645"/>
        <item x="21"/>
        <item x="439"/>
        <item x="616"/>
        <item x="592"/>
        <item x="283"/>
        <item x="160"/>
        <item x="496"/>
        <item x="41"/>
        <item x="316"/>
        <item x="82"/>
        <item x="444"/>
        <item x="659"/>
        <item x="606"/>
        <item x="152"/>
        <item x="164"/>
        <item x="252"/>
        <item x="264"/>
        <item x="153"/>
        <item x="470"/>
        <item x="540"/>
        <item x="434"/>
        <item x="220"/>
        <item x="259"/>
        <item x="79"/>
        <item x="468"/>
        <item x="48"/>
        <item x="586"/>
        <item x="442"/>
        <item x="105"/>
        <item x="590"/>
        <item x="668"/>
        <item x="609"/>
        <item x="63"/>
        <item x="156"/>
        <item x="144"/>
        <item x="578"/>
        <item x="31"/>
        <item x="377"/>
        <item x="292"/>
        <item x="306"/>
        <item x="627"/>
        <item x="238"/>
        <item x="447"/>
        <item x="599"/>
        <item x="172"/>
        <item x="466"/>
        <item x="260"/>
        <item x="406"/>
        <item x="253"/>
        <item x="351"/>
        <item x="557"/>
        <item x="536"/>
        <item x="486"/>
        <item x="665"/>
        <item x="80"/>
        <item x="339"/>
        <item x="218"/>
        <item x="32"/>
        <item x="280"/>
        <item x="493"/>
        <item x="141"/>
        <item x="532"/>
        <item x="51"/>
        <item x="581"/>
        <item x="512"/>
        <item x="354"/>
        <item x="454"/>
        <item x="370"/>
        <item x="421"/>
        <item x="643"/>
        <item x="26"/>
        <item x="602"/>
        <item x="503"/>
        <item x="290"/>
        <item x="651"/>
        <item x="129"/>
        <item x="120"/>
        <item x="367"/>
        <item x="520"/>
        <item x="298"/>
        <item x="563"/>
        <item x="269"/>
        <item x="161"/>
        <item x="372"/>
        <item x="154"/>
        <item x="242"/>
        <item x="307"/>
        <item x="671"/>
        <item x="12"/>
        <item x="356"/>
        <item x="549"/>
        <item x="7"/>
        <item x="45"/>
        <item x="647"/>
        <item x="403"/>
        <item x="413"/>
        <item x="294"/>
        <item x="571"/>
        <item x="56"/>
        <item x="492"/>
        <item x="338"/>
        <item x="488"/>
        <item x="660"/>
        <item x="471"/>
        <item x="190"/>
        <item x="305"/>
        <item x="498"/>
        <item x="13"/>
        <item x="321"/>
        <item x="206"/>
        <item x="300"/>
        <item x="417"/>
        <item x="95"/>
        <item x="44"/>
        <item x="465"/>
        <item x="336"/>
        <item x="361"/>
        <item x="546"/>
        <item x="209"/>
        <item x="376"/>
        <item x="362"/>
        <item x="281"/>
        <item x="495"/>
        <item x="569"/>
        <item x="240"/>
        <item x="405"/>
        <item x="462"/>
        <item x="636"/>
        <item x="404"/>
        <item x="18"/>
        <item x="341"/>
        <item x="75"/>
        <item x="327"/>
        <item x="553"/>
        <item x="649"/>
        <item x="9"/>
        <item x="552"/>
        <item x="43"/>
        <item x="326"/>
        <item x="68"/>
        <item x="472"/>
        <item x="325"/>
        <item x="257"/>
        <item x="214"/>
        <item x="596"/>
        <item x="535"/>
        <item x="600"/>
        <item x="208"/>
        <item x="432"/>
        <item x="91"/>
        <item x="615"/>
        <item x="65"/>
        <item x="201"/>
        <item x="452"/>
        <item x="518"/>
        <item x="445"/>
        <item x="539"/>
        <item x="124"/>
        <item x="485"/>
        <item x="460"/>
        <item x="293"/>
        <item x="331"/>
        <item x="183"/>
        <item x="171"/>
        <item x="288"/>
        <item x="657"/>
        <item x="672"/>
        <item x="17"/>
        <item x="219"/>
        <item x="88"/>
        <item x="475"/>
        <item x="165"/>
        <item x="420"/>
        <item x="119"/>
        <item x="233"/>
        <item x="180"/>
        <item x="381"/>
        <item x="467"/>
        <item x="111"/>
        <item x="23"/>
        <item x="613"/>
        <item x="548"/>
        <item x="50"/>
        <item x="483"/>
        <item x="230"/>
        <item x="612"/>
        <item x="652"/>
        <item x="393"/>
        <item x="655"/>
        <item x="491"/>
        <item x="83"/>
        <item x="551"/>
        <item x="282"/>
        <item x="484"/>
        <item x="92"/>
        <item x="163"/>
        <item x="34"/>
        <item x="368"/>
        <item x="387"/>
        <item x="469"/>
        <item x="573"/>
        <item x="248"/>
        <item x="131"/>
        <item x="365"/>
        <item x="464"/>
        <item x="594"/>
        <item x="84"/>
        <item x="126"/>
        <item x="134"/>
        <item x="319"/>
        <item x="550"/>
        <item x="224"/>
        <item x="399"/>
        <item x="57"/>
        <item x="455"/>
        <item x="38"/>
        <item x="610"/>
        <item x="385"/>
        <item x="114"/>
        <item x="436"/>
        <item x="110"/>
        <item x="620"/>
        <item x="192"/>
        <item x="449"/>
        <item x="639"/>
        <item x="541"/>
        <item x="36"/>
        <item x="99"/>
        <item x="272"/>
        <item x="113"/>
        <item x="605"/>
        <item x="409"/>
        <item x="630"/>
        <item x="311"/>
        <item x="3"/>
        <item x="601"/>
        <item x="666"/>
        <item x="373"/>
        <item x="166"/>
        <item x="662"/>
        <item x="522"/>
        <item x="523"/>
        <item x="587"/>
        <item x="582"/>
        <item x="19"/>
        <item x="575"/>
        <item x="438"/>
        <item x="392"/>
        <item x="60"/>
        <item x="184"/>
        <item x="584"/>
        <item x="173"/>
        <item x="210"/>
        <item x="179"/>
        <item x="49"/>
        <item x="508"/>
        <item x="73"/>
        <item x="501"/>
        <item x="245"/>
        <item x="502"/>
        <item x="116"/>
        <item x="591"/>
        <item x="597"/>
        <item x="318"/>
        <item x="251"/>
        <item x="533"/>
        <item x="10"/>
        <item x="198"/>
        <item x="2"/>
        <item x="310"/>
        <item x="167"/>
        <item x="642"/>
        <item x="564"/>
        <item x="380"/>
        <item x="320"/>
        <item x="473"/>
        <item x="250"/>
        <item x="217"/>
        <item x="555"/>
        <item x="188"/>
        <item x="241"/>
        <item x="35"/>
        <item x="474"/>
        <item x="352"/>
        <item x="408"/>
        <item x="14"/>
        <item x="86"/>
        <item x="658"/>
        <item x="504"/>
        <item x="614"/>
        <item x="194"/>
        <item x="158"/>
        <item x="200"/>
        <item x="463"/>
        <item x="545"/>
        <item x="631"/>
        <item x="85"/>
        <item x="398"/>
        <item x="583"/>
        <item x="516"/>
        <item x="391"/>
        <item x="624"/>
        <item x="644"/>
        <item x="204"/>
        <item x="278"/>
        <item x="142"/>
        <item x="162"/>
        <item x="416"/>
        <item x="507"/>
        <item x="4"/>
        <item x="363"/>
        <item x="308"/>
        <item x="423"/>
        <item x="47"/>
        <item x="11"/>
        <item x="561"/>
        <item x="633"/>
        <item x="127"/>
        <item x="143"/>
        <item x="515"/>
        <item x="446"/>
        <item x="312"/>
        <item x="262"/>
        <item x="509"/>
        <item x="374"/>
        <item x="566"/>
        <item x="530"/>
        <item x="125"/>
        <item x="383"/>
        <item x="359"/>
        <item x="46"/>
        <item x="191"/>
        <item x="212"/>
        <item x="202"/>
        <item x="268"/>
        <item x="568"/>
        <item x="667"/>
        <item x="632"/>
        <item x="170"/>
        <item x="389"/>
        <item x="289"/>
        <item x="6"/>
        <item x="313"/>
        <item x="121"/>
        <item x="506"/>
        <item x="670"/>
        <item x="589"/>
        <item x="76"/>
        <item x="457"/>
        <item x="315"/>
        <item x="317"/>
        <item x="441"/>
        <item x="422"/>
        <item x="149"/>
        <item x="145"/>
        <item x="344"/>
        <item x="70"/>
        <item x="451"/>
        <item x="136"/>
        <item x="207"/>
        <item x="78"/>
        <item x="203"/>
        <item x="195"/>
        <item x="182"/>
        <item x="175"/>
        <item x="478"/>
        <item x="524"/>
        <item x="622"/>
        <item x="424"/>
        <item x="223"/>
        <item x="109"/>
        <item x="97"/>
        <item x="93"/>
        <item x="625"/>
        <item x="547"/>
        <item x="558"/>
        <item x="396"/>
        <item x="77"/>
        <item x="505"/>
        <item x="556"/>
        <item x="500"/>
        <item x="304"/>
        <item x="55"/>
        <item x="490"/>
        <item x="435"/>
        <item x="604"/>
        <item x="159"/>
        <item x="431"/>
        <item x="531"/>
        <item x="673"/>
        <item x="133"/>
        <item x="598"/>
        <item x="246"/>
        <item x="525"/>
        <item x="674"/>
        <item x="244"/>
        <item x="295"/>
        <item x="585"/>
        <item x="94"/>
        <item x="482"/>
        <item x="565"/>
        <item x="664"/>
        <item x="340"/>
        <item x="256"/>
        <item x="349"/>
        <item x="433"/>
        <item x="302"/>
        <item x="123"/>
        <item x="178"/>
        <item x="265"/>
        <item x="193"/>
        <item x="211"/>
        <item x="286"/>
        <item x="400"/>
        <item x="237"/>
        <item x="477"/>
        <item x="64"/>
        <item x="139"/>
        <item x="640"/>
        <item x="638"/>
        <item x="379"/>
        <item x="661"/>
        <item x="25"/>
        <item x="42"/>
        <item x="437"/>
        <item x="284"/>
        <item x="519"/>
        <item x="296"/>
        <item x="96"/>
        <item x="138"/>
        <item x="513"/>
        <item x="554"/>
        <item x="412"/>
        <item x="270"/>
        <item x="229"/>
        <item x="213"/>
        <item x="611"/>
        <item x="98"/>
        <item x="415"/>
        <item x="273"/>
        <item x="443"/>
        <item x="427"/>
        <item x="107"/>
        <item x="146"/>
        <item x="309"/>
        <item x="410"/>
        <item t="default"/>
      </items>
    </pivotField>
    <pivotField showAll="0"/>
    <pivotField showAll="0"/>
    <pivotField showAll="0"/>
    <pivotField showAll="0"/>
    <pivotField axis="axisRow" showAll="0">
      <items count="7">
        <item x="5"/>
        <item x="1"/>
        <item x="2"/>
        <item x="0"/>
        <item x="3"/>
        <item x="4"/>
        <item t="default"/>
      </items>
    </pivotField>
    <pivotField showAll="0">
      <items count="7">
        <item x="4"/>
        <item x="1"/>
        <item x="0"/>
        <item x="5"/>
        <item x="2"/>
        <item x="3"/>
        <item t="default"/>
      </items>
    </pivotField>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6"/>
  </rowFields>
  <rowItems count="7">
    <i>
      <x/>
    </i>
    <i>
      <x v="1"/>
    </i>
    <i>
      <x v="2"/>
    </i>
    <i>
      <x v="3"/>
    </i>
    <i>
      <x v="4"/>
    </i>
    <i>
      <x v="5"/>
    </i>
    <i t="grand">
      <x/>
    </i>
  </rowItems>
  <colItems count="1">
    <i/>
  </colItems>
  <dataFields count="1">
    <dataField name="Sum of Net Sales" fld="14" baseField="0" baseItem="0"/>
  </dataFields>
  <chartFormats count="4">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6" count="1" selected="0">
            <x v="0"/>
          </reference>
        </references>
      </pivotArea>
    </chartFormat>
    <chartFormat chart="11" format="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2229EA-5F2F-4312-9C31-AA4983FB36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B17" firstHeaderRow="1" firstDataRow="1" firstDataCol="1"/>
  <pivotFields count="18">
    <pivotField showAll="0"/>
    <pivotField numFmtId="164" showAll="0">
      <items count="676">
        <item x="328"/>
        <item x="155"/>
        <item x="419"/>
        <item x="559"/>
        <item x="653"/>
        <item x="117"/>
        <item x="22"/>
        <item x="355"/>
        <item x="169"/>
        <item x="366"/>
        <item x="186"/>
        <item x="108"/>
        <item x="637"/>
        <item x="303"/>
        <item x="619"/>
        <item x="234"/>
        <item x="648"/>
        <item x="222"/>
        <item x="59"/>
        <item x="69"/>
        <item x="461"/>
        <item x="623"/>
        <item x="527"/>
        <item x="617"/>
        <item x="626"/>
        <item x="285"/>
        <item x="104"/>
        <item x="480"/>
        <item x="350"/>
        <item x="364"/>
        <item x="61"/>
        <item x="81"/>
        <item x="255"/>
        <item x="414"/>
        <item x="537"/>
        <item x="89"/>
        <item x="576"/>
        <item x="291"/>
        <item x="150"/>
        <item x="24"/>
        <item x="148"/>
        <item x="72"/>
        <item x="574"/>
        <item x="118"/>
        <item x="458"/>
        <item x="386"/>
        <item x="577"/>
        <item x="407"/>
        <item x="345"/>
        <item x="521"/>
        <item x="297"/>
        <item x="529"/>
        <item x="394"/>
        <item x="628"/>
        <item x="450"/>
        <item x="448"/>
        <item x="453"/>
        <item x="199"/>
        <item x="16"/>
        <item x="189"/>
        <item x="544"/>
        <item x="40"/>
        <item x="236"/>
        <item x="517"/>
        <item x="20"/>
        <item x="137"/>
        <item x="197"/>
        <item x="205"/>
        <item x="287"/>
        <item x="481"/>
        <item x="456"/>
        <item x="369"/>
        <item x="67"/>
        <item x="279"/>
        <item x="132"/>
        <item x="301"/>
        <item x="334"/>
        <item x="231"/>
        <item x="360"/>
        <item x="342"/>
        <item x="232"/>
        <item x="53"/>
        <item x="337"/>
        <item x="538"/>
        <item x="151"/>
        <item x="634"/>
        <item x="608"/>
        <item x="641"/>
        <item x="101"/>
        <item x="646"/>
        <item x="228"/>
        <item x="263"/>
        <item x="235"/>
        <item x="196"/>
        <item x="112"/>
        <item x="74"/>
        <item x="663"/>
        <item x="650"/>
        <item x="276"/>
        <item x="29"/>
        <item x="654"/>
        <item x="323"/>
        <item x="635"/>
        <item x="397"/>
        <item x="378"/>
        <item x="330"/>
        <item x="329"/>
        <item x="395"/>
        <item x="221"/>
        <item x="588"/>
        <item x="62"/>
        <item x="267"/>
        <item x="579"/>
        <item x="258"/>
        <item x="669"/>
        <item x="607"/>
        <item x="271"/>
        <item x="66"/>
        <item x="90"/>
        <item x="580"/>
        <item x="357"/>
        <item x="570"/>
        <item x="314"/>
        <item x="277"/>
        <item x="37"/>
        <item x="511"/>
        <item x="254"/>
        <item x="459"/>
        <item x="174"/>
        <item x="185"/>
        <item x="343"/>
        <item x="656"/>
        <item x="499"/>
        <item x="430"/>
        <item x="322"/>
        <item x="52"/>
        <item x="27"/>
        <item x="572"/>
        <item x="371"/>
        <item x="384"/>
        <item x="168"/>
        <item x="225"/>
        <item x="497"/>
        <item x="489"/>
        <item x="187"/>
        <item x="147"/>
        <item x="324"/>
        <item x="510"/>
        <item x="629"/>
        <item x="299"/>
        <item x="534"/>
        <item x="15"/>
        <item x="542"/>
        <item x="103"/>
        <item x="603"/>
        <item x="543"/>
        <item x="332"/>
        <item x="347"/>
        <item x="0"/>
        <item x="181"/>
        <item x="494"/>
        <item x="274"/>
        <item x="102"/>
        <item x="216"/>
        <item x="122"/>
        <item x="28"/>
        <item x="215"/>
        <item x="8"/>
        <item x="353"/>
        <item x="440"/>
        <item x="30"/>
        <item x="106"/>
        <item x="425"/>
        <item x="426"/>
        <item x="402"/>
        <item x="275"/>
        <item x="39"/>
        <item x="1"/>
        <item x="100"/>
        <item x="247"/>
        <item x="595"/>
        <item x="375"/>
        <item x="33"/>
        <item x="487"/>
        <item x="71"/>
        <item x="560"/>
        <item x="239"/>
        <item x="618"/>
        <item x="157"/>
        <item x="476"/>
        <item x="176"/>
        <item x="5"/>
        <item x="249"/>
        <item x="358"/>
        <item x="333"/>
        <item x="87"/>
        <item x="593"/>
        <item x="514"/>
        <item x="429"/>
        <item x="58"/>
        <item x="567"/>
        <item x="388"/>
        <item x="526"/>
        <item x="390"/>
        <item x="54"/>
        <item x="130"/>
        <item x="266"/>
        <item x="261"/>
        <item x="621"/>
        <item x="418"/>
        <item x="140"/>
        <item x="177"/>
        <item x="562"/>
        <item x="128"/>
        <item x="115"/>
        <item x="401"/>
        <item x="411"/>
        <item x="227"/>
        <item x="428"/>
        <item x="348"/>
        <item x="243"/>
        <item x="479"/>
        <item x="335"/>
        <item x="528"/>
        <item x="346"/>
        <item x="226"/>
        <item x="135"/>
        <item x="382"/>
        <item x="645"/>
        <item x="21"/>
        <item x="439"/>
        <item x="616"/>
        <item x="592"/>
        <item x="283"/>
        <item x="160"/>
        <item x="496"/>
        <item x="41"/>
        <item x="316"/>
        <item x="82"/>
        <item x="444"/>
        <item x="659"/>
        <item x="606"/>
        <item x="152"/>
        <item x="164"/>
        <item x="252"/>
        <item x="264"/>
        <item x="153"/>
        <item x="470"/>
        <item x="540"/>
        <item x="434"/>
        <item x="220"/>
        <item x="259"/>
        <item x="79"/>
        <item x="468"/>
        <item x="48"/>
        <item x="586"/>
        <item x="442"/>
        <item x="105"/>
        <item x="590"/>
        <item x="668"/>
        <item x="609"/>
        <item x="63"/>
        <item x="156"/>
        <item x="144"/>
        <item x="578"/>
        <item x="31"/>
        <item x="377"/>
        <item x="292"/>
        <item x="306"/>
        <item x="627"/>
        <item x="238"/>
        <item x="447"/>
        <item x="599"/>
        <item x="172"/>
        <item x="466"/>
        <item x="260"/>
        <item x="406"/>
        <item x="253"/>
        <item x="351"/>
        <item x="557"/>
        <item x="536"/>
        <item x="486"/>
        <item x="665"/>
        <item x="80"/>
        <item x="339"/>
        <item x="218"/>
        <item x="32"/>
        <item x="280"/>
        <item x="493"/>
        <item x="141"/>
        <item x="532"/>
        <item x="51"/>
        <item x="581"/>
        <item x="512"/>
        <item x="354"/>
        <item x="454"/>
        <item x="370"/>
        <item x="421"/>
        <item x="643"/>
        <item x="26"/>
        <item x="602"/>
        <item x="503"/>
        <item x="290"/>
        <item x="651"/>
        <item x="129"/>
        <item x="120"/>
        <item x="367"/>
        <item x="520"/>
        <item x="298"/>
        <item x="563"/>
        <item x="269"/>
        <item x="161"/>
        <item x="372"/>
        <item x="154"/>
        <item x="242"/>
        <item x="307"/>
        <item x="671"/>
        <item x="12"/>
        <item x="356"/>
        <item x="549"/>
        <item x="7"/>
        <item x="45"/>
        <item x="647"/>
        <item x="403"/>
        <item x="413"/>
        <item x="294"/>
        <item x="571"/>
        <item x="56"/>
        <item x="492"/>
        <item x="338"/>
        <item x="488"/>
        <item x="660"/>
        <item x="471"/>
        <item x="190"/>
        <item x="305"/>
        <item x="498"/>
        <item x="13"/>
        <item x="321"/>
        <item x="206"/>
        <item x="300"/>
        <item x="417"/>
        <item x="95"/>
        <item x="44"/>
        <item x="465"/>
        <item x="336"/>
        <item x="361"/>
        <item x="546"/>
        <item x="209"/>
        <item x="376"/>
        <item x="362"/>
        <item x="281"/>
        <item x="495"/>
        <item x="569"/>
        <item x="240"/>
        <item x="405"/>
        <item x="462"/>
        <item x="636"/>
        <item x="404"/>
        <item x="18"/>
        <item x="341"/>
        <item x="75"/>
        <item x="327"/>
        <item x="553"/>
        <item x="649"/>
        <item x="9"/>
        <item x="552"/>
        <item x="43"/>
        <item x="326"/>
        <item x="68"/>
        <item x="472"/>
        <item x="325"/>
        <item x="257"/>
        <item x="214"/>
        <item x="596"/>
        <item x="535"/>
        <item x="600"/>
        <item x="208"/>
        <item x="432"/>
        <item x="91"/>
        <item x="615"/>
        <item x="65"/>
        <item x="201"/>
        <item x="452"/>
        <item x="518"/>
        <item x="445"/>
        <item x="539"/>
        <item x="124"/>
        <item x="485"/>
        <item x="460"/>
        <item x="293"/>
        <item x="331"/>
        <item x="183"/>
        <item x="171"/>
        <item x="288"/>
        <item x="657"/>
        <item x="672"/>
        <item x="17"/>
        <item x="219"/>
        <item x="88"/>
        <item x="475"/>
        <item x="165"/>
        <item x="420"/>
        <item x="119"/>
        <item x="233"/>
        <item x="180"/>
        <item x="381"/>
        <item x="467"/>
        <item x="111"/>
        <item x="23"/>
        <item x="613"/>
        <item x="548"/>
        <item x="50"/>
        <item x="483"/>
        <item x="230"/>
        <item x="612"/>
        <item x="652"/>
        <item x="393"/>
        <item x="655"/>
        <item x="491"/>
        <item x="83"/>
        <item x="551"/>
        <item x="282"/>
        <item x="484"/>
        <item x="92"/>
        <item x="163"/>
        <item x="34"/>
        <item x="368"/>
        <item x="387"/>
        <item x="469"/>
        <item x="573"/>
        <item x="248"/>
        <item x="131"/>
        <item x="365"/>
        <item x="464"/>
        <item x="594"/>
        <item x="84"/>
        <item x="126"/>
        <item x="134"/>
        <item x="319"/>
        <item x="550"/>
        <item x="224"/>
        <item x="399"/>
        <item x="57"/>
        <item x="455"/>
        <item x="38"/>
        <item x="610"/>
        <item x="385"/>
        <item x="114"/>
        <item x="436"/>
        <item x="110"/>
        <item x="620"/>
        <item x="192"/>
        <item x="449"/>
        <item x="639"/>
        <item x="541"/>
        <item x="36"/>
        <item x="99"/>
        <item x="272"/>
        <item x="113"/>
        <item x="605"/>
        <item x="409"/>
        <item x="630"/>
        <item x="311"/>
        <item x="3"/>
        <item x="601"/>
        <item x="666"/>
        <item x="373"/>
        <item x="166"/>
        <item x="662"/>
        <item x="522"/>
        <item x="523"/>
        <item x="587"/>
        <item x="582"/>
        <item x="19"/>
        <item x="575"/>
        <item x="438"/>
        <item x="392"/>
        <item x="60"/>
        <item x="184"/>
        <item x="584"/>
        <item x="173"/>
        <item x="210"/>
        <item x="179"/>
        <item x="49"/>
        <item x="508"/>
        <item x="73"/>
        <item x="501"/>
        <item x="245"/>
        <item x="502"/>
        <item x="116"/>
        <item x="591"/>
        <item x="597"/>
        <item x="318"/>
        <item x="251"/>
        <item x="533"/>
        <item x="10"/>
        <item x="198"/>
        <item x="2"/>
        <item x="310"/>
        <item x="167"/>
        <item x="642"/>
        <item x="564"/>
        <item x="380"/>
        <item x="320"/>
        <item x="473"/>
        <item x="250"/>
        <item x="217"/>
        <item x="555"/>
        <item x="188"/>
        <item x="241"/>
        <item x="35"/>
        <item x="474"/>
        <item x="352"/>
        <item x="408"/>
        <item x="14"/>
        <item x="86"/>
        <item x="658"/>
        <item x="504"/>
        <item x="614"/>
        <item x="194"/>
        <item x="158"/>
        <item x="200"/>
        <item x="463"/>
        <item x="545"/>
        <item x="631"/>
        <item x="85"/>
        <item x="398"/>
        <item x="583"/>
        <item x="516"/>
        <item x="391"/>
        <item x="624"/>
        <item x="644"/>
        <item x="204"/>
        <item x="278"/>
        <item x="142"/>
        <item x="162"/>
        <item x="416"/>
        <item x="507"/>
        <item x="4"/>
        <item x="363"/>
        <item x="308"/>
        <item x="423"/>
        <item x="47"/>
        <item x="11"/>
        <item x="561"/>
        <item x="633"/>
        <item x="127"/>
        <item x="143"/>
        <item x="515"/>
        <item x="446"/>
        <item x="312"/>
        <item x="262"/>
        <item x="509"/>
        <item x="374"/>
        <item x="566"/>
        <item x="530"/>
        <item x="125"/>
        <item x="383"/>
        <item x="359"/>
        <item x="46"/>
        <item x="191"/>
        <item x="212"/>
        <item x="202"/>
        <item x="268"/>
        <item x="568"/>
        <item x="667"/>
        <item x="632"/>
        <item x="170"/>
        <item x="389"/>
        <item x="289"/>
        <item x="6"/>
        <item x="313"/>
        <item x="121"/>
        <item x="506"/>
        <item x="670"/>
        <item x="589"/>
        <item x="76"/>
        <item x="457"/>
        <item x="315"/>
        <item x="317"/>
        <item x="441"/>
        <item x="422"/>
        <item x="149"/>
        <item x="145"/>
        <item x="344"/>
        <item x="70"/>
        <item x="451"/>
        <item x="136"/>
        <item x="207"/>
        <item x="78"/>
        <item x="203"/>
        <item x="195"/>
        <item x="182"/>
        <item x="175"/>
        <item x="478"/>
        <item x="524"/>
        <item x="622"/>
        <item x="424"/>
        <item x="223"/>
        <item x="109"/>
        <item x="97"/>
        <item x="93"/>
        <item x="625"/>
        <item x="547"/>
        <item x="558"/>
        <item x="396"/>
        <item x="77"/>
        <item x="505"/>
        <item x="556"/>
        <item x="500"/>
        <item x="304"/>
        <item x="55"/>
        <item x="490"/>
        <item x="435"/>
        <item x="604"/>
        <item x="159"/>
        <item x="431"/>
        <item x="531"/>
        <item x="673"/>
        <item x="133"/>
        <item x="598"/>
        <item x="246"/>
        <item x="525"/>
        <item x="674"/>
        <item x="244"/>
        <item x="295"/>
        <item x="585"/>
        <item x="94"/>
        <item x="482"/>
        <item x="565"/>
        <item x="664"/>
        <item x="340"/>
        <item x="256"/>
        <item x="349"/>
        <item x="433"/>
        <item x="302"/>
        <item x="123"/>
        <item x="178"/>
        <item x="265"/>
        <item x="193"/>
        <item x="211"/>
        <item x="286"/>
        <item x="400"/>
        <item x="237"/>
        <item x="477"/>
        <item x="64"/>
        <item x="139"/>
        <item x="640"/>
        <item x="638"/>
        <item x="379"/>
        <item x="661"/>
        <item x="25"/>
        <item x="42"/>
        <item x="437"/>
        <item x="284"/>
        <item x="519"/>
        <item x="296"/>
        <item x="96"/>
        <item x="138"/>
        <item x="513"/>
        <item x="554"/>
        <item x="412"/>
        <item x="270"/>
        <item x="229"/>
        <item x="213"/>
        <item x="611"/>
        <item x="98"/>
        <item x="415"/>
        <item x="273"/>
        <item x="443"/>
        <item x="427"/>
        <item x="107"/>
        <item x="146"/>
        <item x="309"/>
        <item x="410"/>
        <item t="default"/>
      </items>
    </pivotField>
    <pivotField showAll="0"/>
    <pivotField showAll="0"/>
    <pivotField showAll="0"/>
    <pivotField showAll="0"/>
    <pivotField showAll="0">
      <items count="7">
        <item x="5"/>
        <item x="1"/>
        <item x="2"/>
        <item x="0"/>
        <item x="3"/>
        <item x="4"/>
        <item t="default"/>
      </items>
    </pivotField>
    <pivotField showAll="0">
      <items count="7">
        <item x="4"/>
        <item x="1"/>
        <item x="0"/>
        <item x="5"/>
        <item x="2"/>
        <item x="3"/>
        <item t="default"/>
      </items>
    </pivotField>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Net Sales" fld="14"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625C30-FCC2-4C26-A315-F8F35C90FC2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B8" firstHeaderRow="1" firstDataRow="1" firstDataCol="1"/>
  <pivotFields count="18">
    <pivotField showAll="0"/>
    <pivotField numFmtId="164" showAll="0">
      <items count="676">
        <item x="328"/>
        <item x="155"/>
        <item x="419"/>
        <item x="559"/>
        <item x="653"/>
        <item x="117"/>
        <item x="22"/>
        <item x="355"/>
        <item x="169"/>
        <item x="366"/>
        <item x="186"/>
        <item x="108"/>
        <item x="637"/>
        <item x="303"/>
        <item x="619"/>
        <item x="234"/>
        <item x="648"/>
        <item x="222"/>
        <item x="59"/>
        <item x="69"/>
        <item x="461"/>
        <item x="623"/>
        <item x="527"/>
        <item x="617"/>
        <item x="626"/>
        <item x="285"/>
        <item x="104"/>
        <item x="480"/>
        <item x="350"/>
        <item x="364"/>
        <item x="61"/>
        <item x="81"/>
        <item x="255"/>
        <item x="414"/>
        <item x="537"/>
        <item x="89"/>
        <item x="576"/>
        <item x="291"/>
        <item x="150"/>
        <item x="24"/>
        <item x="148"/>
        <item x="72"/>
        <item x="574"/>
        <item x="118"/>
        <item x="458"/>
        <item x="386"/>
        <item x="577"/>
        <item x="407"/>
        <item x="345"/>
        <item x="521"/>
        <item x="297"/>
        <item x="529"/>
        <item x="394"/>
        <item x="628"/>
        <item x="450"/>
        <item x="448"/>
        <item x="453"/>
        <item x="199"/>
        <item x="16"/>
        <item x="189"/>
        <item x="544"/>
        <item x="40"/>
        <item x="236"/>
        <item x="517"/>
        <item x="20"/>
        <item x="137"/>
        <item x="197"/>
        <item x="205"/>
        <item x="287"/>
        <item x="481"/>
        <item x="456"/>
        <item x="369"/>
        <item x="67"/>
        <item x="279"/>
        <item x="132"/>
        <item x="301"/>
        <item x="334"/>
        <item x="231"/>
        <item x="360"/>
        <item x="342"/>
        <item x="232"/>
        <item x="53"/>
        <item x="337"/>
        <item x="538"/>
        <item x="151"/>
        <item x="634"/>
        <item x="608"/>
        <item x="641"/>
        <item x="101"/>
        <item x="646"/>
        <item x="228"/>
        <item x="263"/>
        <item x="235"/>
        <item x="196"/>
        <item x="112"/>
        <item x="74"/>
        <item x="663"/>
        <item x="650"/>
        <item x="276"/>
        <item x="29"/>
        <item x="654"/>
        <item x="323"/>
        <item x="635"/>
        <item x="397"/>
        <item x="378"/>
        <item x="330"/>
        <item x="329"/>
        <item x="395"/>
        <item x="221"/>
        <item x="588"/>
        <item x="62"/>
        <item x="267"/>
        <item x="579"/>
        <item x="258"/>
        <item x="669"/>
        <item x="607"/>
        <item x="271"/>
        <item x="66"/>
        <item x="90"/>
        <item x="580"/>
        <item x="357"/>
        <item x="570"/>
        <item x="314"/>
        <item x="277"/>
        <item x="37"/>
        <item x="511"/>
        <item x="254"/>
        <item x="459"/>
        <item x="174"/>
        <item x="185"/>
        <item x="343"/>
        <item x="656"/>
        <item x="499"/>
        <item x="430"/>
        <item x="322"/>
        <item x="52"/>
        <item x="27"/>
        <item x="572"/>
        <item x="371"/>
        <item x="384"/>
        <item x="168"/>
        <item x="225"/>
        <item x="497"/>
        <item x="489"/>
        <item x="187"/>
        <item x="147"/>
        <item x="324"/>
        <item x="510"/>
        <item x="629"/>
        <item x="299"/>
        <item x="534"/>
        <item x="15"/>
        <item x="542"/>
        <item x="103"/>
        <item x="603"/>
        <item x="543"/>
        <item x="332"/>
        <item x="347"/>
        <item x="0"/>
        <item x="181"/>
        <item x="494"/>
        <item x="274"/>
        <item x="102"/>
        <item x="216"/>
        <item x="122"/>
        <item x="28"/>
        <item x="215"/>
        <item x="8"/>
        <item x="353"/>
        <item x="440"/>
        <item x="30"/>
        <item x="106"/>
        <item x="425"/>
        <item x="426"/>
        <item x="402"/>
        <item x="275"/>
        <item x="39"/>
        <item x="1"/>
        <item x="100"/>
        <item x="247"/>
        <item x="595"/>
        <item x="375"/>
        <item x="33"/>
        <item x="487"/>
        <item x="71"/>
        <item x="560"/>
        <item x="239"/>
        <item x="618"/>
        <item x="157"/>
        <item x="476"/>
        <item x="176"/>
        <item x="5"/>
        <item x="249"/>
        <item x="358"/>
        <item x="333"/>
        <item x="87"/>
        <item x="593"/>
        <item x="514"/>
        <item x="429"/>
        <item x="58"/>
        <item x="567"/>
        <item x="388"/>
        <item x="526"/>
        <item x="390"/>
        <item x="54"/>
        <item x="130"/>
        <item x="266"/>
        <item x="261"/>
        <item x="621"/>
        <item x="418"/>
        <item x="140"/>
        <item x="177"/>
        <item x="562"/>
        <item x="128"/>
        <item x="115"/>
        <item x="401"/>
        <item x="411"/>
        <item x="227"/>
        <item x="428"/>
        <item x="348"/>
        <item x="243"/>
        <item x="479"/>
        <item x="335"/>
        <item x="528"/>
        <item x="346"/>
        <item x="226"/>
        <item x="135"/>
        <item x="382"/>
        <item x="645"/>
        <item x="21"/>
        <item x="439"/>
        <item x="616"/>
        <item x="592"/>
        <item x="283"/>
        <item x="160"/>
        <item x="496"/>
        <item x="41"/>
        <item x="316"/>
        <item x="82"/>
        <item x="444"/>
        <item x="659"/>
        <item x="606"/>
        <item x="152"/>
        <item x="164"/>
        <item x="252"/>
        <item x="264"/>
        <item x="153"/>
        <item x="470"/>
        <item x="540"/>
        <item x="434"/>
        <item x="220"/>
        <item x="259"/>
        <item x="79"/>
        <item x="468"/>
        <item x="48"/>
        <item x="586"/>
        <item x="442"/>
        <item x="105"/>
        <item x="590"/>
        <item x="668"/>
        <item x="609"/>
        <item x="63"/>
        <item x="156"/>
        <item x="144"/>
        <item x="578"/>
        <item x="31"/>
        <item x="377"/>
        <item x="292"/>
        <item x="306"/>
        <item x="627"/>
        <item x="238"/>
        <item x="447"/>
        <item x="599"/>
        <item x="172"/>
        <item x="466"/>
        <item x="260"/>
        <item x="406"/>
        <item x="253"/>
        <item x="351"/>
        <item x="557"/>
        <item x="536"/>
        <item x="486"/>
        <item x="665"/>
        <item x="80"/>
        <item x="339"/>
        <item x="218"/>
        <item x="32"/>
        <item x="280"/>
        <item x="493"/>
        <item x="141"/>
        <item x="532"/>
        <item x="51"/>
        <item x="581"/>
        <item x="512"/>
        <item x="354"/>
        <item x="454"/>
        <item x="370"/>
        <item x="421"/>
        <item x="643"/>
        <item x="26"/>
        <item x="602"/>
        <item x="503"/>
        <item x="290"/>
        <item x="651"/>
        <item x="129"/>
        <item x="120"/>
        <item x="367"/>
        <item x="520"/>
        <item x="298"/>
        <item x="563"/>
        <item x="269"/>
        <item x="161"/>
        <item x="372"/>
        <item x="154"/>
        <item x="242"/>
        <item x="307"/>
        <item x="671"/>
        <item x="12"/>
        <item x="356"/>
        <item x="549"/>
        <item x="7"/>
        <item x="45"/>
        <item x="647"/>
        <item x="403"/>
        <item x="413"/>
        <item x="294"/>
        <item x="571"/>
        <item x="56"/>
        <item x="492"/>
        <item x="338"/>
        <item x="488"/>
        <item x="660"/>
        <item x="471"/>
        <item x="190"/>
        <item x="305"/>
        <item x="498"/>
        <item x="13"/>
        <item x="321"/>
        <item x="206"/>
        <item x="300"/>
        <item x="417"/>
        <item x="95"/>
        <item x="44"/>
        <item x="465"/>
        <item x="336"/>
        <item x="361"/>
        <item x="546"/>
        <item x="209"/>
        <item x="376"/>
        <item x="362"/>
        <item x="281"/>
        <item x="495"/>
        <item x="569"/>
        <item x="240"/>
        <item x="405"/>
        <item x="462"/>
        <item x="636"/>
        <item x="404"/>
        <item x="18"/>
        <item x="341"/>
        <item x="75"/>
        <item x="327"/>
        <item x="553"/>
        <item x="649"/>
        <item x="9"/>
        <item x="552"/>
        <item x="43"/>
        <item x="326"/>
        <item x="68"/>
        <item x="472"/>
        <item x="325"/>
        <item x="257"/>
        <item x="214"/>
        <item x="596"/>
        <item x="535"/>
        <item x="600"/>
        <item x="208"/>
        <item x="432"/>
        <item x="91"/>
        <item x="615"/>
        <item x="65"/>
        <item x="201"/>
        <item x="452"/>
        <item x="518"/>
        <item x="445"/>
        <item x="539"/>
        <item x="124"/>
        <item x="485"/>
        <item x="460"/>
        <item x="293"/>
        <item x="331"/>
        <item x="183"/>
        <item x="171"/>
        <item x="288"/>
        <item x="657"/>
        <item x="672"/>
        <item x="17"/>
        <item x="219"/>
        <item x="88"/>
        <item x="475"/>
        <item x="165"/>
        <item x="420"/>
        <item x="119"/>
        <item x="233"/>
        <item x="180"/>
        <item x="381"/>
        <item x="467"/>
        <item x="111"/>
        <item x="23"/>
        <item x="613"/>
        <item x="548"/>
        <item x="50"/>
        <item x="483"/>
        <item x="230"/>
        <item x="612"/>
        <item x="652"/>
        <item x="393"/>
        <item x="655"/>
        <item x="491"/>
        <item x="83"/>
        <item x="551"/>
        <item x="282"/>
        <item x="484"/>
        <item x="92"/>
        <item x="163"/>
        <item x="34"/>
        <item x="368"/>
        <item x="387"/>
        <item x="469"/>
        <item x="573"/>
        <item x="248"/>
        <item x="131"/>
        <item x="365"/>
        <item x="464"/>
        <item x="594"/>
        <item x="84"/>
        <item x="126"/>
        <item x="134"/>
        <item x="319"/>
        <item x="550"/>
        <item x="224"/>
        <item x="399"/>
        <item x="57"/>
        <item x="455"/>
        <item x="38"/>
        <item x="610"/>
        <item x="385"/>
        <item x="114"/>
        <item x="436"/>
        <item x="110"/>
        <item x="620"/>
        <item x="192"/>
        <item x="449"/>
        <item x="639"/>
        <item x="541"/>
        <item x="36"/>
        <item x="99"/>
        <item x="272"/>
        <item x="113"/>
        <item x="605"/>
        <item x="409"/>
        <item x="630"/>
        <item x="311"/>
        <item x="3"/>
        <item x="601"/>
        <item x="666"/>
        <item x="373"/>
        <item x="166"/>
        <item x="662"/>
        <item x="522"/>
        <item x="523"/>
        <item x="587"/>
        <item x="582"/>
        <item x="19"/>
        <item x="575"/>
        <item x="438"/>
        <item x="392"/>
        <item x="60"/>
        <item x="184"/>
        <item x="584"/>
        <item x="173"/>
        <item x="210"/>
        <item x="179"/>
        <item x="49"/>
        <item x="508"/>
        <item x="73"/>
        <item x="501"/>
        <item x="245"/>
        <item x="502"/>
        <item x="116"/>
        <item x="591"/>
        <item x="597"/>
        <item x="318"/>
        <item x="251"/>
        <item x="533"/>
        <item x="10"/>
        <item x="198"/>
        <item x="2"/>
        <item x="310"/>
        <item x="167"/>
        <item x="642"/>
        <item x="564"/>
        <item x="380"/>
        <item x="320"/>
        <item x="473"/>
        <item x="250"/>
        <item x="217"/>
        <item x="555"/>
        <item x="188"/>
        <item x="241"/>
        <item x="35"/>
        <item x="474"/>
        <item x="352"/>
        <item x="408"/>
        <item x="14"/>
        <item x="86"/>
        <item x="658"/>
        <item x="504"/>
        <item x="614"/>
        <item x="194"/>
        <item x="158"/>
        <item x="200"/>
        <item x="463"/>
        <item x="545"/>
        <item x="631"/>
        <item x="85"/>
        <item x="398"/>
        <item x="583"/>
        <item x="516"/>
        <item x="391"/>
        <item x="624"/>
        <item x="644"/>
        <item x="204"/>
        <item x="278"/>
        <item x="142"/>
        <item x="162"/>
        <item x="416"/>
        <item x="507"/>
        <item x="4"/>
        <item x="363"/>
        <item x="308"/>
        <item x="423"/>
        <item x="47"/>
        <item x="11"/>
        <item x="561"/>
        <item x="633"/>
        <item x="127"/>
        <item x="143"/>
        <item x="515"/>
        <item x="446"/>
        <item x="312"/>
        <item x="262"/>
        <item x="509"/>
        <item x="374"/>
        <item x="566"/>
        <item x="530"/>
        <item x="125"/>
        <item x="383"/>
        <item x="359"/>
        <item x="46"/>
        <item x="191"/>
        <item x="212"/>
        <item x="202"/>
        <item x="268"/>
        <item x="568"/>
        <item x="667"/>
        <item x="632"/>
        <item x="170"/>
        <item x="389"/>
        <item x="289"/>
        <item x="6"/>
        <item x="313"/>
        <item x="121"/>
        <item x="506"/>
        <item x="670"/>
        <item x="589"/>
        <item x="76"/>
        <item x="457"/>
        <item x="315"/>
        <item x="317"/>
        <item x="441"/>
        <item x="422"/>
        <item x="149"/>
        <item x="145"/>
        <item x="344"/>
        <item x="70"/>
        <item x="451"/>
        <item x="136"/>
        <item x="207"/>
        <item x="78"/>
        <item x="203"/>
        <item x="195"/>
        <item x="182"/>
        <item x="175"/>
        <item x="478"/>
        <item x="524"/>
        <item x="622"/>
        <item x="424"/>
        <item x="223"/>
        <item x="109"/>
        <item x="97"/>
        <item x="93"/>
        <item x="625"/>
        <item x="547"/>
        <item x="558"/>
        <item x="396"/>
        <item x="77"/>
        <item x="505"/>
        <item x="556"/>
        <item x="500"/>
        <item x="304"/>
        <item x="55"/>
        <item x="490"/>
        <item x="435"/>
        <item x="604"/>
        <item x="159"/>
        <item x="431"/>
        <item x="531"/>
        <item x="673"/>
        <item x="133"/>
        <item x="598"/>
        <item x="246"/>
        <item x="525"/>
        <item x="674"/>
        <item x="244"/>
        <item x="295"/>
        <item x="585"/>
        <item x="94"/>
        <item x="482"/>
        <item x="565"/>
        <item x="664"/>
        <item x="340"/>
        <item x="256"/>
        <item x="349"/>
        <item x="433"/>
        <item x="302"/>
        <item x="123"/>
        <item x="178"/>
        <item x="265"/>
        <item x="193"/>
        <item x="211"/>
        <item x="286"/>
        <item x="400"/>
        <item x="237"/>
        <item x="477"/>
        <item x="64"/>
        <item x="139"/>
        <item x="640"/>
        <item x="638"/>
        <item x="379"/>
        <item x="661"/>
        <item x="25"/>
        <item x="42"/>
        <item x="437"/>
        <item x="284"/>
        <item x="519"/>
        <item x="296"/>
        <item x="96"/>
        <item x="138"/>
        <item x="513"/>
        <item x="554"/>
        <item x="412"/>
        <item x="270"/>
        <item x="229"/>
        <item x="213"/>
        <item x="611"/>
        <item x="98"/>
        <item x="415"/>
        <item x="273"/>
        <item x="443"/>
        <item x="427"/>
        <item x="107"/>
        <item x="146"/>
        <item x="309"/>
        <item x="410"/>
        <item t="default"/>
      </items>
    </pivotField>
    <pivotField showAll="0"/>
    <pivotField axis="axisRow" showAll="0">
      <items count="3">
        <item x="0"/>
        <item x="1"/>
        <item t="default"/>
      </items>
    </pivotField>
    <pivotField showAll="0"/>
    <pivotField showAll="0"/>
    <pivotField showAll="0">
      <items count="7">
        <item x="5"/>
        <item x="1"/>
        <item x="2"/>
        <item x="0"/>
        <item x="3"/>
        <item x="4"/>
        <item t="default"/>
      </items>
    </pivotField>
    <pivotField showAll="0">
      <items count="7">
        <item x="4"/>
        <item x="1"/>
        <item x="0"/>
        <item x="5"/>
        <item x="2"/>
        <item x="3"/>
        <item t="default"/>
      </items>
    </pivotField>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3"/>
  </rowFields>
  <rowItems count="3">
    <i>
      <x/>
    </i>
    <i>
      <x v="1"/>
    </i>
    <i t="grand">
      <x/>
    </i>
  </rowItems>
  <colItems count="1">
    <i/>
  </colItems>
  <dataFields count="1">
    <dataField name="Sum of Net Sales" fld="14"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3" count="1" selected="0">
            <x v="0"/>
          </reference>
        </references>
      </pivotArea>
    </chartFormat>
    <chartFormat chart="8"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B4AB55-2F29-4C69-90BB-84C09754547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B9" firstHeaderRow="1" firstDataRow="1" firstDataCol="1"/>
  <pivotFields count="18">
    <pivotField showAll="0"/>
    <pivotField numFmtId="164" showAll="0">
      <items count="676">
        <item x="328"/>
        <item x="155"/>
        <item x="419"/>
        <item x="559"/>
        <item x="653"/>
        <item x="117"/>
        <item x="22"/>
        <item x="355"/>
        <item x="169"/>
        <item x="366"/>
        <item x="186"/>
        <item x="108"/>
        <item x="637"/>
        <item x="303"/>
        <item x="619"/>
        <item x="234"/>
        <item x="648"/>
        <item x="222"/>
        <item x="59"/>
        <item x="69"/>
        <item x="461"/>
        <item x="623"/>
        <item x="527"/>
        <item x="617"/>
        <item x="626"/>
        <item x="285"/>
        <item x="104"/>
        <item x="480"/>
        <item x="350"/>
        <item x="364"/>
        <item x="61"/>
        <item x="81"/>
        <item x="255"/>
        <item x="414"/>
        <item x="537"/>
        <item x="89"/>
        <item x="576"/>
        <item x="291"/>
        <item x="150"/>
        <item x="24"/>
        <item x="148"/>
        <item x="72"/>
        <item x="574"/>
        <item x="118"/>
        <item x="458"/>
        <item x="386"/>
        <item x="577"/>
        <item x="407"/>
        <item x="345"/>
        <item x="521"/>
        <item x="297"/>
        <item x="529"/>
        <item x="394"/>
        <item x="628"/>
        <item x="450"/>
        <item x="448"/>
        <item x="453"/>
        <item x="199"/>
        <item x="16"/>
        <item x="189"/>
        <item x="544"/>
        <item x="40"/>
        <item x="236"/>
        <item x="517"/>
        <item x="20"/>
        <item x="137"/>
        <item x="197"/>
        <item x="205"/>
        <item x="287"/>
        <item x="481"/>
        <item x="456"/>
        <item x="369"/>
        <item x="67"/>
        <item x="279"/>
        <item x="132"/>
        <item x="301"/>
        <item x="334"/>
        <item x="231"/>
        <item x="360"/>
        <item x="342"/>
        <item x="232"/>
        <item x="53"/>
        <item x="337"/>
        <item x="538"/>
        <item x="151"/>
        <item x="634"/>
        <item x="608"/>
        <item x="641"/>
        <item x="101"/>
        <item x="646"/>
        <item x="228"/>
        <item x="263"/>
        <item x="235"/>
        <item x="196"/>
        <item x="112"/>
        <item x="74"/>
        <item x="663"/>
        <item x="650"/>
        <item x="276"/>
        <item x="29"/>
        <item x="654"/>
        <item x="323"/>
        <item x="635"/>
        <item x="397"/>
        <item x="378"/>
        <item x="330"/>
        <item x="329"/>
        <item x="395"/>
        <item x="221"/>
        <item x="588"/>
        <item x="62"/>
        <item x="267"/>
        <item x="579"/>
        <item x="258"/>
        <item x="669"/>
        <item x="607"/>
        <item x="271"/>
        <item x="66"/>
        <item x="90"/>
        <item x="580"/>
        <item x="357"/>
        <item x="570"/>
        <item x="314"/>
        <item x="277"/>
        <item x="37"/>
        <item x="511"/>
        <item x="254"/>
        <item x="459"/>
        <item x="174"/>
        <item x="185"/>
        <item x="343"/>
        <item x="656"/>
        <item x="499"/>
        <item x="430"/>
        <item x="322"/>
        <item x="52"/>
        <item x="27"/>
        <item x="572"/>
        <item x="371"/>
        <item x="384"/>
        <item x="168"/>
        <item x="225"/>
        <item x="497"/>
        <item x="489"/>
        <item x="187"/>
        <item x="147"/>
        <item x="324"/>
        <item x="510"/>
        <item x="629"/>
        <item x="299"/>
        <item x="534"/>
        <item x="15"/>
        <item x="542"/>
        <item x="103"/>
        <item x="603"/>
        <item x="543"/>
        <item x="332"/>
        <item x="347"/>
        <item x="0"/>
        <item x="181"/>
        <item x="494"/>
        <item x="274"/>
        <item x="102"/>
        <item x="216"/>
        <item x="122"/>
        <item x="28"/>
        <item x="215"/>
        <item x="8"/>
        <item x="353"/>
        <item x="440"/>
        <item x="30"/>
        <item x="106"/>
        <item x="425"/>
        <item x="426"/>
        <item x="402"/>
        <item x="275"/>
        <item x="39"/>
        <item x="1"/>
        <item x="100"/>
        <item x="247"/>
        <item x="595"/>
        <item x="375"/>
        <item x="33"/>
        <item x="487"/>
        <item x="71"/>
        <item x="560"/>
        <item x="239"/>
        <item x="618"/>
        <item x="157"/>
        <item x="476"/>
        <item x="176"/>
        <item x="5"/>
        <item x="249"/>
        <item x="358"/>
        <item x="333"/>
        <item x="87"/>
        <item x="593"/>
        <item x="514"/>
        <item x="429"/>
        <item x="58"/>
        <item x="567"/>
        <item x="388"/>
        <item x="526"/>
        <item x="390"/>
        <item x="54"/>
        <item x="130"/>
        <item x="266"/>
        <item x="261"/>
        <item x="621"/>
        <item x="418"/>
        <item x="140"/>
        <item x="177"/>
        <item x="562"/>
        <item x="128"/>
        <item x="115"/>
        <item x="401"/>
        <item x="411"/>
        <item x="227"/>
        <item x="428"/>
        <item x="348"/>
        <item x="243"/>
        <item x="479"/>
        <item x="335"/>
        <item x="528"/>
        <item x="346"/>
        <item x="226"/>
        <item x="135"/>
        <item x="382"/>
        <item x="645"/>
        <item x="21"/>
        <item x="439"/>
        <item x="616"/>
        <item x="592"/>
        <item x="283"/>
        <item x="160"/>
        <item x="496"/>
        <item x="41"/>
        <item x="316"/>
        <item x="82"/>
        <item x="444"/>
        <item x="659"/>
        <item x="606"/>
        <item x="152"/>
        <item x="164"/>
        <item x="252"/>
        <item x="264"/>
        <item x="153"/>
        <item x="470"/>
        <item x="540"/>
        <item x="434"/>
        <item x="220"/>
        <item x="259"/>
        <item x="79"/>
        <item x="468"/>
        <item x="48"/>
        <item x="586"/>
        <item x="442"/>
        <item x="105"/>
        <item x="590"/>
        <item x="668"/>
        <item x="609"/>
        <item x="63"/>
        <item x="156"/>
        <item x="144"/>
        <item x="578"/>
        <item x="31"/>
        <item x="377"/>
        <item x="292"/>
        <item x="306"/>
        <item x="627"/>
        <item x="238"/>
        <item x="447"/>
        <item x="599"/>
        <item x="172"/>
        <item x="466"/>
        <item x="260"/>
        <item x="406"/>
        <item x="253"/>
        <item x="351"/>
        <item x="557"/>
        <item x="536"/>
        <item x="486"/>
        <item x="665"/>
        <item x="80"/>
        <item x="339"/>
        <item x="218"/>
        <item x="32"/>
        <item x="280"/>
        <item x="493"/>
        <item x="141"/>
        <item x="532"/>
        <item x="51"/>
        <item x="581"/>
        <item x="512"/>
        <item x="354"/>
        <item x="454"/>
        <item x="370"/>
        <item x="421"/>
        <item x="643"/>
        <item x="26"/>
        <item x="602"/>
        <item x="503"/>
        <item x="290"/>
        <item x="651"/>
        <item x="129"/>
        <item x="120"/>
        <item x="367"/>
        <item x="520"/>
        <item x="298"/>
        <item x="563"/>
        <item x="269"/>
        <item x="161"/>
        <item x="372"/>
        <item x="154"/>
        <item x="242"/>
        <item x="307"/>
        <item x="671"/>
        <item x="12"/>
        <item x="356"/>
        <item x="549"/>
        <item x="7"/>
        <item x="45"/>
        <item x="647"/>
        <item x="403"/>
        <item x="413"/>
        <item x="294"/>
        <item x="571"/>
        <item x="56"/>
        <item x="492"/>
        <item x="338"/>
        <item x="488"/>
        <item x="660"/>
        <item x="471"/>
        <item x="190"/>
        <item x="305"/>
        <item x="498"/>
        <item x="13"/>
        <item x="321"/>
        <item x="206"/>
        <item x="300"/>
        <item x="417"/>
        <item x="95"/>
        <item x="44"/>
        <item x="465"/>
        <item x="336"/>
        <item x="361"/>
        <item x="546"/>
        <item x="209"/>
        <item x="376"/>
        <item x="362"/>
        <item x="281"/>
        <item x="495"/>
        <item x="569"/>
        <item x="240"/>
        <item x="405"/>
        <item x="462"/>
        <item x="636"/>
        <item x="404"/>
        <item x="18"/>
        <item x="341"/>
        <item x="75"/>
        <item x="327"/>
        <item x="553"/>
        <item x="649"/>
        <item x="9"/>
        <item x="552"/>
        <item x="43"/>
        <item x="326"/>
        <item x="68"/>
        <item x="472"/>
        <item x="325"/>
        <item x="257"/>
        <item x="214"/>
        <item x="596"/>
        <item x="535"/>
        <item x="600"/>
        <item x="208"/>
        <item x="432"/>
        <item x="91"/>
        <item x="615"/>
        <item x="65"/>
        <item x="201"/>
        <item x="452"/>
        <item x="518"/>
        <item x="445"/>
        <item x="539"/>
        <item x="124"/>
        <item x="485"/>
        <item x="460"/>
        <item x="293"/>
        <item x="331"/>
        <item x="183"/>
        <item x="171"/>
        <item x="288"/>
        <item x="657"/>
        <item x="672"/>
        <item x="17"/>
        <item x="219"/>
        <item x="88"/>
        <item x="475"/>
        <item x="165"/>
        <item x="420"/>
        <item x="119"/>
        <item x="233"/>
        <item x="180"/>
        <item x="381"/>
        <item x="467"/>
        <item x="111"/>
        <item x="23"/>
        <item x="613"/>
        <item x="548"/>
        <item x="50"/>
        <item x="483"/>
        <item x="230"/>
        <item x="612"/>
        <item x="652"/>
        <item x="393"/>
        <item x="655"/>
        <item x="491"/>
        <item x="83"/>
        <item x="551"/>
        <item x="282"/>
        <item x="484"/>
        <item x="92"/>
        <item x="163"/>
        <item x="34"/>
        <item x="368"/>
        <item x="387"/>
        <item x="469"/>
        <item x="573"/>
        <item x="248"/>
        <item x="131"/>
        <item x="365"/>
        <item x="464"/>
        <item x="594"/>
        <item x="84"/>
        <item x="126"/>
        <item x="134"/>
        <item x="319"/>
        <item x="550"/>
        <item x="224"/>
        <item x="399"/>
        <item x="57"/>
        <item x="455"/>
        <item x="38"/>
        <item x="610"/>
        <item x="385"/>
        <item x="114"/>
        <item x="436"/>
        <item x="110"/>
        <item x="620"/>
        <item x="192"/>
        <item x="449"/>
        <item x="639"/>
        <item x="541"/>
        <item x="36"/>
        <item x="99"/>
        <item x="272"/>
        <item x="113"/>
        <item x="605"/>
        <item x="409"/>
        <item x="630"/>
        <item x="311"/>
        <item x="3"/>
        <item x="601"/>
        <item x="666"/>
        <item x="373"/>
        <item x="166"/>
        <item x="662"/>
        <item x="522"/>
        <item x="523"/>
        <item x="587"/>
        <item x="582"/>
        <item x="19"/>
        <item x="575"/>
        <item x="438"/>
        <item x="392"/>
        <item x="60"/>
        <item x="184"/>
        <item x="584"/>
        <item x="173"/>
        <item x="210"/>
        <item x="179"/>
        <item x="49"/>
        <item x="508"/>
        <item x="73"/>
        <item x="501"/>
        <item x="245"/>
        <item x="502"/>
        <item x="116"/>
        <item x="591"/>
        <item x="597"/>
        <item x="318"/>
        <item x="251"/>
        <item x="533"/>
        <item x="10"/>
        <item x="198"/>
        <item x="2"/>
        <item x="310"/>
        <item x="167"/>
        <item x="642"/>
        <item x="564"/>
        <item x="380"/>
        <item x="320"/>
        <item x="473"/>
        <item x="250"/>
        <item x="217"/>
        <item x="555"/>
        <item x="188"/>
        <item x="241"/>
        <item x="35"/>
        <item x="474"/>
        <item x="352"/>
        <item x="408"/>
        <item x="14"/>
        <item x="86"/>
        <item x="658"/>
        <item x="504"/>
        <item x="614"/>
        <item x="194"/>
        <item x="158"/>
        <item x="200"/>
        <item x="463"/>
        <item x="545"/>
        <item x="631"/>
        <item x="85"/>
        <item x="398"/>
        <item x="583"/>
        <item x="516"/>
        <item x="391"/>
        <item x="624"/>
        <item x="644"/>
        <item x="204"/>
        <item x="278"/>
        <item x="142"/>
        <item x="162"/>
        <item x="416"/>
        <item x="507"/>
        <item x="4"/>
        <item x="363"/>
        <item x="308"/>
        <item x="423"/>
        <item x="47"/>
        <item x="11"/>
        <item x="561"/>
        <item x="633"/>
        <item x="127"/>
        <item x="143"/>
        <item x="515"/>
        <item x="446"/>
        <item x="312"/>
        <item x="262"/>
        <item x="509"/>
        <item x="374"/>
        <item x="566"/>
        <item x="530"/>
        <item x="125"/>
        <item x="383"/>
        <item x="359"/>
        <item x="46"/>
        <item x="191"/>
        <item x="212"/>
        <item x="202"/>
        <item x="268"/>
        <item x="568"/>
        <item x="667"/>
        <item x="632"/>
        <item x="170"/>
        <item x="389"/>
        <item x="289"/>
        <item x="6"/>
        <item x="313"/>
        <item x="121"/>
        <item x="506"/>
        <item x="670"/>
        <item x="589"/>
        <item x="76"/>
        <item x="457"/>
        <item x="315"/>
        <item x="317"/>
        <item x="441"/>
        <item x="422"/>
        <item x="149"/>
        <item x="145"/>
        <item x="344"/>
        <item x="70"/>
        <item x="451"/>
        <item x="136"/>
        <item x="207"/>
        <item x="78"/>
        <item x="203"/>
        <item x="195"/>
        <item x="182"/>
        <item x="175"/>
        <item x="478"/>
        <item x="524"/>
        <item x="622"/>
        <item x="424"/>
        <item x="223"/>
        <item x="109"/>
        <item x="97"/>
        <item x="93"/>
        <item x="625"/>
        <item x="547"/>
        <item x="558"/>
        <item x="396"/>
        <item x="77"/>
        <item x="505"/>
        <item x="556"/>
        <item x="500"/>
        <item x="304"/>
        <item x="55"/>
        <item x="490"/>
        <item x="435"/>
        <item x="604"/>
        <item x="159"/>
        <item x="431"/>
        <item x="531"/>
        <item x="673"/>
        <item x="133"/>
        <item x="598"/>
        <item x="246"/>
        <item x="525"/>
        <item x="674"/>
        <item x="244"/>
        <item x="295"/>
        <item x="585"/>
        <item x="94"/>
        <item x="482"/>
        <item x="565"/>
        <item x="664"/>
        <item x="340"/>
        <item x="256"/>
        <item x="349"/>
        <item x="433"/>
        <item x="302"/>
        <item x="123"/>
        <item x="178"/>
        <item x="265"/>
        <item x="193"/>
        <item x="211"/>
        <item x="286"/>
        <item x="400"/>
        <item x="237"/>
        <item x="477"/>
        <item x="64"/>
        <item x="139"/>
        <item x="640"/>
        <item x="638"/>
        <item x="379"/>
        <item x="661"/>
        <item x="25"/>
        <item x="42"/>
        <item x="437"/>
        <item x="284"/>
        <item x="519"/>
        <item x="296"/>
        <item x="96"/>
        <item x="138"/>
        <item x="513"/>
        <item x="554"/>
        <item x="412"/>
        <item x="270"/>
        <item x="229"/>
        <item x="213"/>
        <item x="611"/>
        <item x="98"/>
        <item x="415"/>
        <item x="273"/>
        <item x="443"/>
        <item x="427"/>
        <item x="107"/>
        <item x="146"/>
        <item x="309"/>
        <item x="410"/>
        <item t="default"/>
      </items>
    </pivotField>
    <pivotField showAll="0"/>
    <pivotField showAll="0"/>
    <pivotField showAll="0"/>
    <pivotField axis="axisRow" showAll="0">
      <items count="5">
        <item x="3"/>
        <item x="1"/>
        <item x="2"/>
        <item x="0"/>
        <item t="default"/>
      </items>
    </pivotField>
    <pivotField showAll="0">
      <items count="7">
        <item x="5"/>
        <item x="1"/>
        <item x="2"/>
        <item x="0"/>
        <item x="3"/>
        <item x="4"/>
        <item t="default"/>
      </items>
    </pivotField>
    <pivotField showAll="0">
      <items count="7">
        <item x="4"/>
        <item x="1"/>
        <item x="0"/>
        <item x="5"/>
        <item x="2"/>
        <item x="3"/>
        <item t="default"/>
      </items>
    </pivotField>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5"/>
  </rowFields>
  <rowItems count="5">
    <i>
      <x/>
    </i>
    <i>
      <x v="1"/>
    </i>
    <i>
      <x v="2"/>
    </i>
    <i>
      <x v="3"/>
    </i>
    <i t="grand">
      <x/>
    </i>
  </rowItems>
  <colItems count="1">
    <i/>
  </colItems>
  <dataFields count="1">
    <dataField name="Sum of Net Sales" fld="14"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5" count="1" selected="0">
            <x v="0"/>
          </reference>
        </references>
      </pivotArea>
    </chartFormat>
    <chartFormat chart="15" format="6">
      <pivotArea type="data" outline="0" fieldPosition="0">
        <references count="2">
          <reference field="4294967294" count="1" selected="0">
            <x v="0"/>
          </reference>
          <reference field="5" count="1" selected="0">
            <x v="1"/>
          </reference>
        </references>
      </pivotArea>
    </chartFormat>
    <chartFormat chart="15" format="7">
      <pivotArea type="data" outline="0" fieldPosition="0">
        <references count="2">
          <reference field="4294967294" count="1" selected="0">
            <x v="0"/>
          </reference>
          <reference field="5" count="1" selected="0">
            <x v="2"/>
          </reference>
        </references>
      </pivotArea>
    </chartFormat>
    <chartFormat chart="15" format="8">
      <pivotArea type="data" outline="0" fieldPosition="0">
        <references count="2">
          <reference field="4294967294" count="1" selected="0">
            <x v="0"/>
          </reference>
          <reference field="5" count="1" selected="0">
            <x v="3"/>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5" count="1" selected="0">
            <x v="0"/>
          </reference>
        </references>
      </pivotArea>
    </chartFormat>
    <chartFormat chart="16" format="11">
      <pivotArea type="data" outline="0" fieldPosition="0">
        <references count="2">
          <reference field="4294967294" count="1" selected="0">
            <x v="0"/>
          </reference>
          <reference field="5" count="1" selected="0">
            <x v="1"/>
          </reference>
        </references>
      </pivotArea>
    </chartFormat>
    <chartFormat chart="16" format="12">
      <pivotArea type="data" outline="0" fieldPosition="0">
        <references count="2">
          <reference field="4294967294" count="1" selected="0">
            <x v="0"/>
          </reference>
          <reference field="5" count="1" selected="0">
            <x v="2"/>
          </reference>
        </references>
      </pivotArea>
    </chartFormat>
    <chartFormat chart="16" format="1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1"/>
          </reference>
        </references>
      </pivotArea>
    </chartFormat>
    <chartFormat chart="0" format="6">
      <pivotArea type="data" outline="0" fieldPosition="0">
        <references count="2">
          <reference field="4294967294" count="1" selected="0">
            <x v="0"/>
          </reference>
          <reference field="5" count="1" selected="0">
            <x v="2"/>
          </reference>
        </references>
      </pivotArea>
    </chartFormat>
    <chartFormat chart="0" format="7">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F1CFC2-AEB2-4781-B392-A7F39C7CA0C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18">
    <pivotField showAll="0"/>
    <pivotField numFmtId="164" showAll="0">
      <items count="676">
        <item x="328"/>
        <item x="155"/>
        <item x="419"/>
        <item x="559"/>
        <item x="653"/>
        <item x="117"/>
        <item x="22"/>
        <item x="355"/>
        <item x="169"/>
        <item x="366"/>
        <item x="186"/>
        <item x="108"/>
        <item x="637"/>
        <item x="303"/>
        <item x="619"/>
        <item x="234"/>
        <item x="648"/>
        <item x="222"/>
        <item x="59"/>
        <item x="69"/>
        <item x="461"/>
        <item x="623"/>
        <item x="527"/>
        <item x="617"/>
        <item x="626"/>
        <item x="285"/>
        <item x="104"/>
        <item x="480"/>
        <item x="350"/>
        <item x="364"/>
        <item x="61"/>
        <item x="81"/>
        <item x="255"/>
        <item x="414"/>
        <item x="537"/>
        <item x="89"/>
        <item x="576"/>
        <item x="291"/>
        <item x="150"/>
        <item x="24"/>
        <item x="148"/>
        <item x="72"/>
        <item x="574"/>
        <item x="118"/>
        <item x="458"/>
        <item x="386"/>
        <item x="577"/>
        <item x="407"/>
        <item x="345"/>
        <item x="521"/>
        <item x="297"/>
        <item x="529"/>
        <item x="394"/>
        <item x="628"/>
        <item x="450"/>
        <item x="448"/>
        <item x="453"/>
        <item x="199"/>
        <item x="16"/>
        <item x="189"/>
        <item x="544"/>
        <item x="40"/>
        <item x="236"/>
        <item x="517"/>
        <item x="20"/>
        <item x="137"/>
        <item x="197"/>
        <item x="205"/>
        <item x="287"/>
        <item x="481"/>
        <item x="456"/>
        <item x="369"/>
        <item x="67"/>
        <item x="279"/>
        <item x="132"/>
        <item x="301"/>
        <item x="334"/>
        <item x="231"/>
        <item x="360"/>
        <item x="342"/>
        <item x="232"/>
        <item x="53"/>
        <item x="337"/>
        <item x="538"/>
        <item x="151"/>
        <item x="634"/>
        <item x="608"/>
        <item x="641"/>
        <item x="101"/>
        <item x="646"/>
        <item x="228"/>
        <item x="263"/>
        <item x="235"/>
        <item x="196"/>
        <item x="112"/>
        <item x="74"/>
        <item x="663"/>
        <item x="650"/>
        <item x="276"/>
        <item x="29"/>
        <item x="654"/>
        <item x="323"/>
        <item x="635"/>
        <item x="397"/>
        <item x="378"/>
        <item x="330"/>
        <item x="329"/>
        <item x="395"/>
        <item x="221"/>
        <item x="588"/>
        <item x="62"/>
        <item x="267"/>
        <item x="579"/>
        <item x="258"/>
        <item x="669"/>
        <item x="607"/>
        <item x="271"/>
        <item x="66"/>
        <item x="90"/>
        <item x="580"/>
        <item x="357"/>
        <item x="570"/>
        <item x="314"/>
        <item x="277"/>
        <item x="37"/>
        <item x="511"/>
        <item x="254"/>
        <item x="459"/>
        <item x="174"/>
        <item x="185"/>
        <item x="343"/>
        <item x="656"/>
        <item x="499"/>
        <item x="430"/>
        <item x="322"/>
        <item x="52"/>
        <item x="27"/>
        <item x="572"/>
        <item x="371"/>
        <item x="384"/>
        <item x="168"/>
        <item x="225"/>
        <item x="497"/>
        <item x="489"/>
        <item x="187"/>
        <item x="147"/>
        <item x="324"/>
        <item x="510"/>
        <item x="629"/>
        <item x="299"/>
        <item x="534"/>
        <item x="15"/>
        <item x="542"/>
        <item x="103"/>
        <item x="603"/>
        <item x="543"/>
        <item x="332"/>
        <item x="347"/>
        <item x="0"/>
        <item x="181"/>
        <item x="494"/>
        <item x="274"/>
        <item x="102"/>
        <item x="216"/>
        <item x="122"/>
        <item x="28"/>
        <item x="215"/>
        <item x="8"/>
        <item x="353"/>
        <item x="440"/>
        <item x="30"/>
        <item x="106"/>
        <item x="425"/>
        <item x="426"/>
        <item x="402"/>
        <item x="275"/>
        <item x="39"/>
        <item x="1"/>
        <item x="100"/>
        <item x="247"/>
        <item x="595"/>
        <item x="375"/>
        <item x="33"/>
        <item x="487"/>
        <item x="71"/>
        <item x="560"/>
        <item x="239"/>
        <item x="618"/>
        <item x="157"/>
        <item x="476"/>
        <item x="176"/>
        <item x="5"/>
        <item x="249"/>
        <item x="358"/>
        <item x="333"/>
        <item x="87"/>
        <item x="593"/>
        <item x="514"/>
        <item x="429"/>
        <item x="58"/>
        <item x="567"/>
        <item x="388"/>
        <item x="526"/>
        <item x="390"/>
        <item x="54"/>
        <item x="130"/>
        <item x="266"/>
        <item x="261"/>
        <item x="621"/>
        <item x="418"/>
        <item x="140"/>
        <item x="177"/>
        <item x="562"/>
        <item x="128"/>
        <item x="115"/>
        <item x="401"/>
        <item x="411"/>
        <item x="227"/>
        <item x="428"/>
        <item x="348"/>
        <item x="243"/>
        <item x="479"/>
        <item x="335"/>
        <item x="528"/>
        <item x="346"/>
        <item x="226"/>
        <item x="135"/>
        <item x="382"/>
        <item x="645"/>
        <item x="21"/>
        <item x="439"/>
        <item x="616"/>
        <item x="592"/>
        <item x="283"/>
        <item x="160"/>
        <item x="496"/>
        <item x="41"/>
        <item x="316"/>
        <item x="82"/>
        <item x="444"/>
        <item x="659"/>
        <item x="606"/>
        <item x="152"/>
        <item x="164"/>
        <item x="252"/>
        <item x="264"/>
        <item x="153"/>
        <item x="470"/>
        <item x="540"/>
        <item x="434"/>
        <item x="220"/>
        <item x="259"/>
        <item x="79"/>
        <item x="468"/>
        <item x="48"/>
        <item x="586"/>
        <item x="442"/>
        <item x="105"/>
        <item x="590"/>
        <item x="668"/>
        <item x="609"/>
        <item x="63"/>
        <item x="156"/>
        <item x="144"/>
        <item x="578"/>
        <item x="31"/>
        <item x="377"/>
        <item x="292"/>
        <item x="306"/>
        <item x="627"/>
        <item x="238"/>
        <item x="447"/>
        <item x="599"/>
        <item x="172"/>
        <item x="466"/>
        <item x="260"/>
        <item x="406"/>
        <item x="253"/>
        <item x="351"/>
        <item x="557"/>
        <item x="536"/>
        <item x="486"/>
        <item x="665"/>
        <item x="80"/>
        <item x="339"/>
        <item x="218"/>
        <item x="32"/>
        <item x="280"/>
        <item x="493"/>
        <item x="141"/>
        <item x="532"/>
        <item x="51"/>
        <item x="581"/>
        <item x="512"/>
        <item x="354"/>
        <item x="454"/>
        <item x="370"/>
        <item x="421"/>
        <item x="643"/>
        <item x="26"/>
        <item x="602"/>
        <item x="503"/>
        <item x="290"/>
        <item x="651"/>
        <item x="129"/>
        <item x="120"/>
        <item x="367"/>
        <item x="520"/>
        <item x="298"/>
        <item x="563"/>
        <item x="269"/>
        <item x="161"/>
        <item x="372"/>
        <item x="154"/>
        <item x="242"/>
        <item x="307"/>
        <item x="671"/>
        <item x="12"/>
        <item x="356"/>
        <item x="549"/>
        <item x="7"/>
        <item x="45"/>
        <item x="647"/>
        <item x="403"/>
        <item x="413"/>
        <item x="294"/>
        <item x="571"/>
        <item x="56"/>
        <item x="492"/>
        <item x="338"/>
        <item x="488"/>
        <item x="660"/>
        <item x="471"/>
        <item x="190"/>
        <item x="305"/>
        <item x="498"/>
        <item x="13"/>
        <item x="321"/>
        <item x="206"/>
        <item x="300"/>
        <item x="417"/>
        <item x="95"/>
        <item x="44"/>
        <item x="465"/>
        <item x="336"/>
        <item x="361"/>
        <item x="546"/>
        <item x="209"/>
        <item x="376"/>
        <item x="362"/>
        <item x="281"/>
        <item x="495"/>
        <item x="569"/>
        <item x="240"/>
        <item x="405"/>
        <item x="462"/>
        <item x="636"/>
        <item x="404"/>
        <item x="18"/>
        <item x="341"/>
        <item x="75"/>
        <item x="327"/>
        <item x="553"/>
        <item x="649"/>
        <item x="9"/>
        <item x="552"/>
        <item x="43"/>
        <item x="326"/>
        <item x="68"/>
        <item x="472"/>
        <item x="325"/>
        <item x="257"/>
        <item x="214"/>
        <item x="596"/>
        <item x="535"/>
        <item x="600"/>
        <item x="208"/>
        <item x="432"/>
        <item x="91"/>
        <item x="615"/>
        <item x="65"/>
        <item x="201"/>
        <item x="452"/>
        <item x="518"/>
        <item x="445"/>
        <item x="539"/>
        <item x="124"/>
        <item x="485"/>
        <item x="460"/>
        <item x="293"/>
        <item x="331"/>
        <item x="183"/>
        <item x="171"/>
        <item x="288"/>
        <item x="657"/>
        <item x="672"/>
        <item x="17"/>
        <item x="219"/>
        <item x="88"/>
        <item x="475"/>
        <item x="165"/>
        <item x="420"/>
        <item x="119"/>
        <item x="233"/>
        <item x="180"/>
        <item x="381"/>
        <item x="467"/>
        <item x="111"/>
        <item x="23"/>
        <item x="613"/>
        <item x="548"/>
        <item x="50"/>
        <item x="483"/>
        <item x="230"/>
        <item x="612"/>
        <item x="652"/>
        <item x="393"/>
        <item x="655"/>
        <item x="491"/>
        <item x="83"/>
        <item x="551"/>
        <item x="282"/>
        <item x="484"/>
        <item x="92"/>
        <item x="163"/>
        <item x="34"/>
        <item x="368"/>
        <item x="387"/>
        <item x="469"/>
        <item x="573"/>
        <item x="248"/>
        <item x="131"/>
        <item x="365"/>
        <item x="464"/>
        <item x="594"/>
        <item x="84"/>
        <item x="126"/>
        <item x="134"/>
        <item x="319"/>
        <item x="550"/>
        <item x="224"/>
        <item x="399"/>
        <item x="57"/>
        <item x="455"/>
        <item x="38"/>
        <item x="610"/>
        <item x="385"/>
        <item x="114"/>
        <item x="436"/>
        <item x="110"/>
        <item x="620"/>
        <item x="192"/>
        <item x="449"/>
        <item x="639"/>
        <item x="541"/>
        <item x="36"/>
        <item x="99"/>
        <item x="272"/>
        <item x="113"/>
        <item x="605"/>
        <item x="409"/>
        <item x="630"/>
        <item x="311"/>
        <item x="3"/>
        <item x="601"/>
        <item x="666"/>
        <item x="373"/>
        <item x="166"/>
        <item x="662"/>
        <item x="522"/>
        <item x="523"/>
        <item x="587"/>
        <item x="582"/>
        <item x="19"/>
        <item x="575"/>
        <item x="438"/>
        <item x="392"/>
        <item x="60"/>
        <item x="184"/>
        <item x="584"/>
        <item x="173"/>
        <item x="210"/>
        <item x="179"/>
        <item x="49"/>
        <item x="508"/>
        <item x="73"/>
        <item x="501"/>
        <item x="245"/>
        <item x="502"/>
        <item x="116"/>
        <item x="591"/>
        <item x="597"/>
        <item x="318"/>
        <item x="251"/>
        <item x="533"/>
        <item x="10"/>
        <item x="198"/>
        <item x="2"/>
        <item x="310"/>
        <item x="167"/>
        <item x="642"/>
        <item x="564"/>
        <item x="380"/>
        <item x="320"/>
        <item x="473"/>
        <item x="250"/>
        <item x="217"/>
        <item x="555"/>
        <item x="188"/>
        <item x="241"/>
        <item x="35"/>
        <item x="474"/>
        <item x="352"/>
        <item x="408"/>
        <item x="14"/>
        <item x="86"/>
        <item x="658"/>
        <item x="504"/>
        <item x="614"/>
        <item x="194"/>
        <item x="158"/>
        <item x="200"/>
        <item x="463"/>
        <item x="545"/>
        <item x="631"/>
        <item x="85"/>
        <item x="398"/>
        <item x="583"/>
        <item x="516"/>
        <item x="391"/>
        <item x="624"/>
        <item x="644"/>
        <item x="204"/>
        <item x="278"/>
        <item x="142"/>
        <item x="162"/>
        <item x="416"/>
        <item x="507"/>
        <item x="4"/>
        <item x="363"/>
        <item x="308"/>
        <item x="423"/>
        <item x="47"/>
        <item x="11"/>
        <item x="561"/>
        <item x="633"/>
        <item x="127"/>
        <item x="143"/>
        <item x="515"/>
        <item x="446"/>
        <item x="312"/>
        <item x="262"/>
        <item x="509"/>
        <item x="374"/>
        <item x="566"/>
        <item x="530"/>
        <item x="125"/>
        <item x="383"/>
        <item x="359"/>
        <item x="46"/>
        <item x="191"/>
        <item x="212"/>
        <item x="202"/>
        <item x="268"/>
        <item x="568"/>
        <item x="667"/>
        <item x="632"/>
        <item x="170"/>
        <item x="389"/>
        <item x="289"/>
        <item x="6"/>
        <item x="313"/>
        <item x="121"/>
        <item x="506"/>
        <item x="670"/>
        <item x="589"/>
        <item x="76"/>
        <item x="457"/>
        <item x="315"/>
        <item x="317"/>
        <item x="441"/>
        <item x="422"/>
        <item x="149"/>
        <item x="145"/>
        <item x="344"/>
        <item x="70"/>
        <item x="451"/>
        <item x="136"/>
        <item x="207"/>
        <item x="78"/>
        <item x="203"/>
        <item x="195"/>
        <item x="182"/>
        <item x="175"/>
        <item x="478"/>
        <item x="524"/>
        <item x="622"/>
        <item x="424"/>
        <item x="223"/>
        <item x="109"/>
        <item x="97"/>
        <item x="93"/>
        <item x="625"/>
        <item x="547"/>
        <item x="558"/>
        <item x="396"/>
        <item x="77"/>
        <item x="505"/>
        <item x="556"/>
        <item x="500"/>
        <item x="304"/>
        <item x="55"/>
        <item x="490"/>
        <item x="435"/>
        <item x="604"/>
        <item x="159"/>
        <item x="431"/>
        <item x="531"/>
        <item x="673"/>
        <item x="133"/>
        <item x="598"/>
        <item x="246"/>
        <item x="525"/>
        <item x="674"/>
        <item x="244"/>
        <item x="295"/>
        <item x="585"/>
        <item x="94"/>
        <item x="482"/>
        <item x="565"/>
        <item x="664"/>
        <item x="340"/>
        <item x="256"/>
        <item x="349"/>
        <item x="433"/>
        <item x="302"/>
        <item x="123"/>
        <item x="178"/>
        <item x="265"/>
        <item x="193"/>
        <item x="211"/>
        <item x="286"/>
        <item x="400"/>
        <item x="237"/>
        <item x="477"/>
        <item x="64"/>
        <item x="139"/>
        <item x="640"/>
        <item x="638"/>
        <item x="379"/>
        <item x="661"/>
        <item x="25"/>
        <item x="42"/>
        <item x="437"/>
        <item x="284"/>
        <item x="519"/>
        <item x="296"/>
        <item x="96"/>
        <item x="138"/>
        <item x="513"/>
        <item x="554"/>
        <item x="412"/>
        <item x="270"/>
        <item x="229"/>
        <item x="213"/>
        <item x="611"/>
        <item x="98"/>
        <item x="415"/>
        <item x="273"/>
        <item x="443"/>
        <item x="427"/>
        <item x="107"/>
        <item x="146"/>
        <item x="309"/>
        <item x="410"/>
        <item t="default"/>
      </items>
    </pivotField>
    <pivotField showAll="0"/>
    <pivotField showAll="0"/>
    <pivotField showAll="0"/>
    <pivotField showAll="0"/>
    <pivotField showAll="0">
      <items count="7">
        <item x="5"/>
        <item x="1"/>
        <item x="2"/>
        <item x="0"/>
        <item x="3"/>
        <item x="4"/>
        <item t="default"/>
      </items>
    </pivotField>
    <pivotField showAll="0">
      <items count="7">
        <item x="4"/>
        <item x="1"/>
        <item x="0"/>
        <item x="5"/>
        <item x="2"/>
        <item x="3"/>
        <item t="default"/>
      </items>
    </pivotField>
    <pivotField axis="axisRow" showAll="0">
      <items count="6">
        <item x="3"/>
        <item x="4"/>
        <item x="2"/>
        <item x="1"/>
        <item x="0"/>
        <item t="default"/>
      </items>
    </pivotField>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8"/>
  </rowFields>
  <rowItems count="6">
    <i>
      <x/>
    </i>
    <i>
      <x v="1"/>
    </i>
    <i>
      <x v="2"/>
    </i>
    <i>
      <x v="3"/>
    </i>
    <i>
      <x v="4"/>
    </i>
    <i t="grand">
      <x/>
    </i>
  </rowItems>
  <colItems count="1">
    <i/>
  </colItems>
  <dataFields count="1">
    <dataField name="Sum of Net Sales" fld="14" baseField="0" baseItem="0"/>
  </dataFields>
  <chartFormats count="9">
    <chartFormat chart="4"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8" count="1" selected="0">
            <x v="0"/>
          </reference>
        </references>
      </pivotArea>
    </chartFormat>
    <chartFormat chart="20" format="4">
      <pivotArea type="data" outline="0" fieldPosition="0">
        <references count="2">
          <reference field="4294967294" count="1" selected="0">
            <x v="0"/>
          </reference>
          <reference field="8" count="1" selected="0">
            <x v="1"/>
          </reference>
        </references>
      </pivotArea>
    </chartFormat>
    <chartFormat chart="20" format="5">
      <pivotArea type="data" outline="0" fieldPosition="0">
        <references count="2">
          <reference field="4294967294" count="1" selected="0">
            <x v="0"/>
          </reference>
          <reference field="8" count="1" selected="0">
            <x v="2"/>
          </reference>
        </references>
      </pivotArea>
    </chartFormat>
    <chartFormat chart="20" format="6">
      <pivotArea type="data" outline="0" fieldPosition="0">
        <references count="2">
          <reference field="4294967294" count="1" selected="0">
            <x v="0"/>
          </reference>
          <reference field="8" count="1" selected="0">
            <x v="3"/>
          </reference>
        </references>
      </pivotArea>
    </chartFormat>
    <chartFormat chart="20" format="7">
      <pivotArea type="data" outline="0" fieldPosition="0">
        <references count="2">
          <reference field="4294967294" count="1" selected="0">
            <x v="0"/>
          </reference>
          <reference field="8" count="1" selected="0">
            <x v="4"/>
          </reference>
        </references>
      </pivotArea>
    </chartFormat>
    <chartFormat chart="4" format="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56171BD-3E28-42E6-8214-32792D5F91A6}" sourceName="City">
  <pivotTables>
    <pivotTable tabId="2" name="PivotTable1"/>
    <pivotTable tabId="6" name="PivotTable5"/>
    <pivotTable tabId="5" name="PivotTable4"/>
    <pivotTable tabId="4" name="PivotTable3"/>
    <pivotTable tabId="3" name="PivotTable2"/>
    <pivotTable tabId="7" name="PivotTable6"/>
  </pivotTables>
  <data>
    <tabular pivotCacheId="702384421">
      <items count="6">
        <i x="5" s="1"/>
        <i x="1" s="1"/>
        <i x="2"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2E8D23A-D29F-490C-B73B-13E57C16F0F5}" sourceName="Product Category">
  <pivotTables>
    <pivotTable tabId="2" name="PivotTable1"/>
    <pivotTable tabId="6" name="PivotTable5"/>
    <pivotTable tabId="5" name="PivotTable4"/>
    <pivotTable tabId="4" name="PivotTable3"/>
    <pivotTable tabId="3" name="PivotTable2"/>
    <pivotTable tabId="7" name="PivotTable6"/>
  </pivotTables>
  <data>
    <tabular pivotCacheId="702384421">
      <items count="6">
        <i x="4" s="1"/>
        <i x="1" s="1"/>
        <i x="0" s="1"/>
        <i x="5"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822CE2E-680A-4990-A0FB-09C05805C176}" sourceName="Months (Order Date)">
  <pivotTables>
    <pivotTable tabId="2" name="PivotTable1"/>
    <pivotTable tabId="6" name="PivotTable5"/>
    <pivotTable tabId="5" name="PivotTable4"/>
    <pivotTable tabId="4" name="PivotTable3"/>
    <pivotTable tabId="3" name="PivotTable2"/>
    <pivotTable tabId="7" name="PivotTable6"/>
  </pivotTables>
  <data>
    <tabular pivotCacheId="702384421">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DA863DF-9C8B-4915-9C48-5F0153511F48}" sourceName="Years (Order Date)">
  <pivotTables>
    <pivotTable tabId="2" name="PivotTable1"/>
    <pivotTable tabId="6" name="PivotTable5"/>
    <pivotTable tabId="5" name="PivotTable4"/>
    <pivotTable tabId="4" name="PivotTable3"/>
    <pivotTable tabId="3" name="PivotTable2"/>
    <pivotTable tabId="7" name="PivotTable6"/>
  </pivotTables>
  <data>
    <tabular pivotCacheId="702384421">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68AE732-6928-42EF-AEA4-33AF4897ECF1}" cache="Slicer_City" caption="City" style="SlicerStyleLight6" rowHeight="234950"/>
  <slicer name="Product Category" xr10:uid="{96E9E872-F10A-42D0-8617-77CF2D4D689C}" cache="Slicer_Product_Category" caption="Product Category" style="SlicerStyleLight6" rowHeight="234950"/>
  <slicer name="Months (Order Date)" xr10:uid="{D28681FF-5455-4700-AB7F-379E6F3074A5}" cache="Slicer_Months__Order_Date" caption="Months (Order Date)" startItem="9" style="SlicerStyleLight6" rowHeight="234950"/>
  <slicer name="Years (Order Date)" xr10:uid="{14E0378D-7FC6-4F93-BA4F-1526EA052C65}" cache="Slicer_Years__Order_Date" caption="Years (Order Date)"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C81387-2D73-4A91-99E2-5BD04BD0A7E2}" name="Table1" displayName="Table1" ref="A1:O2001" totalsRowShown="0" headerRowDxfId="4" headerRowBorderDxfId="3" tableBorderDxfId="2">
  <autoFilter ref="A1:O2001" xr:uid="{DEC81387-2D73-4A91-99E2-5BD04BD0A7E2}"/>
  <tableColumns count="15">
    <tableColumn id="1" xr3:uid="{B2EC7046-1988-472F-9975-4D881AE172C9}" name="Transaction ID"/>
    <tableColumn id="2" xr3:uid="{03A21FA6-F2CE-45D5-A659-7A3598926059}" name="Order Date" dataDxfId="1"/>
    <tableColumn id="3" xr3:uid="{60B71E06-6206-4456-BB89-E2418DA2C342}" name="Customer ID"/>
    <tableColumn id="4" xr3:uid="{80C7C285-0CB1-43D5-B0F6-28EC8B30A4D8}" name="Gender"/>
    <tableColumn id="5" xr3:uid="{26F392F9-057D-45F8-A773-F8B12E5B65C8}" name="Age"/>
    <tableColumn id="15" xr3:uid="{F4F6A5A3-AAB0-4973-8422-03B8133AF2A9}" name="Age Group" dataDxfId="0">
      <calculatedColumnFormula>IF(E2&lt;=25,"18-25",IF(E2&lt;=35,"26-35",IF(E2&lt;=45,"36-45","46+")))</calculatedColumnFormula>
    </tableColumn>
    <tableColumn id="6" xr3:uid="{68E2330E-7284-4ACD-84A7-857438616E8A}" name="City"/>
    <tableColumn id="7" xr3:uid="{CD544A10-AEC2-4319-8CA2-25CF76DF31A8}" name="Product Category"/>
    <tableColumn id="8" xr3:uid="{4BECDFC8-47D9-487D-BE35-5AE8D32BD56D}" name="Payment Mode"/>
    <tableColumn id="9" xr3:uid="{579B7249-E645-4097-BF51-49930591D5D9}" name="Quantity"/>
    <tableColumn id="10" xr3:uid="{EA8557A2-6627-45F9-A263-897530B5544A}" name="Unit Price"/>
    <tableColumn id="11" xr3:uid="{6C1A834A-08CB-429A-A92A-829703ADE3BE}" name="Discount %"/>
    <tableColumn id="12" xr3:uid="{1EB243F7-C9AD-4136-B032-B386ACFD7553}" name="Gross Amount"/>
    <tableColumn id="13" xr3:uid="{F40F62E1-0451-4003-B45A-50D9C4BEB2C2}" name="Discount Amount"/>
    <tableColumn id="14" xr3:uid="{151FE3FF-E264-42CA-A3B5-32F44E56E9C7}" name="Net Sale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01"/>
  <sheetViews>
    <sheetView topLeftCell="C1" zoomScale="97" zoomScaleNormal="97" workbookViewId="0">
      <selection activeCell="O19" sqref="O19"/>
    </sheetView>
  </sheetViews>
  <sheetFormatPr defaultRowHeight="14.4" x14ac:dyDescent="0.3"/>
  <cols>
    <col min="1" max="1" width="18.109375" bestFit="1" customWidth="1"/>
    <col min="2" max="2" width="20.33203125" style="1" customWidth="1"/>
    <col min="3" max="3" width="15.77734375" bestFit="1" customWidth="1"/>
    <col min="4" max="4" width="11.5546875" bestFit="1" customWidth="1"/>
    <col min="6" max="6" width="9.77734375" bestFit="1" customWidth="1"/>
    <col min="7" max="7" width="20.21875" bestFit="1" customWidth="1"/>
    <col min="8" max="8" width="20.88671875" bestFit="1" customWidth="1"/>
    <col min="9" max="9" width="19.109375" bestFit="1" customWidth="1"/>
    <col min="10" max="10" width="13.5546875" bestFit="1" customWidth="1"/>
    <col min="11" max="11" width="14.6640625" bestFit="1" customWidth="1"/>
    <col min="12" max="12" width="17.33203125" bestFit="1" customWidth="1"/>
    <col min="13" max="13" width="20.21875" bestFit="1" customWidth="1"/>
    <col min="14" max="14" width="13.109375" bestFit="1" customWidth="1"/>
    <col min="15" max="15" width="12.109375" customWidth="1"/>
  </cols>
  <sheetData>
    <row r="1" spans="1:15" x14ac:dyDescent="0.3">
      <c r="A1" s="2" t="s">
        <v>0</v>
      </c>
      <c r="B1" s="3" t="s">
        <v>1</v>
      </c>
      <c r="C1" s="2" t="s">
        <v>2</v>
      </c>
      <c r="D1" s="2" t="s">
        <v>3</v>
      </c>
      <c r="E1" s="2" t="s">
        <v>4</v>
      </c>
      <c r="F1" s="2" t="s">
        <v>4018</v>
      </c>
      <c r="G1" s="2" t="s">
        <v>5</v>
      </c>
      <c r="H1" s="2" t="s">
        <v>6</v>
      </c>
      <c r="I1" s="2" t="s">
        <v>7</v>
      </c>
      <c r="J1" s="2" t="s">
        <v>8</v>
      </c>
      <c r="K1" s="2" t="s">
        <v>9</v>
      </c>
      <c r="L1" s="2" t="s">
        <v>10</v>
      </c>
      <c r="M1" s="2" t="s">
        <v>11</v>
      </c>
      <c r="N1" s="2" t="s">
        <v>12</v>
      </c>
      <c r="O1" s="2" t="s">
        <v>13</v>
      </c>
    </row>
    <row r="2" spans="1:15" x14ac:dyDescent="0.3">
      <c r="A2" t="s">
        <v>14</v>
      </c>
      <c r="B2" s="1">
        <v>44737</v>
      </c>
      <c r="C2" t="s">
        <v>2014</v>
      </c>
      <c r="D2" t="s">
        <v>3999</v>
      </c>
      <c r="E2">
        <v>47</v>
      </c>
      <c r="F2" t="str">
        <f t="shared" ref="F2:F65" si="0">IF(E2&lt;=25,"18-25",IF(E2&lt;=35,"26-35",IF(E2&lt;=45,"36-45","46+")))</f>
        <v>46+</v>
      </c>
      <c r="G2" t="s">
        <v>4001</v>
      </c>
      <c r="H2" t="s">
        <v>4007</v>
      </c>
      <c r="I2" t="s">
        <v>4013</v>
      </c>
      <c r="J2">
        <v>1</v>
      </c>
      <c r="K2">
        <v>3311</v>
      </c>
      <c r="L2">
        <v>15</v>
      </c>
      <c r="M2">
        <v>3311</v>
      </c>
      <c r="N2">
        <v>496.65</v>
      </c>
      <c r="O2">
        <v>2814.35</v>
      </c>
    </row>
    <row r="3" spans="1:15" x14ac:dyDescent="0.3">
      <c r="A3" t="s">
        <v>15</v>
      </c>
      <c r="B3" s="1">
        <v>44758</v>
      </c>
      <c r="C3" t="s">
        <v>2015</v>
      </c>
      <c r="D3" t="s">
        <v>4000</v>
      </c>
      <c r="E3">
        <v>48</v>
      </c>
      <c r="F3" t="str">
        <f t="shared" si="0"/>
        <v>46+</v>
      </c>
      <c r="G3" t="s">
        <v>4002</v>
      </c>
      <c r="H3" t="s">
        <v>4008</v>
      </c>
      <c r="I3" t="s">
        <v>4014</v>
      </c>
      <c r="J3">
        <v>1</v>
      </c>
      <c r="K3">
        <v>6427</v>
      </c>
      <c r="L3">
        <v>0</v>
      </c>
      <c r="M3">
        <v>6427</v>
      </c>
      <c r="N3">
        <v>0</v>
      </c>
      <c r="O3">
        <v>6427</v>
      </c>
    </row>
    <row r="4" spans="1:15" x14ac:dyDescent="0.3">
      <c r="A4" t="s">
        <v>16</v>
      </c>
      <c r="B4" s="1">
        <v>45099</v>
      </c>
      <c r="C4" t="s">
        <v>2016</v>
      </c>
      <c r="D4" t="s">
        <v>4000</v>
      </c>
      <c r="E4">
        <v>31</v>
      </c>
      <c r="F4" t="str">
        <f t="shared" si="0"/>
        <v>26-35</v>
      </c>
      <c r="G4" t="s">
        <v>4003</v>
      </c>
      <c r="H4" t="s">
        <v>4009</v>
      </c>
      <c r="I4" t="s">
        <v>4013</v>
      </c>
      <c r="J4">
        <v>3</v>
      </c>
      <c r="K4">
        <v>2854</v>
      </c>
      <c r="L4">
        <v>0</v>
      </c>
      <c r="M4">
        <v>8562</v>
      </c>
      <c r="N4">
        <v>0</v>
      </c>
      <c r="O4">
        <v>8562</v>
      </c>
    </row>
    <row r="5" spans="1:15" x14ac:dyDescent="0.3">
      <c r="A5" t="s">
        <v>17</v>
      </c>
      <c r="B5" s="1">
        <v>45064</v>
      </c>
      <c r="C5" t="s">
        <v>2017</v>
      </c>
      <c r="D5" t="s">
        <v>3999</v>
      </c>
      <c r="E5">
        <v>49</v>
      </c>
      <c r="F5" t="str">
        <f t="shared" si="0"/>
        <v>46+</v>
      </c>
      <c r="G5" t="s">
        <v>4004</v>
      </c>
      <c r="H5" t="s">
        <v>4007</v>
      </c>
      <c r="I5" t="s">
        <v>4015</v>
      </c>
      <c r="J5">
        <v>1</v>
      </c>
      <c r="K5">
        <v>4128</v>
      </c>
      <c r="L5">
        <v>0</v>
      </c>
      <c r="M5">
        <v>4128</v>
      </c>
      <c r="N5">
        <v>0</v>
      </c>
      <c r="O5">
        <v>4128</v>
      </c>
    </row>
    <row r="6" spans="1:15" x14ac:dyDescent="0.3">
      <c r="A6" t="s">
        <v>18</v>
      </c>
      <c r="B6" s="1">
        <v>45141</v>
      </c>
      <c r="C6" t="s">
        <v>2018</v>
      </c>
      <c r="D6" t="s">
        <v>3999</v>
      </c>
      <c r="E6">
        <v>53</v>
      </c>
      <c r="F6" t="str">
        <f t="shared" si="0"/>
        <v>46+</v>
      </c>
      <c r="G6" t="s">
        <v>4005</v>
      </c>
      <c r="H6" t="s">
        <v>4010</v>
      </c>
      <c r="I6" t="s">
        <v>4014</v>
      </c>
      <c r="J6">
        <v>1</v>
      </c>
      <c r="K6">
        <v>7246</v>
      </c>
      <c r="L6">
        <v>0</v>
      </c>
      <c r="M6">
        <v>7246</v>
      </c>
      <c r="N6">
        <v>0</v>
      </c>
      <c r="O6">
        <v>7246</v>
      </c>
    </row>
    <row r="7" spans="1:15" x14ac:dyDescent="0.3">
      <c r="A7" t="s">
        <v>19</v>
      </c>
      <c r="B7" s="1">
        <v>44773</v>
      </c>
      <c r="C7" t="s">
        <v>2019</v>
      </c>
      <c r="D7" t="s">
        <v>3999</v>
      </c>
      <c r="E7">
        <v>41</v>
      </c>
      <c r="F7" t="str">
        <f t="shared" si="0"/>
        <v>36-45</v>
      </c>
      <c r="G7" t="s">
        <v>4001</v>
      </c>
      <c r="H7" t="s">
        <v>4011</v>
      </c>
      <c r="I7" t="s">
        <v>4015</v>
      </c>
      <c r="J7">
        <v>6</v>
      </c>
      <c r="K7">
        <v>6008</v>
      </c>
      <c r="L7">
        <v>0</v>
      </c>
      <c r="M7">
        <v>36048</v>
      </c>
      <c r="N7">
        <v>0</v>
      </c>
      <c r="O7">
        <v>36048</v>
      </c>
    </row>
    <row r="8" spans="1:15" ht="13.2" customHeight="1" x14ac:dyDescent="0.3">
      <c r="A8" t="s">
        <v>20</v>
      </c>
      <c r="B8" s="1">
        <v>45177</v>
      </c>
      <c r="C8" t="s">
        <v>2020</v>
      </c>
      <c r="D8" t="s">
        <v>3999</v>
      </c>
      <c r="E8">
        <v>61</v>
      </c>
      <c r="F8" t="str">
        <f t="shared" si="0"/>
        <v>46+</v>
      </c>
      <c r="G8" t="s">
        <v>4002</v>
      </c>
      <c r="H8" t="s">
        <v>4008</v>
      </c>
      <c r="I8" t="s">
        <v>4016</v>
      </c>
      <c r="J8">
        <v>3</v>
      </c>
      <c r="K8">
        <v>5311</v>
      </c>
      <c r="L8">
        <v>0</v>
      </c>
      <c r="M8">
        <v>15933</v>
      </c>
      <c r="N8">
        <v>0</v>
      </c>
      <c r="O8">
        <v>15933</v>
      </c>
    </row>
    <row r="9" spans="1:15" x14ac:dyDescent="0.3">
      <c r="A9" t="s">
        <v>21</v>
      </c>
      <c r="B9" s="1">
        <v>44910</v>
      </c>
      <c r="C9" t="s">
        <v>2021</v>
      </c>
      <c r="D9" t="s">
        <v>3999</v>
      </c>
      <c r="E9">
        <v>51</v>
      </c>
      <c r="F9" t="str">
        <f t="shared" si="0"/>
        <v>46+</v>
      </c>
      <c r="G9" t="s">
        <v>4004</v>
      </c>
      <c r="H9" t="s">
        <v>4011</v>
      </c>
      <c r="I9" t="s">
        <v>4013</v>
      </c>
      <c r="J9">
        <v>6</v>
      </c>
      <c r="K9">
        <v>1327</v>
      </c>
      <c r="L9">
        <v>15</v>
      </c>
      <c r="M9">
        <v>7962</v>
      </c>
      <c r="N9">
        <v>1194.3</v>
      </c>
      <c r="O9">
        <v>6767.7</v>
      </c>
    </row>
    <row r="10" spans="1:15" x14ac:dyDescent="0.3">
      <c r="A10" t="s">
        <v>22</v>
      </c>
      <c r="B10" s="1">
        <v>44747</v>
      </c>
      <c r="C10" t="s">
        <v>2022</v>
      </c>
      <c r="D10" t="s">
        <v>3999</v>
      </c>
      <c r="E10">
        <v>52</v>
      </c>
      <c r="F10" t="str">
        <f t="shared" si="0"/>
        <v>46+</v>
      </c>
      <c r="G10" t="s">
        <v>4001</v>
      </c>
      <c r="H10" t="s">
        <v>4008</v>
      </c>
      <c r="I10" t="s">
        <v>4015</v>
      </c>
      <c r="J10">
        <v>6</v>
      </c>
      <c r="K10">
        <v>5701</v>
      </c>
      <c r="L10">
        <v>5</v>
      </c>
      <c r="M10">
        <v>34206</v>
      </c>
      <c r="N10">
        <v>1710.3</v>
      </c>
      <c r="O10">
        <v>32495.7</v>
      </c>
    </row>
    <row r="11" spans="1:15" x14ac:dyDescent="0.3">
      <c r="A11" t="s">
        <v>23</v>
      </c>
      <c r="B11" s="1">
        <v>44960</v>
      </c>
      <c r="C11" t="s">
        <v>2023</v>
      </c>
      <c r="D11" t="s">
        <v>3999</v>
      </c>
      <c r="E11">
        <v>62</v>
      </c>
      <c r="F11" t="str">
        <f t="shared" si="0"/>
        <v>46+</v>
      </c>
      <c r="G11" t="s">
        <v>4001</v>
      </c>
      <c r="H11" t="s">
        <v>4007</v>
      </c>
      <c r="I11" t="s">
        <v>4014</v>
      </c>
      <c r="J11">
        <v>2</v>
      </c>
      <c r="K11">
        <v>4850</v>
      </c>
      <c r="L11">
        <v>20</v>
      </c>
      <c r="M11">
        <v>9700</v>
      </c>
      <c r="N11">
        <v>1940</v>
      </c>
      <c r="O11">
        <v>7760</v>
      </c>
    </row>
    <row r="12" spans="1:15" x14ac:dyDescent="0.3">
      <c r="A12" t="s">
        <v>24</v>
      </c>
      <c r="B12" s="1">
        <v>45097</v>
      </c>
      <c r="C12" t="s">
        <v>2024</v>
      </c>
      <c r="D12" t="s">
        <v>3999</v>
      </c>
      <c r="E12">
        <v>62</v>
      </c>
      <c r="F12" t="str">
        <f t="shared" si="0"/>
        <v>46+</v>
      </c>
      <c r="G12" t="s">
        <v>4001</v>
      </c>
      <c r="H12" t="s">
        <v>4011</v>
      </c>
      <c r="I12" t="s">
        <v>4013</v>
      </c>
      <c r="J12">
        <v>4</v>
      </c>
      <c r="K12">
        <v>4897</v>
      </c>
      <c r="L12">
        <v>20</v>
      </c>
      <c r="M12">
        <v>19588</v>
      </c>
      <c r="N12">
        <v>3917.6</v>
      </c>
      <c r="O12">
        <v>15670.4</v>
      </c>
    </row>
    <row r="13" spans="1:15" x14ac:dyDescent="0.3">
      <c r="A13" t="s">
        <v>25</v>
      </c>
      <c r="B13" s="1">
        <v>45146</v>
      </c>
      <c r="C13" t="s">
        <v>2025</v>
      </c>
      <c r="D13" t="s">
        <v>4000</v>
      </c>
      <c r="E13">
        <v>39</v>
      </c>
      <c r="F13" t="str">
        <f t="shared" si="0"/>
        <v>36-45</v>
      </c>
      <c r="G13" t="s">
        <v>4001</v>
      </c>
      <c r="H13" t="s">
        <v>4008</v>
      </c>
      <c r="I13" t="s">
        <v>4015</v>
      </c>
      <c r="J13">
        <v>2</v>
      </c>
      <c r="K13">
        <v>5849</v>
      </c>
      <c r="L13">
        <v>10</v>
      </c>
      <c r="M13">
        <v>11698</v>
      </c>
      <c r="N13">
        <v>1169.8</v>
      </c>
      <c r="O13">
        <v>10528.2</v>
      </c>
    </row>
    <row r="14" spans="1:15" x14ac:dyDescent="0.3">
      <c r="A14" t="s">
        <v>26</v>
      </c>
      <c r="B14" s="1">
        <v>44907</v>
      </c>
      <c r="C14" t="s">
        <v>2026</v>
      </c>
      <c r="D14" t="s">
        <v>4000</v>
      </c>
      <c r="E14">
        <v>41</v>
      </c>
      <c r="F14" t="str">
        <f t="shared" si="0"/>
        <v>36-45</v>
      </c>
      <c r="G14" t="s">
        <v>4002</v>
      </c>
      <c r="H14" t="s">
        <v>4012</v>
      </c>
      <c r="I14" t="s">
        <v>4014</v>
      </c>
      <c r="J14">
        <v>4</v>
      </c>
      <c r="K14">
        <v>7242</v>
      </c>
      <c r="L14">
        <v>5</v>
      </c>
      <c r="M14">
        <v>28968</v>
      </c>
      <c r="N14">
        <v>1448.4</v>
      </c>
      <c r="O14">
        <v>27519.599999999999</v>
      </c>
    </row>
    <row r="15" spans="1:15" x14ac:dyDescent="0.3">
      <c r="A15" t="s">
        <v>27</v>
      </c>
      <c r="B15" s="1">
        <v>44928</v>
      </c>
      <c r="C15" t="s">
        <v>2027</v>
      </c>
      <c r="D15" t="s">
        <v>4000</v>
      </c>
      <c r="E15">
        <v>38</v>
      </c>
      <c r="F15" t="str">
        <f t="shared" si="0"/>
        <v>36-45</v>
      </c>
      <c r="G15" t="s">
        <v>4001</v>
      </c>
      <c r="H15" t="s">
        <v>4012</v>
      </c>
      <c r="I15" t="s">
        <v>4016</v>
      </c>
      <c r="J15">
        <v>1</v>
      </c>
      <c r="K15">
        <v>4162</v>
      </c>
      <c r="L15">
        <v>0</v>
      </c>
      <c r="M15">
        <v>4162</v>
      </c>
      <c r="N15">
        <v>0</v>
      </c>
      <c r="O15">
        <v>4162</v>
      </c>
    </row>
    <row r="16" spans="1:15" x14ac:dyDescent="0.3">
      <c r="A16" t="s">
        <v>28</v>
      </c>
      <c r="B16" s="1">
        <v>45116</v>
      </c>
      <c r="C16" t="s">
        <v>2028</v>
      </c>
      <c r="D16" t="s">
        <v>3999</v>
      </c>
      <c r="E16">
        <v>24</v>
      </c>
      <c r="F16" t="str">
        <f t="shared" si="0"/>
        <v>18-25</v>
      </c>
      <c r="G16" t="s">
        <v>4004</v>
      </c>
      <c r="H16" t="s">
        <v>4012</v>
      </c>
      <c r="I16" t="s">
        <v>4014</v>
      </c>
      <c r="J16">
        <v>5</v>
      </c>
      <c r="K16">
        <v>3053</v>
      </c>
      <c r="L16">
        <v>10</v>
      </c>
      <c r="M16">
        <v>15265</v>
      </c>
      <c r="N16">
        <v>1526.5</v>
      </c>
      <c r="O16">
        <v>13738.5</v>
      </c>
    </row>
    <row r="17" spans="1:15" x14ac:dyDescent="0.3">
      <c r="A17" t="s">
        <v>29</v>
      </c>
      <c r="B17" s="1">
        <v>44729</v>
      </c>
      <c r="C17" t="s">
        <v>2029</v>
      </c>
      <c r="D17" t="s">
        <v>3999</v>
      </c>
      <c r="E17">
        <v>62</v>
      </c>
      <c r="F17" t="str">
        <f t="shared" si="0"/>
        <v>46+</v>
      </c>
      <c r="G17" t="s">
        <v>4001</v>
      </c>
      <c r="H17" t="s">
        <v>4010</v>
      </c>
      <c r="I17" t="s">
        <v>4016</v>
      </c>
      <c r="J17">
        <v>5</v>
      </c>
      <c r="K17">
        <v>1467</v>
      </c>
      <c r="L17">
        <v>5</v>
      </c>
      <c r="M17">
        <v>7335</v>
      </c>
      <c r="N17">
        <v>366.75</v>
      </c>
      <c r="O17">
        <v>6968.25</v>
      </c>
    </row>
    <row r="18" spans="1:15" x14ac:dyDescent="0.3">
      <c r="A18" t="s">
        <v>30</v>
      </c>
      <c r="B18" s="1">
        <v>44630</v>
      </c>
      <c r="C18" t="s">
        <v>2030</v>
      </c>
      <c r="D18" t="s">
        <v>4000</v>
      </c>
      <c r="E18">
        <v>63</v>
      </c>
      <c r="F18" t="str">
        <f t="shared" si="0"/>
        <v>46+</v>
      </c>
      <c r="G18" t="s">
        <v>4003</v>
      </c>
      <c r="H18" t="s">
        <v>4009</v>
      </c>
      <c r="I18" t="s">
        <v>4016</v>
      </c>
      <c r="J18">
        <v>5</v>
      </c>
      <c r="K18">
        <v>6367</v>
      </c>
      <c r="L18">
        <v>5</v>
      </c>
      <c r="M18">
        <v>31835</v>
      </c>
      <c r="N18">
        <v>1591.75</v>
      </c>
      <c r="O18">
        <v>30243.25</v>
      </c>
    </row>
    <row r="19" spans="1:15" x14ac:dyDescent="0.3">
      <c r="A19" t="s">
        <v>31</v>
      </c>
      <c r="B19" s="1">
        <v>44994</v>
      </c>
      <c r="C19" t="s">
        <v>2031</v>
      </c>
      <c r="D19" t="s">
        <v>4000</v>
      </c>
      <c r="E19">
        <v>57</v>
      </c>
      <c r="F19" t="str">
        <f t="shared" si="0"/>
        <v>46+</v>
      </c>
      <c r="G19" t="s">
        <v>4006</v>
      </c>
      <c r="H19" t="s">
        <v>4009</v>
      </c>
      <c r="I19" t="s">
        <v>4017</v>
      </c>
      <c r="J19">
        <v>4</v>
      </c>
      <c r="K19">
        <v>7817</v>
      </c>
      <c r="L19">
        <v>5</v>
      </c>
      <c r="M19">
        <v>31268</v>
      </c>
      <c r="N19">
        <v>1563.4</v>
      </c>
      <c r="O19">
        <v>29704.6</v>
      </c>
    </row>
    <row r="20" spans="1:15" x14ac:dyDescent="0.3">
      <c r="A20" t="s">
        <v>32</v>
      </c>
      <c r="B20" s="1">
        <v>44953</v>
      </c>
      <c r="C20" t="s">
        <v>2032</v>
      </c>
      <c r="D20" t="s">
        <v>4000</v>
      </c>
      <c r="E20">
        <v>22</v>
      </c>
      <c r="F20" t="str">
        <f t="shared" si="0"/>
        <v>18-25</v>
      </c>
      <c r="G20" t="s">
        <v>4006</v>
      </c>
      <c r="H20" t="s">
        <v>4007</v>
      </c>
      <c r="I20" t="s">
        <v>4013</v>
      </c>
      <c r="J20">
        <v>4</v>
      </c>
      <c r="K20">
        <v>5533</v>
      </c>
      <c r="L20">
        <v>5</v>
      </c>
      <c r="M20">
        <v>22132</v>
      </c>
      <c r="N20">
        <v>1106.5999999999999</v>
      </c>
      <c r="O20">
        <v>21025.4</v>
      </c>
    </row>
    <row r="21" spans="1:15" x14ac:dyDescent="0.3">
      <c r="A21" t="s">
        <v>33</v>
      </c>
      <c r="B21" s="1">
        <v>45074</v>
      </c>
      <c r="C21" t="s">
        <v>2033</v>
      </c>
      <c r="D21" t="s">
        <v>3999</v>
      </c>
      <c r="E21">
        <v>36</v>
      </c>
      <c r="F21" t="str">
        <f t="shared" si="0"/>
        <v>36-45</v>
      </c>
      <c r="G21" t="s">
        <v>4002</v>
      </c>
      <c r="H21" t="s">
        <v>4007</v>
      </c>
      <c r="I21" t="s">
        <v>4015</v>
      </c>
      <c r="J21">
        <v>4</v>
      </c>
      <c r="K21">
        <v>2150</v>
      </c>
      <c r="L21">
        <v>15</v>
      </c>
      <c r="M21">
        <v>8600</v>
      </c>
      <c r="N21">
        <v>1290</v>
      </c>
      <c r="O21">
        <v>7310</v>
      </c>
    </row>
    <row r="22" spans="1:15" x14ac:dyDescent="0.3">
      <c r="A22" t="s">
        <v>34</v>
      </c>
      <c r="B22" s="1">
        <v>44637</v>
      </c>
      <c r="C22" t="s">
        <v>2034</v>
      </c>
      <c r="D22" t="s">
        <v>4000</v>
      </c>
      <c r="E22">
        <v>34</v>
      </c>
      <c r="F22" t="str">
        <f t="shared" si="0"/>
        <v>26-35</v>
      </c>
      <c r="G22" t="s">
        <v>4004</v>
      </c>
      <c r="H22" t="s">
        <v>4008</v>
      </c>
      <c r="I22" t="s">
        <v>4015</v>
      </c>
      <c r="J22">
        <v>4</v>
      </c>
      <c r="K22">
        <v>2857</v>
      </c>
      <c r="L22">
        <v>0</v>
      </c>
      <c r="M22">
        <v>11428</v>
      </c>
      <c r="N22">
        <v>0</v>
      </c>
      <c r="O22">
        <v>11428</v>
      </c>
    </row>
    <row r="23" spans="1:15" x14ac:dyDescent="0.3">
      <c r="A23" t="s">
        <v>35</v>
      </c>
      <c r="B23" s="1">
        <v>44812</v>
      </c>
      <c r="C23" t="s">
        <v>2035</v>
      </c>
      <c r="D23" t="s">
        <v>4000</v>
      </c>
      <c r="E23">
        <v>41</v>
      </c>
      <c r="F23" t="str">
        <f t="shared" si="0"/>
        <v>36-45</v>
      </c>
      <c r="G23" t="s">
        <v>4003</v>
      </c>
      <c r="H23" t="s">
        <v>4011</v>
      </c>
      <c r="I23" t="s">
        <v>4014</v>
      </c>
      <c r="J23">
        <v>7</v>
      </c>
      <c r="K23">
        <v>1320</v>
      </c>
      <c r="L23">
        <v>0</v>
      </c>
      <c r="M23">
        <v>9240</v>
      </c>
      <c r="N23">
        <v>0</v>
      </c>
      <c r="O23">
        <v>9240</v>
      </c>
    </row>
    <row r="24" spans="1:15" x14ac:dyDescent="0.3">
      <c r="A24" t="s">
        <v>36</v>
      </c>
      <c r="B24" s="1">
        <v>44568</v>
      </c>
      <c r="C24" t="s">
        <v>2036</v>
      </c>
      <c r="D24" t="s">
        <v>4000</v>
      </c>
      <c r="E24">
        <v>31</v>
      </c>
      <c r="F24" t="str">
        <f t="shared" si="0"/>
        <v>26-35</v>
      </c>
      <c r="G24" t="s">
        <v>4005</v>
      </c>
      <c r="H24" t="s">
        <v>4008</v>
      </c>
      <c r="I24" t="s">
        <v>4017</v>
      </c>
      <c r="J24">
        <v>4</v>
      </c>
      <c r="K24">
        <v>4387</v>
      </c>
      <c r="L24">
        <v>0</v>
      </c>
      <c r="M24">
        <v>17548</v>
      </c>
      <c r="N24">
        <v>0</v>
      </c>
      <c r="O24">
        <v>17548</v>
      </c>
    </row>
    <row r="25" spans="1:15" x14ac:dyDescent="0.3">
      <c r="A25" t="s">
        <v>37</v>
      </c>
      <c r="B25" s="1">
        <v>45006</v>
      </c>
      <c r="C25" t="s">
        <v>2037</v>
      </c>
      <c r="D25" t="s">
        <v>4000</v>
      </c>
      <c r="E25">
        <v>58</v>
      </c>
      <c r="F25" t="str">
        <f t="shared" si="0"/>
        <v>46+</v>
      </c>
      <c r="G25" t="s">
        <v>4006</v>
      </c>
      <c r="H25" t="s">
        <v>4007</v>
      </c>
      <c r="I25" t="s">
        <v>4015</v>
      </c>
      <c r="J25">
        <v>5</v>
      </c>
      <c r="K25">
        <v>5904</v>
      </c>
      <c r="L25">
        <v>0</v>
      </c>
      <c r="M25">
        <v>29520</v>
      </c>
      <c r="N25">
        <v>0</v>
      </c>
      <c r="O25">
        <v>29520</v>
      </c>
    </row>
    <row r="26" spans="1:15" x14ac:dyDescent="0.3">
      <c r="A26" t="s">
        <v>38</v>
      </c>
      <c r="B26" s="1">
        <v>44606</v>
      </c>
      <c r="C26" t="s">
        <v>2038</v>
      </c>
      <c r="D26" t="s">
        <v>4000</v>
      </c>
      <c r="E26">
        <v>31</v>
      </c>
      <c r="F26" t="str">
        <f t="shared" si="0"/>
        <v>26-35</v>
      </c>
      <c r="G26" t="s">
        <v>4002</v>
      </c>
      <c r="H26" t="s">
        <v>4011</v>
      </c>
      <c r="I26" t="s">
        <v>4014</v>
      </c>
      <c r="J26">
        <v>1</v>
      </c>
      <c r="K26">
        <v>7927</v>
      </c>
      <c r="L26">
        <v>5</v>
      </c>
      <c r="M26">
        <v>7927</v>
      </c>
      <c r="N26">
        <v>396.35</v>
      </c>
      <c r="O26">
        <v>7530.65</v>
      </c>
    </row>
    <row r="27" spans="1:15" x14ac:dyDescent="0.3">
      <c r="A27" t="s">
        <v>39</v>
      </c>
      <c r="B27" s="1">
        <v>45265</v>
      </c>
      <c r="C27" t="s">
        <v>2039</v>
      </c>
      <c r="D27" t="s">
        <v>3999</v>
      </c>
      <c r="E27">
        <v>21</v>
      </c>
      <c r="F27" t="str">
        <f t="shared" si="0"/>
        <v>18-25</v>
      </c>
      <c r="G27" t="s">
        <v>4003</v>
      </c>
      <c r="H27" t="s">
        <v>4007</v>
      </c>
      <c r="I27" t="s">
        <v>4015</v>
      </c>
      <c r="J27">
        <v>5</v>
      </c>
      <c r="K27">
        <v>896</v>
      </c>
      <c r="L27">
        <v>0</v>
      </c>
      <c r="M27">
        <v>4480</v>
      </c>
      <c r="N27">
        <v>0</v>
      </c>
      <c r="O27">
        <v>4480</v>
      </c>
    </row>
    <row r="28" spans="1:15" x14ac:dyDescent="0.3">
      <c r="A28" t="s">
        <v>40</v>
      </c>
      <c r="B28" s="1">
        <v>44887</v>
      </c>
      <c r="C28" t="s">
        <v>2040</v>
      </c>
      <c r="D28" t="s">
        <v>3999</v>
      </c>
      <c r="E28">
        <v>46</v>
      </c>
      <c r="F28" t="str">
        <f t="shared" si="0"/>
        <v>46+</v>
      </c>
      <c r="G28" t="s">
        <v>4005</v>
      </c>
      <c r="H28" t="s">
        <v>4009</v>
      </c>
      <c r="I28" t="s">
        <v>4016</v>
      </c>
      <c r="J28">
        <v>7</v>
      </c>
      <c r="K28">
        <v>783</v>
      </c>
      <c r="L28">
        <v>15</v>
      </c>
      <c r="M28">
        <v>5481</v>
      </c>
      <c r="N28">
        <v>822.15</v>
      </c>
      <c r="O28">
        <v>4658.8500000000004</v>
      </c>
    </row>
    <row r="29" spans="1:15" x14ac:dyDescent="0.3">
      <c r="A29" t="s">
        <v>41</v>
      </c>
      <c r="B29" s="1">
        <v>44714</v>
      </c>
      <c r="C29" t="s">
        <v>2041</v>
      </c>
      <c r="D29" t="s">
        <v>4000</v>
      </c>
      <c r="E29">
        <v>60</v>
      </c>
      <c r="F29" t="str">
        <f t="shared" si="0"/>
        <v>46+</v>
      </c>
      <c r="G29" t="s">
        <v>4003</v>
      </c>
      <c r="H29" t="s">
        <v>4007</v>
      </c>
      <c r="I29" t="s">
        <v>4015</v>
      </c>
      <c r="J29">
        <v>5</v>
      </c>
      <c r="K29">
        <v>7964</v>
      </c>
      <c r="L29">
        <v>0</v>
      </c>
      <c r="M29">
        <v>39820</v>
      </c>
      <c r="N29">
        <v>0</v>
      </c>
      <c r="O29">
        <v>39820</v>
      </c>
    </row>
    <row r="30" spans="1:15" x14ac:dyDescent="0.3">
      <c r="A30" t="s">
        <v>42</v>
      </c>
      <c r="B30" s="1">
        <v>44745</v>
      </c>
      <c r="C30" t="s">
        <v>2042</v>
      </c>
      <c r="D30" t="s">
        <v>4000</v>
      </c>
      <c r="E30">
        <v>49</v>
      </c>
      <c r="F30" t="str">
        <f t="shared" si="0"/>
        <v>46+</v>
      </c>
      <c r="G30" t="s">
        <v>4003</v>
      </c>
      <c r="H30" t="s">
        <v>4008</v>
      </c>
      <c r="I30" t="s">
        <v>4017</v>
      </c>
      <c r="J30">
        <v>3</v>
      </c>
      <c r="K30">
        <v>5916</v>
      </c>
      <c r="L30">
        <v>0</v>
      </c>
      <c r="M30">
        <v>17748</v>
      </c>
      <c r="N30">
        <v>0</v>
      </c>
      <c r="O30">
        <v>17748</v>
      </c>
    </row>
    <row r="31" spans="1:15" x14ac:dyDescent="0.3">
      <c r="A31" t="s">
        <v>43</v>
      </c>
      <c r="B31" s="1">
        <v>44674</v>
      </c>
      <c r="C31" t="s">
        <v>2043</v>
      </c>
      <c r="D31" t="s">
        <v>4000</v>
      </c>
      <c r="E31">
        <v>36</v>
      </c>
      <c r="F31" t="str">
        <f t="shared" si="0"/>
        <v>36-45</v>
      </c>
      <c r="G31" t="s">
        <v>4004</v>
      </c>
      <c r="H31" t="s">
        <v>4010</v>
      </c>
      <c r="I31" t="s">
        <v>4016</v>
      </c>
      <c r="J31">
        <v>6</v>
      </c>
      <c r="K31">
        <v>6943</v>
      </c>
      <c r="L31">
        <v>10</v>
      </c>
      <c r="M31">
        <v>41658</v>
      </c>
      <c r="N31">
        <v>4165.8</v>
      </c>
      <c r="O31">
        <v>37492.199999999997</v>
      </c>
    </row>
    <row r="32" spans="1:15" x14ac:dyDescent="0.3">
      <c r="A32" t="s">
        <v>44</v>
      </c>
      <c r="B32" s="1">
        <v>44751</v>
      </c>
      <c r="C32" t="s">
        <v>2044</v>
      </c>
      <c r="D32" t="s">
        <v>3999</v>
      </c>
      <c r="E32">
        <v>27</v>
      </c>
      <c r="F32" t="str">
        <f t="shared" si="0"/>
        <v>26-35</v>
      </c>
      <c r="G32" t="s">
        <v>4001</v>
      </c>
      <c r="H32" t="s">
        <v>4007</v>
      </c>
      <c r="I32" t="s">
        <v>4013</v>
      </c>
      <c r="J32">
        <v>5</v>
      </c>
      <c r="K32">
        <v>1937</v>
      </c>
      <c r="L32">
        <v>0</v>
      </c>
      <c r="M32">
        <v>9685</v>
      </c>
      <c r="N32">
        <v>0</v>
      </c>
      <c r="O32">
        <v>9685</v>
      </c>
    </row>
    <row r="33" spans="1:15" x14ac:dyDescent="0.3">
      <c r="A33" t="s">
        <v>45</v>
      </c>
      <c r="B33" s="1">
        <v>44852</v>
      </c>
      <c r="C33" t="s">
        <v>2045</v>
      </c>
      <c r="D33" t="s">
        <v>4000</v>
      </c>
      <c r="E33">
        <v>26</v>
      </c>
      <c r="F33" t="str">
        <f t="shared" si="0"/>
        <v>26-35</v>
      </c>
      <c r="G33" t="s">
        <v>4005</v>
      </c>
      <c r="H33" t="s">
        <v>4010</v>
      </c>
      <c r="I33" t="s">
        <v>4016</v>
      </c>
      <c r="J33">
        <v>2</v>
      </c>
      <c r="K33">
        <v>2015</v>
      </c>
      <c r="L33">
        <v>15</v>
      </c>
      <c r="M33">
        <v>4030</v>
      </c>
      <c r="N33">
        <v>604.5</v>
      </c>
      <c r="O33">
        <v>3425.5</v>
      </c>
    </row>
    <row r="34" spans="1:15" x14ac:dyDescent="0.3">
      <c r="A34" t="s">
        <v>46</v>
      </c>
      <c r="B34" s="1">
        <v>44874</v>
      </c>
      <c r="C34" t="s">
        <v>2046</v>
      </c>
      <c r="D34" t="s">
        <v>3999</v>
      </c>
      <c r="E34">
        <v>54</v>
      </c>
      <c r="F34" t="str">
        <f t="shared" si="0"/>
        <v>46+</v>
      </c>
      <c r="G34" t="s">
        <v>4006</v>
      </c>
      <c r="H34" t="s">
        <v>4012</v>
      </c>
      <c r="I34" t="s">
        <v>4013</v>
      </c>
      <c r="J34">
        <v>2</v>
      </c>
      <c r="K34">
        <v>3271</v>
      </c>
      <c r="L34">
        <v>0</v>
      </c>
      <c r="M34">
        <v>6542</v>
      </c>
      <c r="N34">
        <v>0</v>
      </c>
      <c r="O34">
        <v>6542</v>
      </c>
    </row>
    <row r="35" spans="1:15" x14ac:dyDescent="0.3">
      <c r="A35" t="s">
        <v>47</v>
      </c>
      <c r="B35" s="1">
        <v>44763</v>
      </c>
      <c r="C35" t="s">
        <v>2047</v>
      </c>
      <c r="D35" t="s">
        <v>3999</v>
      </c>
      <c r="E35">
        <v>24</v>
      </c>
      <c r="F35" t="str">
        <f t="shared" si="0"/>
        <v>18-25</v>
      </c>
      <c r="G35" t="s">
        <v>4002</v>
      </c>
      <c r="H35" t="s">
        <v>4008</v>
      </c>
      <c r="I35" t="s">
        <v>4017</v>
      </c>
      <c r="J35">
        <v>4</v>
      </c>
      <c r="K35">
        <v>2951</v>
      </c>
      <c r="L35">
        <v>0</v>
      </c>
      <c r="M35">
        <v>11804</v>
      </c>
      <c r="N35">
        <v>0</v>
      </c>
      <c r="O35">
        <v>11804</v>
      </c>
    </row>
    <row r="36" spans="1:15" x14ac:dyDescent="0.3">
      <c r="A36" t="s">
        <v>48</v>
      </c>
      <c r="B36" s="1">
        <v>45024</v>
      </c>
      <c r="C36" t="s">
        <v>2048</v>
      </c>
      <c r="D36" t="s">
        <v>4000</v>
      </c>
      <c r="E36">
        <v>55</v>
      </c>
      <c r="F36" t="str">
        <f t="shared" si="0"/>
        <v>46+</v>
      </c>
      <c r="G36" t="s">
        <v>4002</v>
      </c>
      <c r="H36" t="s">
        <v>4007</v>
      </c>
      <c r="I36" t="s">
        <v>4013</v>
      </c>
      <c r="J36">
        <v>5</v>
      </c>
      <c r="K36">
        <v>7194</v>
      </c>
      <c r="L36">
        <v>0</v>
      </c>
      <c r="M36">
        <v>35970</v>
      </c>
      <c r="N36">
        <v>0</v>
      </c>
      <c r="O36">
        <v>35970</v>
      </c>
    </row>
    <row r="37" spans="1:15" x14ac:dyDescent="0.3">
      <c r="A37" t="s">
        <v>49</v>
      </c>
      <c r="B37" s="1">
        <v>45112</v>
      </c>
      <c r="C37" t="s">
        <v>2049</v>
      </c>
      <c r="D37" t="s">
        <v>4000</v>
      </c>
      <c r="E37">
        <v>26</v>
      </c>
      <c r="F37" t="str">
        <f t="shared" si="0"/>
        <v>26-35</v>
      </c>
      <c r="G37" t="s">
        <v>4006</v>
      </c>
      <c r="H37" t="s">
        <v>4007</v>
      </c>
      <c r="I37" t="s">
        <v>4015</v>
      </c>
      <c r="J37">
        <v>3</v>
      </c>
      <c r="K37">
        <v>5944</v>
      </c>
      <c r="L37">
        <v>10</v>
      </c>
      <c r="M37">
        <v>17832</v>
      </c>
      <c r="N37">
        <v>1783.2</v>
      </c>
      <c r="O37">
        <v>16048.8</v>
      </c>
    </row>
    <row r="38" spans="1:15" x14ac:dyDescent="0.3">
      <c r="A38" t="s">
        <v>50</v>
      </c>
      <c r="B38" s="1">
        <v>45056</v>
      </c>
      <c r="C38" t="s">
        <v>2050</v>
      </c>
      <c r="D38" t="s">
        <v>3999</v>
      </c>
      <c r="E38">
        <v>45</v>
      </c>
      <c r="F38" t="str">
        <f t="shared" si="0"/>
        <v>36-45</v>
      </c>
      <c r="G38" t="s">
        <v>4004</v>
      </c>
      <c r="H38" t="s">
        <v>4008</v>
      </c>
      <c r="I38" t="s">
        <v>4015</v>
      </c>
      <c r="J38">
        <v>2</v>
      </c>
      <c r="K38">
        <v>3040</v>
      </c>
      <c r="L38">
        <v>5</v>
      </c>
      <c r="M38">
        <v>6080</v>
      </c>
      <c r="N38">
        <v>304</v>
      </c>
      <c r="O38">
        <v>5776</v>
      </c>
    </row>
    <row r="39" spans="1:15" x14ac:dyDescent="0.3">
      <c r="A39" t="s">
        <v>51</v>
      </c>
      <c r="B39" s="1">
        <v>44699</v>
      </c>
      <c r="C39" t="s">
        <v>2051</v>
      </c>
      <c r="D39" t="s">
        <v>4000</v>
      </c>
      <c r="E39">
        <v>30</v>
      </c>
      <c r="F39" t="str">
        <f t="shared" si="0"/>
        <v>26-35</v>
      </c>
      <c r="G39" t="s">
        <v>4004</v>
      </c>
      <c r="H39" t="s">
        <v>4008</v>
      </c>
      <c r="I39" t="s">
        <v>4013</v>
      </c>
      <c r="J39">
        <v>7</v>
      </c>
      <c r="K39">
        <v>7079</v>
      </c>
      <c r="L39">
        <v>0</v>
      </c>
      <c r="M39">
        <v>49553</v>
      </c>
      <c r="N39">
        <v>0</v>
      </c>
      <c r="O39">
        <v>49553</v>
      </c>
    </row>
    <row r="40" spans="1:15" x14ac:dyDescent="0.3">
      <c r="A40" t="s">
        <v>52</v>
      </c>
      <c r="B40" s="1">
        <v>45045</v>
      </c>
      <c r="C40" t="s">
        <v>2052</v>
      </c>
      <c r="D40" t="s">
        <v>4000</v>
      </c>
      <c r="E40">
        <v>47</v>
      </c>
      <c r="F40" t="str">
        <f t="shared" si="0"/>
        <v>46+</v>
      </c>
      <c r="G40" t="s">
        <v>4003</v>
      </c>
      <c r="H40" t="s">
        <v>4009</v>
      </c>
      <c r="I40" t="s">
        <v>4013</v>
      </c>
      <c r="J40">
        <v>2</v>
      </c>
      <c r="K40">
        <v>6015</v>
      </c>
      <c r="L40">
        <v>0</v>
      </c>
      <c r="M40">
        <v>12030</v>
      </c>
      <c r="N40">
        <v>0</v>
      </c>
      <c r="O40">
        <v>12030</v>
      </c>
    </row>
    <row r="41" spans="1:15" x14ac:dyDescent="0.3">
      <c r="A41" t="s">
        <v>53</v>
      </c>
      <c r="B41" s="1">
        <v>44757</v>
      </c>
      <c r="C41" t="s">
        <v>2053</v>
      </c>
      <c r="D41" t="s">
        <v>3999</v>
      </c>
      <c r="E41">
        <v>49</v>
      </c>
      <c r="F41" t="str">
        <f t="shared" si="0"/>
        <v>46+</v>
      </c>
      <c r="G41" t="s">
        <v>4002</v>
      </c>
      <c r="H41" t="s">
        <v>4008</v>
      </c>
      <c r="I41" t="s">
        <v>4013</v>
      </c>
      <c r="J41">
        <v>7</v>
      </c>
      <c r="K41">
        <v>6550</v>
      </c>
      <c r="L41">
        <v>5</v>
      </c>
      <c r="M41">
        <v>45850</v>
      </c>
      <c r="N41">
        <v>2292.5</v>
      </c>
      <c r="O41">
        <v>43557.5</v>
      </c>
    </row>
    <row r="42" spans="1:15" x14ac:dyDescent="0.3">
      <c r="A42" t="s">
        <v>54</v>
      </c>
      <c r="B42" s="1">
        <v>44634</v>
      </c>
      <c r="C42" t="s">
        <v>2054</v>
      </c>
      <c r="D42" t="s">
        <v>3999</v>
      </c>
      <c r="E42">
        <v>63</v>
      </c>
      <c r="F42" t="str">
        <f t="shared" si="0"/>
        <v>46+</v>
      </c>
      <c r="G42" t="s">
        <v>4003</v>
      </c>
      <c r="H42" t="s">
        <v>4007</v>
      </c>
      <c r="I42" t="s">
        <v>4017</v>
      </c>
      <c r="J42">
        <v>4</v>
      </c>
      <c r="K42">
        <v>6271</v>
      </c>
      <c r="L42">
        <v>0</v>
      </c>
      <c r="M42">
        <v>25084</v>
      </c>
      <c r="N42">
        <v>0</v>
      </c>
      <c r="O42">
        <v>25084</v>
      </c>
    </row>
    <row r="43" spans="1:15" x14ac:dyDescent="0.3">
      <c r="A43" t="s">
        <v>55</v>
      </c>
      <c r="B43" s="1">
        <v>44819</v>
      </c>
      <c r="C43" t="s">
        <v>2055</v>
      </c>
      <c r="D43" t="s">
        <v>3999</v>
      </c>
      <c r="E43">
        <v>45</v>
      </c>
      <c r="F43" t="str">
        <f t="shared" si="0"/>
        <v>36-45</v>
      </c>
      <c r="G43" t="s">
        <v>4005</v>
      </c>
      <c r="H43" t="s">
        <v>4007</v>
      </c>
      <c r="I43" t="s">
        <v>4015</v>
      </c>
      <c r="J43">
        <v>2</v>
      </c>
      <c r="K43">
        <v>595</v>
      </c>
      <c r="L43">
        <v>15</v>
      </c>
      <c r="M43">
        <v>1190</v>
      </c>
      <c r="N43">
        <v>178.5</v>
      </c>
      <c r="O43">
        <v>1011.5</v>
      </c>
    </row>
    <row r="44" spans="1:15" x14ac:dyDescent="0.3">
      <c r="A44" t="s">
        <v>56</v>
      </c>
      <c r="B44" s="1">
        <v>45266</v>
      </c>
      <c r="C44" t="s">
        <v>2056</v>
      </c>
      <c r="D44" t="s">
        <v>4000</v>
      </c>
      <c r="E44">
        <v>23</v>
      </c>
      <c r="F44" t="str">
        <f t="shared" si="0"/>
        <v>18-25</v>
      </c>
      <c r="G44" t="s">
        <v>4003</v>
      </c>
      <c r="H44" t="s">
        <v>4008</v>
      </c>
      <c r="I44" t="s">
        <v>4017</v>
      </c>
      <c r="J44">
        <v>7</v>
      </c>
      <c r="K44">
        <v>3747</v>
      </c>
      <c r="L44">
        <v>0</v>
      </c>
      <c r="M44">
        <v>26229</v>
      </c>
      <c r="N44">
        <v>0</v>
      </c>
      <c r="O44">
        <v>26229</v>
      </c>
    </row>
    <row r="45" spans="1:15" x14ac:dyDescent="0.3">
      <c r="A45" t="s">
        <v>57</v>
      </c>
      <c r="B45" s="1">
        <v>44962</v>
      </c>
      <c r="C45" t="s">
        <v>2057</v>
      </c>
      <c r="D45" t="s">
        <v>3999</v>
      </c>
      <c r="E45">
        <v>23</v>
      </c>
      <c r="F45" t="str">
        <f t="shared" si="0"/>
        <v>18-25</v>
      </c>
      <c r="G45" t="s">
        <v>4002</v>
      </c>
      <c r="H45" t="s">
        <v>4010</v>
      </c>
      <c r="I45" t="s">
        <v>4017</v>
      </c>
      <c r="J45">
        <v>7</v>
      </c>
      <c r="K45">
        <v>3119</v>
      </c>
      <c r="L45">
        <v>10</v>
      </c>
      <c r="M45">
        <v>21833</v>
      </c>
      <c r="N45">
        <v>2183.3000000000002</v>
      </c>
      <c r="O45">
        <v>19649.7</v>
      </c>
    </row>
    <row r="46" spans="1:15" x14ac:dyDescent="0.3">
      <c r="A46" t="s">
        <v>58</v>
      </c>
      <c r="B46" s="1">
        <v>44936</v>
      </c>
      <c r="C46" t="s">
        <v>2058</v>
      </c>
      <c r="D46" t="s">
        <v>3999</v>
      </c>
      <c r="E46">
        <v>25</v>
      </c>
      <c r="F46" t="str">
        <f t="shared" si="0"/>
        <v>18-25</v>
      </c>
      <c r="G46" t="s">
        <v>4003</v>
      </c>
      <c r="H46" t="s">
        <v>4008</v>
      </c>
      <c r="I46" t="s">
        <v>4013</v>
      </c>
      <c r="J46">
        <v>5</v>
      </c>
      <c r="K46">
        <v>4666</v>
      </c>
      <c r="L46">
        <v>10</v>
      </c>
      <c r="M46">
        <v>23330</v>
      </c>
      <c r="N46">
        <v>2333</v>
      </c>
      <c r="O46">
        <v>20997</v>
      </c>
    </row>
    <row r="47" spans="1:15" x14ac:dyDescent="0.3">
      <c r="A47" t="s">
        <v>59</v>
      </c>
      <c r="B47" s="1">
        <v>44911</v>
      </c>
      <c r="C47" t="s">
        <v>2059</v>
      </c>
      <c r="D47" t="s">
        <v>4000</v>
      </c>
      <c r="E47">
        <v>46</v>
      </c>
      <c r="F47" t="str">
        <f t="shared" si="0"/>
        <v>46+</v>
      </c>
      <c r="G47" t="s">
        <v>4002</v>
      </c>
      <c r="H47" t="s">
        <v>4011</v>
      </c>
      <c r="I47" t="s">
        <v>4015</v>
      </c>
      <c r="J47">
        <v>5</v>
      </c>
      <c r="K47">
        <v>7548</v>
      </c>
      <c r="L47">
        <v>20</v>
      </c>
      <c r="M47">
        <v>37740</v>
      </c>
      <c r="N47">
        <v>7548</v>
      </c>
      <c r="O47">
        <v>30192</v>
      </c>
    </row>
    <row r="48" spans="1:15" x14ac:dyDescent="0.3">
      <c r="A48" t="s">
        <v>60</v>
      </c>
      <c r="B48" s="1">
        <v>45166</v>
      </c>
      <c r="C48" t="s">
        <v>2060</v>
      </c>
      <c r="D48" t="s">
        <v>3999</v>
      </c>
      <c r="E48">
        <v>44</v>
      </c>
      <c r="F48" t="str">
        <f t="shared" si="0"/>
        <v>36-45</v>
      </c>
      <c r="G48" t="s">
        <v>4001</v>
      </c>
      <c r="H48" t="s">
        <v>4010</v>
      </c>
      <c r="I48" t="s">
        <v>4017</v>
      </c>
      <c r="J48">
        <v>3</v>
      </c>
      <c r="K48">
        <v>5234</v>
      </c>
      <c r="L48">
        <v>0</v>
      </c>
      <c r="M48">
        <v>15702</v>
      </c>
      <c r="N48">
        <v>0</v>
      </c>
      <c r="O48">
        <v>15702</v>
      </c>
    </row>
    <row r="49" spans="1:15" x14ac:dyDescent="0.3">
      <c r="A49" t="s">
        <v>61</v>
      </c>
      <c r="B49" s="1">
        <v>45145</v>
      </c>
      <c r="C49" t="s">
        <v>2061</v>
      </c>
      <c r="D49" t="s">
        <v>4000</v>
      </c>
      <c r="E49">
        <v>28</v>
      </c>
      <c r="F49" t="str">
        <f t="shared" si="0"/>
        <v>26-35</v>
      </c>
      <c r="G49" t="s">
        <v>4004</v>
      </c>
      <c r="H49" t="s">
        <v>4012</v>
      </c>
      <c r="I49" t="s">
        <v>4013</v>
      </c>
      <c r="J49">
        <v>4</v>
      </c>
      <c r="K49">
        <v>630</v>
      </c>
      <c r="L49">
        <v>0</v>
      </c>
      <c r="M49">
        <v>2520</v>
      </c>
      <c r="N49">
        <v>0</v>
      </c>
      <c r="O49">
        <v>2520</v>
      </c>
    </row>
    <row r="50" spans="1:15" x14ac:dyDescent="0.3">
      <c r="A50" t="s">
        <v>62</v>
      </c>
      <c r="B50" s="1">
        <v>44841</v>
      </c>
      <c r="C50" t="s">
        <v>2062</v>
      </c>
      <c r="D50" t="s">
        <v>3999</v>
      </c>
      <c r="E50">
        <v>23</v>
      </c>
      <c r="F50" t="str">
        <f t="shared" si="0"/>
        <v>18-25</v>
      </c>
      <c r="G50" t="s">
        <v>4005</v>
      </c>
      <c r="H50" t="s">
        <v>4008</v>
      </c>
      <c r="I50" t="s">
        <v>4015</v>
      </c>
      <c r="J50">
        <v>3</v>
      </c>
      <c r="K50">
        <v>5627</v>
      </c>
      <c r="L50">
        <v>10</v>
      </c>
      <c r="M50">
        <v>16881</v>
      </c>
      <c r="N50">
        <v>1688.1</v>
      </c>
      <c r="O50">
        <v>15192.9</v>
      </c>
    </row>
    <row r="51" spans="1:15" x14ac:dyDescent="0.3">
      <c r="A51" t="s">
        <v>63</v>
      </c>
      <c r="B51" s="1">
        <v>45084</v>
      </c>
      <c r="C51" t="s">
        <v>2063</v>
      </c>
      <c r="D51" t="s">
        <v>4000</v>
      </c>
      <c r="E51">
        <v>49</v>
      </c>
      <c r="F51" t="str">
        <f t="shared" si="0"/>
        <v>46+</v>
      </c>
      <c r="G51" t="s">
        <v>4003</v>
      </c>
      <c r="H51" t="s">
        <v>4009</v>
      </c>
      <c r="I51" t="s">
        <v>4015</v>
      </c>
      <c r="J51">
        <v>5</v>
      </c>
      <c r="K51">
        <v>2204</v>
      </c>
      <c r="L51">
        <v>0</v>
      </c>
      <c r="M51">
        <v>11020</v>
      </c>
      <c r="N51">
        <v>0</v>
      </c>
      <c r="O51">
        <v>11020</v>
      </c>
    </row>
    <row r="52" spans="1:15" x14ac:dyDescent="0.3">
      <c r="A52" t="s">
        <v>64</v>
      </c>
      <c r="B52" s="1">
        <v>45010</v>
      </c>
      <c r="C52" t="s">
        <v>2064</v>
      </c>
      <c r="D52" t="s">
        <v>4000</v>
      </c>
      <c r="E52">
        <v>52</v>
      </c>
      <c r="F52" t="str">
        <f t="shared" si="0"/>
        <v>46+</v>
      </c>
      <c r="G52" t="s">
        <v>4001</v>
      </c>
      <c r="H52" t="s">
        <v>4008</v>
      </c>
      <c r="I52" t="s">
        <v>4017</v>
      </c>
      <c r="J52">
        <v>4</v>
      </c>
      <c r="K52">
        <v>6846</v>
      </c>
      <c r="L52">
        <v>0</v>
      </c>
      <c r="M52">
        <v>27384</v>
      </c>
      <c r="N52">
        <v>0</v>
      </c>
      <c r="O52">
        <v>27384</v>
      </c>
    </row>
    <row r="53" spans="1:15" x14ac:dyDescent="0.3">
      <c r="A53" t="s">
        <v>65</v>
      </c>
      <c r="B53" s="1">
        <v>44879</v>
      </c>
      <c r="C53" t="s">
        <v>2065</v>
      </c>
      <c r="D53" t="s">
        <v>4000</v>
      </c>
      <c r="E53">
        <v>34</v>
      </c>
      <c r="F53" t="str">
        <f t="shared" si="0"/>
        <v>26-35</v>
      </c>
      <c r="G53" t="s">
        <v>4002</v>
      </c>
      <c r="H53" t="s">
        <v>4008</v>
      </c>
      <c r="I53" t="s">
        <v>4016</v>
      </c>
      <c r="J53">
        <v>4</v>
      </c>
      <c r="K53">
        <v>2104</v>
      </c>
      <c r="L53">
        <v>10</v>
      </c>
      <c r="M53">
        <v>8416</v>
      </c>
      <c r="N53">
        <v>841.6</v>
      </c>
      <c r="O53">
        <v>7574.4</v>
      </c>
    </row>
    <row r="54" spans="1:15" x14ac:dyDescent="0.3">
      <c r="A54" t="s">
        <v>66</v>
      </c>
      <c r="B54" s="1">
        <v>44953</v>
      </c>
      <c r="C54" t="s">
        <v>2066</v>
      </c>
      <c r="D54" t="s">
        <v>3999</v>
      </c>
      <c r="E54">
        <v>36</v>
      </c>
      <c r="F54" t="str">
        <f t="shared" si="0"/>
        <v>36-45</v>
      </c>
      <c r="G54" t="s">
        <v>4005</v>
      </c>
      <c r="H54" t="s">
        <v>4008</v>
      </c>
      <c r="I54" t="s">
        <v>4016</v>
      </c>
      <c r="J54">
        <v>2</v>
      </c>
      <c r="K54">
        <v>5275</v>
      </c>
      <c r="L54">
        <v>5</v>
      </c>
      <c r="M54">
        <v>10550</v>
      </c>
      <c r="N54">
        <v>527.5</v>
      </c>
      <c r="O54">
        <v>10022.5</v>
      </c>
    </row>
    <row r="55" spans="1:15" x14ac:dyDescent="0.3">
      <c r="A55" t="s">
        <v>67</v>
      </c>
      <c r="B55" s="1">
        <v>44713</v>
      </c>
      <c r="C55" t="s">
        <v>2067</v>
      </c>
      <c r="D55" t="s">
        <v>4000</v>
      </c>
      <c r="E55">
        <v>56</v>
      </c>
      <c r="F55" t="str">
        <f t="shared" si="0"/>
        <v>46+</v>
      </c>
      <c r="G55" t="s">
        <v>4004</v>
      </c>
      <c r="H55" t="s">
        <v>4008</v>
      </c>
      <c r="I55" t="s">
        <v>4015</v>
      </c>
      <c r="J55">
        <v>2</v>
      </c>
      <c r="K55">
        <v>6403</v>
      </c>
      <c r="L55">
        <v>5</v>
      </c>
      <c r="M55">
        <v>12806</v>
      </c>
      <c r="N55">
        <v>640.29999999999995</v>
      </c>
      <c r="O55">
        <v>12165.7</v>
      </c>
    </row>
    <row r="56" spans="1:15" x14ac:dyDescent="0.3">
      <c r="A56" t="s">
        <v>68</v>
      </c>
      <c r="B56" s="1">
        <v>44654</v>
      </c>
      <c r="C56" t="s">
        <v>2068</v>
      </c>
      <c r="D56" t="s">
        <v>4000</v>
      </c>
      <c r="E56">
        <v>20</v>
      </c>
      <c r="F56" t="str">
        <f t="shared" si="0"/>
        <v>18-25</v>
      </c>
      <c r="G56" t="s">
        <v>4006</v>
      </c>
      <c r="H56" t="s">
        <v>4007</v>
      </c>
      <c r="I56" t="s">
        <v>4017</v>
      </c>
      <c r="J56">
        <v>5</v>
      </c>
      <c r="K56">
        <v>6380</v>
      </c>
      <c r="L56">
        <v>15</v>
      </c>
      <c r="M56">
        <v>31900</v>
      </c>
      <c r="N56">
        <v>4785</v>
      </c>
      <c r="O56">
        <v>27115</v>
      </c>
    </row>
    <row r="57" spans="1:15" x14ac:dyDescent="0.3">
      <c r="A57" t="s">
        <v>69</v>
      </c>
      <c r="B57" s="1">
        <v>44786</v>
      </c>
      <c r="C57" t="s">
        <v>2069</v>
      </c>
      <c r="D57" t="s">
        <v>3999</v>
      </c>
      <c r="E57">
        <v>45</v>
      </c>
      <c r="F57" t="str">
        <f t="shared" si="0"/>
        <v>36-45</v>
      </c>
      <c r="G57" t="s">
        <v>4003</v>
      </c>
      <c r="H57" t="s">
        <v>4007</v>
      </c>
      <c r="I57" t="s">
        <v>4015</v>
      </c>
      <c r="J57">
        <v>1</v>
      </c>
      <c r="K57">
        <v>7787</v>
      </c>
      <c r="L57">
        <v>5</v>
      </c>
      <c r="M57">
        <v>7787</v>
      </c>
      <c r="N57">
        <v>389.35</v>
      </c>
      <c r="O57">
        <v>7397.65</v>
      </c>
    </row>
    <row r="58" spans="1:15" x14ac:dyDescent="0.3">
      <c r="A58" t="s">
        <v>70</v>
      </c>
      <c r="B58" s="1">
        <v>45223</v>
      </c>
      <c r="C58" t="s">
        <v>2070</v>
      </c>
      <c r="D58" t="s">
        <v>4000</v>
      </c>
      <c r="E58">
        <v>31</v>
      </c>
      <c r="F58" t="str">
        <f t="shared" si="0"/>
        <v>26-35</v>
      </c>
      <c r="G58" t="s">
        <v>4005</v>
      </c>
      <c r="H58" t="s">
        <v>4007</v>
      </c>
      <c r="I58" t="s">
        <v>4017</v>
      </c>
      <c r="J58">
        <v>3</v>
      </c>
      <c r="K58">
        <v>2841</v>
      </c>
      <c r="L58">
        <v>10</v>
      </c>
      <c r="M58">
        <v>8523</v>
      </c>
      <c r="N58">
        <v>852.3</v>
      </c>
      <c r="O58">
        <v>7670.7</v>
      </c>
    </row>
    <row r="59" spans="1:15" x14ac:dyDescent="0.3">
      <c r="A59" t="s">
        <v>71</v>
      </c>
      <c r="B59" s="1">
        <v>44918</v>
      </c>
      <c r="C59" t="s">
        <v>2071</v>
      </c>
      <c r="D59" t="s">
        <v>4000</v>
      </c>
      <c r="E59">
        <v>53</v>
      </c>
      <c r="F59" t="str">
        <f t="shared" si="0"/>
        <v>46+</v>
      </c>
      <c r="G59" t="s">
        <v>4005</v>
      </c>
      <c r="H59" t="s">
        <v>4010</v>
      </c>
      <c r="I59" t="s">
        <v>4015</v>
      </c>
      <c r="J59">
        <v>2</v>
      </c>
      <c r="K59">
        <v>3757</v>
      </c>
      <c r="L59">
        <v>0</v>
      </c>
      <c r="M59">
        <v>7514</v>
      </c>
      <c r="N59">
        <v>0</v>
      </c>
      <c r="O59">
        <v>7514</v>
      </c>
    </row>
    <row r="60" spans="1:15" x14ac:dyDescent="0.3">
      <c r="A60" t="s">
        <v>72</v>
      </c>
      <c r="B60" s="1">
        <v>45043</v>
      </c>
      <c r="C60" t="s">
        <v>2072</v>
      </c>
      <c r="D60" t="s">
        <v>3999</v>
      </c>
      <c r="E60">
        <v>18</v>
      </c>
      <c r="F60" t="str">
        <f t="shared" si="0"/>
        <v>18-25</v>
      </c>
      <c r="G60" t="s">
        <v>4004</v>
      </c>
      <c r="H60" t="s">
        <v>4012</v>
      </c>
      <c r="I60" t="s">
        <v>4013</v>
      </c>
      <c r="J60">
        <v>2</v>
      </c>
      <c r="K60">
        <v>1959</v>
      </c>
      <c r="L60">
        <v>5</v>
      </c>
      <c r="M60">
        <v>3918</v>
      </c>
      <c r="N60">
        <v>195.9</v>
      </c>
      <c r="O60">
        <v>3722.1</v>
      </c>
    </row>
    <row r="61" spans="1:15" x14ac:dyDescent="0.3">
      <c r="A61" t="s">
        <v>73</v>
      </c>
      <c r="B61" s="1">
        <v>45141</v>
      </c>
      <c r="C61" t="s">
        <v>2073</v>
      </c>
      <c r="D61" t="s">
        <v>4000</v>
      </c>
      <c r="E61">
        <v>18</v>
      </c>
      <c r="F61" t="str">
        <f t="shared" si="0"/>
        <v>18-25</v>
      </c>
      <c r="G61" t="s">
        <v>4001</v>
      </c>
      <c r="H61" t="s">
        <v>4011</v>
      </c>
      <c r="I61" t="s">
        <v>4013</v>
      </c>
      <c r="J61">
        <v>4</v>
      </c>
      <c r="K61">
        <v>7812</v>
      </c>
      <c r="L61">
        <v>0</v>
      </c>
      <c r="M61">
        <v>31248</v>
      </c>
      <c r="N61">
        <v>0</v>
      </c>
      <c r="O61">
        <v>31248</v>
      </c>
    </row>
    <row r="62" spans="1:15" x14ac:dyDescent="0.3">
      <c r="A62" t="s">
        <v>74</v>
      </c>
      <c r="B62" s="1">
        <v>44781</v>
      </c>
      <c r="C62" t="s">
        <v>2074</v>
      </c>
      <c r="D62" t="s">
        <v>3999</v>
      </c>
      <c r="E62">
        <v>26</v>
      </c>
      <c r="F62" t="str">
        <f t="shared" si="0"/>
        <v>26-35</v>
      </c>
      <c r="G62" t="s">
        <v>4001</v>
      </c>
      <c r="H62" t="s">
        <v>4007</v>
      </c>
      <c r="I62" t="s">
        <v>4014</v>
      </c>
      <c r="J62">
        <v>2</v>
      </c>
      <c r="K62">
        <v>3199</v>
      </c>
      <c r="L62">
        <v>10</v>
      </c>
      <c r="M62">
        <v>6398</v>
      </c>
      <c r="N62">
        <v>639.79999999999995</v>
      </c>
      <c r="O62">
        <v>5758.2</v>
      </c>
    </row>
    <row r="63" spans="1:15" x14ac:dyDescent="0.3">
      <c r="A63" t="s">
        <v>75</v>
      </c>
      <c r="B63" s="1">
        <v>45043</v>
      </c>
      <c r="C63" t="s">
        <v>2075</v>
      </c>
      <c r="D63" t="s">
        <v>3999</v>
      </c>
      <c r="E63">
        <v>43</v>
      </c>
      <c r="F63" t="str">
        <f t="shared" si="0"/>
        <v>36-45</v>
      </c>
      <c r="G63" t="s">
        <v>4005</v>
      </c>
      <c r="H63" t="s">
        <v>4012</v>
      </c>
      <c r="I63" t="s">
        <v>4014</v>
      </c>
      <c r="J63">
        <v>3</v>
      </c>
      <c r="K63">
        <v>5485</v>
      </c>
      <c r="L63">
        <v>0</v>
      </c>
      <c r="M63">
        <v>16455</v>
      </c>
      <c r="N63">
        <v>0</v>
      </c>
      <c r="O63">
        <v>16455</v>
      </c>
    </row>
    <row r="64" spans="1:15" x14ac:dyDescent="0.3">
      <c r="A64" t="s">
        <v>76</v>
      </c>
      <c r="B64" s="1">
        <v>44581</v>
      </c>
      <c r="C64" t="s">
        <v>2076</v>
      </c>
      <c r="D64" t="s">
        <v>4000</v>
      </c>
      <c r="E64">
        <v>61</v>
      </c>
      <c r="F64" t="str">
        <f t="shared" si="0"/>
        <v>46+</v>
      </c>
      <c r="G64" t="s">
        <v>4002</v>
      </c>
      <c r="H64" t="s">
        <v>4008</v>
      </c>
      <c r="I64" t="s">
        <v>4013</v>
      </c>
      <c r="J64">
        <v>7</v>
      </c>
      <c r="K64">
        <v>6949</v>
      </c>
      <c r="L64">
        <v>0</v>
      </c>
      <c r="M64">
        <v>48643</v>
      </c>
      <c r="N64">
        <v>0</v>
      </c>
      <c r="O64">
        <v>48643</v>
      </c>
    </row>
    <row r="65" spans="1:15" x14ac:dyDescent="0.3">
      <c r="A65" t="s">
        <v>77</v>
      </c>
      <c r="B65" s="1">
        <v>45078</v>
      </c>
      <c r="C65" t="s">
        <v>2077</v>
      </c>
      <c r="D65" t="s">
        <v>4000</v>
      </c>
      <c r="E65">
        <v>63</v>
      </c>
      <c r="F65" t="str">
        <f t="shared" si="0"/>
        <v>46+</v>
      </c>
      <c r="G65" t="s">
        <v>4005</v>
      </c>
      <c r="H65" t="s">
        <v>4009</v>
      </c>
      <c r="I65" t="s">
        <v>4017</v>
      </c>
      <c r="J65">
        <v>2</v>
      </c>
      <c r="K65">
        <v>5886</v>
      </c>
      <c r="L65">
        <v>0</v>
      </c>
      <c r="M65">
        <v>11772</v>
      </c>
      <c r="N65">
        <v>0</v>
      </c>
      <c r="O65">
        <v>11772</v>
      </c>
    </row>
    <row r="66" spans="1:15" x14ac:dyDescent="0.3">
      <c r="A66" t="s">
        <v>78</v>
      </c>
      <c r="B66" s="1">
        <v>44595</v>
      </c>
      <c r="C66" t="s">
        <v>2078</v>
      </c>
      <c r="D66" t="s">
        <v>3999</v>
      </c>
      <c r="E66">
        <v>38</v>
      </c>
      <c r="F66" t="str">
        <f t="shared" ref="F66:F129" si="1">IF(E66&lt;=25,"18-25",IF(E66&lt;=35,"26-35",IF(E66&lt;=45,"36-45","46+")))</f>
        <v>36-45</v>
      </c>
      <c r="G66" t="s">
        <v>4004</v>
      </c>
      <c r="H66" t="s">
        <v>4011</v>
      </c>
      <c r="I66" t="s">
        <v>4017</v>
      </c>
      <c r="J66">
        <v>3</v>
      </c>
      <c r="K66">
        <v>1569</v>
      </c>
      <c r="L66">
        <v>10</v>
      </c>
      <c r="M66">
        <v>4707</v>
      </c>
      <c r="N66">
        <v>470.7</v>
      </c>
      <c r="O66">
        <v>4236.3</v>
      </c>
    </row>
    <row r="67" spans="1:15" x14ac:dyDescent="0.3">
      <c r="A67" t="s">
        <v>79</v>
      </c>
      <c r="B67" s="1">
        <v>44685</v>
      </c>
      <c r="C67" t="s">
        <v>2079</v>
      </c>
      <c r="D67" t="s">
        <v>4000</v>
      </c>
      <c r="E67">
        <v>61</v>
      </c>
      <c r="F67" t="str">
        <f t="shared" si="1"/>
        <v>46+</v>
      </c>
      <c r="G67" t="s">
        <v>4002</v>
      </c>
      <c r="H67" t="s">
        <v>4008</v>
      </c>
      <c r="I67" t="s">
        <v>4013</v>
      </c>
      <c r="J67">
        <v>3</v>
      </c>
      <c r="K67">
        <v>3539</v>
      </c>
      <c r="L67">
        <v>10</v>
      </c>
      <c r="M67">
        <v>10617</v>
      </c>
      <c r="N67">
        <v>1061.7</v>
      </c>
      <c r="O67">
        <v>9555.2999999999993</v>
      </c>
    </row>
    <row r="68" spans="1:15" x14ac:dyDescent="0.3">
      <c r="A68" t="s">
        <v>80</v>
      </c>
      <c r="B68" s="1">
        <v>44848</v>
      </c>
      <c r="C68" t="s">
        <v>2080</v>
      </c>
      <c r="D68" t="s">
        <v>4000</v>
      </c>
      <c r="E68">
        <v>57</v>
      </c>
      <c r="F68" t="str">
        <f t="shared" si="1"/>
        <v>46+</v>
      </c>
      <c r="G68" t="s">
        <v>4005</v>
      </c>
      <c r="H68" t="s">
        <v>4011</v>
      </c>
      <c r="I68" t="s">
        <v>4014</v>
      </c>
      <c r="J68">
        <v>4</v>
      </c>
      <c r="K68">
        <v>2479</v>
      </c>
      <c r="L68">
        <v>0</v>
      </c>
      <c r="M68">
        <v>9916</v>
      </c>
      <c r="N68">
        <v>0</v>
      </c>
      <c r="O68">
        <v>9916</v>
      </c>
    </row>
    <row r="69" spans="1:15" x14ac:dyDescent="0.3">
      <c r="A69" t="s">
        <v>81</v>
      </c>
      <c r="B69" s="1">
        <v>45259</v>
      </c>
      <c r="C69" t="s">
        <v>2081</v>
      </c>
      <c r="D69" t="s">
        <v>4000</v>
      </c>
      <c r="E69">
        <v>56</v>
      </c>
      <c r="F69" t="str">
        <f t="shared" si="1"/>
        <v>46+</v>
      </c>
      <c r="G69" t="s">
        <v>4002</v>
      </c>
      <c r="H69" t="s">
        <v>4007</v>
      </c>
      <c r="I69" t="s">
        <v>4016</v>
      </c>
      <c r="J69">
        <v>7</v>
      </c>
      <c r="K69">
        <v>4369</v>
      </c>
      <c r="L69">
        <v>5</v>
      </c>
      <c r="M69">
        <v>30583</v>
      </c>
      <c r="N69">
        <v>1529.15</v>
      </c>
      <c r="O69">
        <v>29053.85</v>
      </c>
    </row>
    <row r="70" spans="1:15" x14ac:dyDescent="0.3">
      <c r="A70" t="s">
        <v>82</v>
      </c>
      <c r="B70" s="1">
        <v>44977</v>
      </c>
      <c r="C70" t="s">
        <v>2082</v>
      </c>
      <c r="D70" t="s">
        <v>4000</v>
      </c>
      <c r="E70">
        <v>37</v>
      </c>
      <c r="F70" t="str">
        <f t="shared" si="1"/>
        <v>36-45</v>
      </c>
      <c r="G70" t="s">
        <v>4006</v>
      </c>
      <c r="H70" t="s">
        <v>4010</v>
      </c>
      <c r="I70" t="s">
        <v>4015</v>
      </c>
      <c r="J70">
        <v>6</v>
      </c>
      <c r="K70">
        <v>7261</v>
      </c>
      <c r="L70">
        <v>10</v>
      </c>
      <c r="M70">
        <v>43566</v>
      </c>
      <c r="N70">
        <v>4356.6000000000004</v>
      </c>
      <c r="O70">
        <v>39209.4</v>
      </c>
    </row>
    <row r="71" spans="1:15" x14ac:dyDescent="0.3">
      <c r="A71" t="s">
        <v>83</v>
      </c>
      <c r="B71" s="1">
        <v>44692</v>
      </c>
      <c r="C71" t="s">
        <v>2083</v>
      </c>
      <c r="D71" t="s">
        <v>3999</v>
      </c>
      <c r="E71">
        <v>24</v>
      </c>
      <c r="F71" t="str">
        <f t="shared" si="1"/>
        <v>18-25</v>
      </c>
      <c r="G71" t="s">
        <v>4003</v>
      </c>
      <c r="H71" t="s">
        <v>4008</v>
      </c>
      <c r="I71" t="s">
        <v>4014</v>
      </c>
      <c r="J71">
        <v>3</v>
      </c>
      <c r="K71">
        <v>4291</v>
      </c>
      <c r="L71">
        <v>0</v>
      </c>
      <c r="M71">
        <v>12873</v>
      </c>
      <c r="N71">
        <v>0</v>
      </c>
      <c r="O71">
        <v>12873</v>
      </c>
    </row>
    <row r="72" spans="1:15" x14ac:dyDescent="0.3">
      <c r="A72" t="s">
        <v>84</v>
      </c>
      <c r="B72" s="1">
        <v>44645</v>
      </c>
      <c r="C72" t="s">
        <v>2084</v>
      </c>
      <c r="D72" t="s">
        <v>4000</v>
      </c>
      <c r="E72">
        <v>20</v>
      </c>
      <c r="F72" t="str">
        <f t="shared" si="1"/>
        <v>18-25</v>
      </c>
      <c r="G72" t="s">
        <v>4001</v>
      </c>
      <c r="H72" t="s">
        <v>4012</v>
      </c>
      <c r="I72" t="s">
        <v>4015</v>
      </c>
      <c r="J72">
        <v>7</v>
      </c>
      <c r="K72">
        <v>7157</v>
      </c>
      <c r="L72">
        <v>0</v>
      </c>
      <c r="M72">
        <v>50099</v>
      </c>
      <c r="N72">
        <v>0</v>
      </c>
      <c r="O72">
        <v>50099</v>
      </c>
    </row>
    <row r="73" spans="1:15" x14ac:dyDescent="0.3">
      <c r="A73" t="s">
        <v>85</v>
      </c>
      <c r="B73" s="1">
        <v>44964</v>
      </c>
      <c r="C73" t="s">
        <v>2085</v>
      </c>
      <c r="D73" t="s">
        <v>3999</v>
      </c>
      <c r="E73">
        <v>21</v>
      </c>
      <c r="F73" t="str">
        <f t="shared" si="1"/>
        <v>18-25</v>
      </c>
      <c r="G73" t="s">
        <v>4004</v>
      </c>
      <c r="H73" t="s">
        <v>4008</v>
      </c>
      <c r="I73" t="s">
        <v>4014</v>
      </c>
      <c r="J73">
        <v>2</v>
      </c>
      <c r="K73">
        <v>742</v>
      </c>
      <c r="L73">
        <v>5</v>
      </c>
      <c r="M73">
        <v>1484</v>
      </c>
      <c r="N73">
        <v>74.2</v>
      </c>
      <c r="O73">
        <v>1409.8</v>
      </c>
    </row>
    <row r="74" spans="1:15" x14ac:dyDescent="0.3">
      <c r="A74" t="s">
        <v>86</v>
      </c>
      <c r="B74" s="1">
        <v>44583</v>
      </c>
      <c r="C74" t="s">
        <v>2086</v>
      </c>
      <c r="D74" t="s">
        <v>4000</v>
      </c>
      <c r="E74">
        <v>32</v>
      </c>
      <c r="F74" t="str">
        <f t="shared" si="1"/>
        <v>26-35</v>
      </c>
      <c r="G74" t="s">
        <v>4001</v>
      </c>
      <c r="H74" t="s">
        <v>4010</v>
      </c>
      <c r="I74" t="s">
        <v>4015</v>
      </c>
      <c r="J74">
        <v>6</v>
      </c>
      <c r="K74">
        <v>1610</v>
      </c>
      <c r="L74">
        <v>0</v>
      </c>
      <c r="M74">
        <v>9660</v>
      </c>
      <c r="N74">
        <v>0</v>
      </c>
      <c r="O74">
        <v>9660</v>
      </c>
    </row>
    <row r="75" spans="1:15" x14ac:dyDescent="0.3">
      <c r="A75" t="s">
        <v>87</v>
      </c>
      <c r="B75" s="1">
        <v>45193</v>
      </c>
      <c r="C75" t="s">
        <v>2087</v>
      </c>
      <c r="D75" t="s">
        <v>3999</v>
      </c>
      <c r="E75">
        <v>35</v>
      </c>
      <c r="F75" t="str">
        <f t="shared" si="1"/>
        <v>26-35</v>
      </c>
      <c r="G75" t="s">
        <v>4003</v>
      </c>
      <c r="H75" t="s">
        <v>4008</v>
      </c>
      <c r="I75" t="s">
        <v>4014</v>
      </c>
      <c r="J75">
        <v>6</v>
      </c>
      <c r="K75">
        <v>6806</v>
      </c>
      <c r="L75">
        <v>0</v>
      </c>
      <c r="M75">
        <v>40836</v>
      </c>
      <c r="N75">
        <v>0</v>
      </c>
      <c r="O75">
        <v>40836</v>
      </c>
    </row>
    <row r="76" spans="1:15" x14ac:dyDescent="0.3">
      <c r="A76" t="s">
        <v>88</v>
      </c>
      <c r="B76" s="1">
        <v>45141</v>
      </c>
      <c r="C76" t="s">
        <v>2088</v>
      </c>
      <c r="D76" t="s">
        <v>3999</v>
      </c>
      <c r="E76">
        <v>27</v>
      </c>
      <c r="F76" t="str">
        <f t="shared" si="1"/>
        <v>26-35</v>
      </c>
      <c r="G76" t="s">
        <v>4002</v>
      </c>
      <c r="H76" t="s">
        <v>4010</v>
      </c>
      <c r="I76" t="s">
        <v>4016</v>
      </c>
      <c r="J76">
        <v>6</v>
      </c>
      <c r="K76">
        <v>4809</v>
      </c>
      <c r="L76">
        <v>10</v>
      </c>
      <c r="M76">
        <v>28854</v>
      </c>
      <c r="N76">
        <v>2885.4</v>
      </c>
      <c r="O76">
        <v>25968.6</v>
      </c>
    </row>
    <row r="77" spans="1:15" x14ac:dyDescent="0.3">
      <c r="A77" t="s">
        <v>89</v>
      </c>
      <c r="B77" s="1">
        <v>44765</v>
      </c>
      <c r="C77" t="s">
        <v>2089</v>
      </c>
      <c r="D77" t="s">
        <v>4000</v>
      </c>
      <c r="E77">
        <v>50</v>
      </c>
      <c r="F77" t="str">
        <f t="shared" si="1"/>
        <v>46+</v>
      </c>
      <c r="G77" t="s">
        <v>4003</v>
      </c>
      <c r="H77" t="s">
        <v>4009</v>
      </c>
      <c r="I77" t="s">
        <v>4013</v>
      </c>
      <c r="J77">
        <v>7</v>
      </c>
      <c r="K77">
        <v>553</v>
      </c>
      <c r="L77">
        <v>0</v>
      </c>
      <c r="M77">
        <v>3871</v>
      </c>
      <c r="N77">
        <v>0</v>
      </c>
      <c r="O77">
        <v>3871</v>
      </c>
    </row>
    <row r="78" spans="1:15" x14ac:dyDescent="0.3">
      <c r="A78" t="s">
        <v>90</v>
      </c>
      <c r="B78" s="1">
        <v>44609</v>
      </c>
      <c r="C78" t="s">
        <v>2090</v>
      </c>
      <c r="D78" t="s">
        <v>4000</v>
      </c>
      <c r="E78">
        <v>64</v>
      </c>
      <c r="F78" t="str">
        <f t="shared" si="1"/>
        <v>46+</v>
      </c>
      <c r="G78" t="s">
        <v>4005</v>
      </c>
      <c r="H78" t="s">
        <v>4012</v>
      </c>
      <c r="I78" t="s">
        <v>4015</v>
      </c>
      <c r="J78">
        <v>7</v>
      </c>
      <c r="K78">
        <v>4691</v>
      </c>
      <c r="L78">
        <v>0</v>
      </c>
      <c r="M78">
        <v>32837</v>
      </c>
      <c r="N78">
        <v>0</v>
      </c>
      <c r="O78">
        <v>32837</v>
      </c>
    </row>
    <row r="79" spans="1:15" x14ac:dyDescent="0.3">
      <c r="A79" t="s">
        <v>91</v>
      </c>
      <c r="B79" s="1">
        <v>45086</v>
      </c>
      <c r="C79" t="s">
        <v>2091</v>
      </c>
      <c r="D79" t="s">
        <v>4000</v>
      </c>
      <c r="E79">
        <v>58</v>
      </c>
      <c r="F79" t="str">
        <f t="shared" si="1"/>
        <v>46+</v>
      </c>
      <c r="G79" t="s">
        <v>4006</v>
      </c>
      <c r="H79" t="s">
        <v>4007</v>
      </c>
      <c r="I79" t="s">
        <v>4017</v>
      </c>
      <c r="J79">
        <v>6</v>
      </c>
      <c r="K79">
        <v>3178</v>
      </c>
      <c r="L79">
        <v>5</v>
      </c>
      <c r="M79">
        <v>19068</v>
      </c>
      <c r="N79">
        <v>953.4</v>
      </c>
      <c r="O79">
        <v>18114.599999999999</v>
      </c>
    </row>
    <row r="80" spans="1:15" x14ac:dyDescent="0.3">
      <c r="A80" t="s">
        <v>92</v>
      </c>
      <c r="B80" s="1">
        <v>44911</v>
      </c>
      <c r="C80" t="s">
        <v>2092</v>
      </c>
      <c r="D80" t="s">
        <v>3999</v>
      </c>
      <c r="E80">
        <v>23</v>
      </c>
      <c r="F80" t="str">
        <f t="shared" si="1"/>
        <v>18-25</v>
      </c>
      <c r="G80" t="s">
        <v>4003</v>
      </c>
      <c r="H80" t="s">
        <v>4012</v>
      </c>
      <c r="I80" t="s">
        <v>4015</v>
      </c>
      <c r="J80">
        <v>4</v>
      </c>
      <c r="K80">
        <v>7197</v>
      </c>
      <c r="L80">
        <v>5</v>
      </c>
      <c r="M80">
        <v>28788</v>
      </c>
      <c r="N80">
        <v>1439.4</v>
      </c>
      <c r="O80">
        <v>27348.6</v>
      </c>
    </row>
    <row r="81" spans="1:15" x14ac:dyDescent="0.3">
      <c r="A81" t="s">
        <v>93</v>
      </c>
      <c r="B81" s="1">
        <v>44669</v>
      </c>
      <c r="C81" t="s">
        <v>2093</v>
      </c>
      <c r="D81" t="s">
        <v>3999</v>
      </c>
      <c r="E81">
        <v>37</v>
      </c>
      <c r="F81" t="str">
        <f t="shared" si="1"/>
        <v>36-45</v>
      </c>
      <c r="G81" t="s">
        <v>4001</v>
      </c>
      <c r="H81" t="s">
        <v>4009</v>
      </c>
      <c r="I81" t="s">
        <v>4015</v>
      </c>
      <c r="J81">
        <v>2</v>
      </c>
      <c r="K81">
        <v>1901</v>
      </c>
      <c r="L81">
        <v>10</v>
      </c>
      <c r="M81">
        <v>3802</v>
      </c>
      <c r="N81">
        <v>380.2</v>
      </c>
      <c r="O81">
        <v>3421.8</v>
      </c>
    </row>
    <row r="82" spans="1:15" x14ac:dyDescent="0.3">
      <c r="A82" t="s">
        <v>94</v>
      </c>
      <c r="B82" s="1">
        <v>44955</v>
      </c>
      <c r="C82" t="s">
        <v>2094</v>
      </c>
      <c r="D82" t="s">
        <v>4000</v>
      </c>
      <c r="E82">
        <v>22</v>
      </c>
      <c r="F82" t="str">
        <f t="shared" si="1"/>
        <v>18-25</v>
      </c>
      <c r="G82" t="s">
        <v>4004</v>
      </c>
      <c r="H82" t="s">
        <v>4007</v>
      </c>
      <c r="I82" t="s">
        <v>4013</v>
      </c>
      <c r="J82">
        <v>2</v>
      </c>
      <c r="K82">
        <v>6119</v>
      </c>
      <c r="L82">
        <v>0</v>
      </c>
      <c r="M82">
        <v>12238</v>
      </c>
      <c r="N82">
        <v>0</v>
      </c>
      <c r="O82">
        <v>12238</v>
      </c>
    </row>
    <row r="83" spans="1:15" x14ac:dyDescent="0.3">
      <c r="A83" t="s">
        <v>95</v>
      </c>
      <c r="B83" s="1">
        <v>45184</v>
      </c>
      <c r="C83" t="s">
        <v>2095</v>
      </c>
      <c r="D83" t="s">
        <v>4000</v>
      </c>
      <c r="E83">
        <v>64</v>
      </c>
      <c r="F83" t="str">
        <f t="shared" si="1"/>
        <v>46+</v>
      </c>
      <c r="G83" t="s">
        <v>4001</v>
      </c>
      <c r="H83" t="s">
        <v>4009</v>
      </c>
      <c r="I83" t="s">
        <v>4014</v>
      </c>
      <c r="J83">
        <v>3</v>
      </c>
      <c r="K83">
        <v>1730</v>
      </c>
      <c r="L83">
        <v>0</v>
      </c>
      <c r="M83">
        <v>5190</v>
      </c>
      <c r="N83">
        <v>0</v>
      </c>
      <c r="O83">
        <v>5190</v>
      </c>
    </row>
    <row r="84" spans="1:15" x14ac:dyDescent="0.3">
      <c r="A84" t="s">
        <v>96</v>
      </c>
      <c r="B84" s="1">
        <v>45216</v>
      </c>
      <c r="C84" t="s">
        <v>2096</v>
      </c>
      <c r="D84" t="s">
        <v>4000</v>
      </c>
      <c r="E84">
        <v>64</v>
      </c>
      <c r="F84" t="str">
        <f t="shared" si="1"/>
        <v>46+</v>
      </c>
      <c r="G84" t="s">
        <v>4001</v>
      </c>
      <c r="H84" t="s">
        <v>4010</v>
      </c>
      <c r="I84" t="s">
        <v>4017</v>
      </c>
      <c r="J84">
        <v>2</v>
      </c>
      <c r="K84">
        <v>7750</v>
      </c>
      <c r="L84">
        <v>0</v>
      </c>
      <c r="M84">
        <v>15500</v>
      </c>
      <c r="N84">
        <v>0</v>
      </c>
      <c r="O84">
        <v>15500</v>
      </c>
    </row>
    <row r="85" spans="1:15" x14ac:dyDescent="0.3">
      <c r="A85" t="s">
        <v>97</v>
      </c>
      <c r="B85" s="1">
        <v>45198</v>
      </c>
      <c r="C85" t="s">
        <v>2097</v>
      </c>
      <c r="D85" t="s">
        <v>3999</v>
      </c>
      <c r="E85">
        <v>62</v>
      </c>
      <c r="F85" t="str">
        <f t="shared" si="1"/>
        <v>46+</v>
      </c>
      <c r="G85" t="s">
        <v>4006</v>
      </c>
      <c r="H85" t="s">
        <v>4009</v>
      </c>
      <c r="I85" t="s">
        <v>4013</v>
      </c>
      <c r="J85">
        <v>3</v>
      </c>
      <c r="K85">
        <v>5084</v>
      </c>
      <c r="L85">
        <v>10</v>
      </c>
      <c r="M85">
        <v>15252</v>
      </c>
      <c r="N85">
        <v>1525.2</v>
      </c>
      <c r="O85">
        <v>13726.8</v>
      </c>
    </row>
    <row r="86" spans="1:15" x14ac:dyDescent="0.3">
      <c r="A86" t="s">
        <v>98</v>
      </c>
      <c r="B86" s="1">
        <v>44838</v>
      </c>
      <c r="C86" t="s">
        <v>2098</v>
      </c>
      <c r="D86" t="s">
        <v>4000</v>
      </c>
      <c r="E86">
        <v>52</v>
      </c>
      <c r="F86" t="str">
        <f t="shared" si="1"/>
        <v>46+</v>
      </c>
      <c r="G86" t="s">
        <v>4003</v>
      </c>
      <c r="H86" t="s">
        <v>4008</v>
      </c>
      <c r="I86" t="s">
        <v>4013</v>
      </c>
      <c r="J86">
        <v>2</v>
      </c>
      <c r="K86">
        <v>4057</v>
      </c>
      <c r="L86">
        <v>10</v>
      </c>
      <c r="M86">
        <v>8114</v>
      </c>
      <c r="N86">
        <v>811.4</v>
      </c>
      <c r="O86">
        <v>7302.6</v>
      </c>
    </row>
    <row r="87" spans="1:15" x14ac:dyDescent="0.3">
      <c r="A87" t="s">
        <v>99</v>
      </c>
      <c r="B87" s="1">
        <v>44871</v>
      </c>
      <c r="C87" t="s">
        <v>2099</v>
      </c>
      <c r="D87" t="s">
        <v>4000</v>
      </c>
      <c r="E87">
        <v>55</v>
      </c>
      <c r="F87" t="str">
        <f t="shared" si="1"/>
        <v>46+</v>
      </c>
      <c r="G87" t="s">
        <v>4006</v>
      </c>
      <c r="H87" t="s">
        <v>4010</v>
      </c>
      <c r="I87" t="s">
        <v>4013</v>
      </c>
      <c r="J87">
        <v>2</v>
      </c>
      <c r="K87">
        <v>5376</v>
      </c>
      <c r="L87">
        <v>5</v>
      </c>
      <c r="M87">
        <v>10752</v>
      </c>
      <c r="N87">
        <v>537.6</v>
      </c>
      <c r="O87">
        <v>10214.4</v>
      </c>
    </row>
    <row r="88" spans="1:15" x14ac:dyDescent="0.3">
      <c r="A88" t="s">
        <v>100</v>
      </c>
      <c r="B88" s="1">
        <v>44597</v>
      </c>
      <c r="C88" t="s">
        <v>2100</v>
      </c>
      <c r="D88" t="s">
        <v>3999</v>
      </c>
      <c r="E88">
        <v>59</v>
      </c>
      <c r="F88" t="str">
        <f t="shared" si="1"/>
        <v>46+</v>
      </c>
      <c r="G88" t="s">
        <v>4005</v>
      </c>
      <c r="H88" t="s">
        <v>4008</v>
      </c>
      <c r="I88" t="s">
        <v>4014</v>
      </c>
      <c r="J88">
        <v>2</v>
      </c>
      <c r="K88">
        <v>2525</v>
      </c>
      <c r="L88">
        <v>15</v>
      </c>
      <c r="M88">
        <v>5050</v>
      </c>
      <c r="N88">
        <v>757.5</v>
      </c>
      <c r="O88">
        <v>4292.5</v>
      </c>
    </row>
    <row r="89" spans="1:15" x14ac:dyDescent="0.3">
      <c r="A89" t="s">
        <v>101</v>
      </c>
      <c r="B89" s="1">
        <v>44822</v>
      </c>
      <c r="C89" t="s">
        <v>2101</v>
      </c>
      <c r="D89" t="s">
        <v>4000</v>
      </c>
      <c r="E89">
        <v>27</v>
      </c>
      <c r="F89" t="str">
        <f t="shared" si="1"/>
        <v>26-35</v>
      </c>
      <c r="G89" t="s">
        <v>4003</v>
      </c>
      <c r="H89" t="s">
        <v>4008</v>
      </c>
      <c r="I89" t="s">
        <v>4015</v>
      </c>
      <c r="J89">
        <v>5</v>
      </c>
      <c r="K89">
        <v>1982</v>
      </c>
      <c r="L89">
        <v>0</v>
      </c>
      <c r="M89">
        <v>9910</v>
      </c>
      <c r="N89">
        <v>0</v>
      </c>
      <c r="O89">
        <v>9910</v>
      </c>
    </row>
    <row r="90" spans="1:15" x14ac:dyDescent="0.3">
      <c r="A90" t="s">
        <v>102</v>
      </c>
      <c r="B90" s="1">
        <v>45018</v>
      </c>
      <c r="C90" t="s">
        <v>2102</v>
      </c>
      <c r="D90" t="s">
        <v>3999</v>
      </c>
      <c r="E90">
        <v>32</v>
      </c>
      <c r="F90" t="str">
        <f t="shared" si="1"/>
        <v>26-35</v>
      </c>
      <c r="G90" t="s">
        <v>4002</v>
      </c>
      <c r="H90" t="s">
        <v>4007</v>
      </c>
      <c r="I90" t="s">
        <v>4016</v>
      </c>
      <c r="J90">
        <v>1</v>
      </c>
      <c r="K90">
        <v>1579</v>
      </c>
      <c r="L90">
        <v>5</v>
      </c>
      <c r="M90">
        <v>1579</v>
      </c>
      <c r="N90">
        <v>78.95</v>
      </c>
      <c r="O90">
        <v>1500.05</v>
      </c>
    </row>
    <row r="91" spans="1:15" x14ac:dyDescent="0.3">
      <c r="A91" t="s">
        <v>103</v>
      </c>
      <c r="B91" s="1">
        <v>45036</v>
      </c>
      <c r="C91" t="s">
        <v>2103</v>
      </c>
      <c r="D91" t="s">
        <v>3999</v>
      </c>
      <c r="E91">
        <v>40</v>
      </c>
      <c r="F91" t="str">
        <f t="shared" si="1"/>
        <v>36-45</v>
      </c>
      <c r="G91" t="s">
        <v>4006</v>
      </c>
      <c r="H91" t="s">
        <v>4010</v>
      </c>
      <c r="I91" t="s">
        <v>4017</v>
      </c>
      <c r="J91">
        <v>3</v>
      </c>
      <c r="K91">
        <v>7713</v>
      </c>
      <c r="L91">
        <v>5</v>
      </c>
      <c r="M91">
        <v>23139</v>
      </c>
      <c r="N91">
        <v>1156.95</v>
      </c>
      <c r="O91">
        <v>21982.05</v>
      </c>
    </row>
    <row r="92" spans="1:15" x14ac:dyDescent="0.3">
      <c r="A92" t="s">
        <v>104</v>
      </c>
      <c r="B92" s="1">
        <v>45128</v>
      </c>
      <c r="C92" t="s">
        <v>2104</v>
      </c>
      <c r="D92" t="s">
        <v>3999</v>
      </c>
      <c r="E92">
        <v>20</v>
      </c>
      <c r="F92" t="str">
        <f t="shared" si="1"/>
        <v>18-25</v>
      </c>
      <c r="G92" t="s">
        <v>4002</v>
      </c>
      <c r="H92" t="s">
        <v>4007</v>
      </c>
      <c r="I92" t="s">
        <v>4014</v>
      </c>
      <c r="J92">
        <v>2</v>
      </c>
      <c r="K92">
        <v>3242</v>
      </c>
      <c r="L92">
        <v>0</v>
      </c>
      <c r="M92">
        <v>6484</v>
      </c>
      <c r="N92">
        <v>0</v>
      </c>
      <c r="O92">
        <v>6484</v>
      </c>
    </row>
    <row r="93" spans="1:15" x14ac:dyDescent="0.3">
      <c r="A93" t="s">
        <v>105</v>
      </c>
      <c r="B93" s="1">
        <v>45117</v>
      </c>
      <c r="C93" t="s">
        <v>2105</v>
      </c>
      <c r="D93" t="s">
        <v>4000</v>
      </c>
      <c r="E93">
        <v>30</v>
      </c>
      <c r="F93" t="str">
        <f t="shared" si="1"/>
        <v>26-35</v>
      </c>
      <c r="G93" t="s">
        <v>4004</v>
      </c>
      <c r="H93" t="s">
        <v>4008</v>
      </c>
      <c r="I93" t="s">
        <v>4016</v>
      </c>
      <c r="J93">
        <v>1</v>
      </c>
      <c r="K93">
        <v>3211</v>
      </c>
      <c r="L93">
        <v>20</v>
      </c>
      <c r="M93">
        <v>3211</v>
      </c>
      <c r="N93">
        <v>642.20000000000005</v>
      </c>
      <c r="O93">
        <v>2568.8000000000002</v>
      </c>
    </row>
    <row r="94" spans="1:15" x14ac:dyDescent="0.3">
      <c r="A94" t="s">
        <v>106</v>
      </c>
      <c r="B94" s="1">
        <v>44777</v>
      </c>
      <c r="C94" t="s">
        <v>2106</v>
      </c>
      <c r="D94" t="s">
        <v>3999</v>
      </c>
      <c r="E94">
        <v>21</v>
      </c>
      <c r="F94" t="str">
        <f t="shared" si="1"/>
        <v>18-25</v>
      </c>
      <c r="G94" t="s">
        <v>4002</v>
      </c>
      <c r="H94" t="s">
        <v>4009</v>
      </c>
      <c r="I94" t="s">
        <v>4014</v>
      </c>
      <c r="J94">
        <v>4</v>
      </c>
      <c r="K94">
        <v>3350</v>
      </c>
      <c r="L94">
        <v>10</v>
      </c>
      <c r="M94">
        <v>13400</v>
      </c>
      <c r="N94">
        <v>1340</v>
      </c>
      <c r="O94">
        <v>12060</v>
      </c>
    </row>
    <row r="95" spans="1:15" x14ac:dyDescent="0.3">
      <c r="A95" t="s">
        <v>107</v>
      </c>
      <c r="B95" s="1">
        <v>44996</v>
      </c>
      <c r="C95" t="s">
        <v>2107</v>
      </c>
      <c r="D95" t="s">
        <v>4000</v>
      </c>
      <c r="E95">
        <v>59</v>
      </c>
      <c r="F95" t="str">
        <f t="shared" si="1"/>
        <v>46+</v>
      </c>
      <c r="G95" t="s">
        <v>4004</v>
      </c>
      <c r="H95" t="s">
        <v>4008</v>
      </c>
      <c r="I95" t="s">
        <v>4015</v>
      </c>
      <c r="J95">
        <v>6</v>
      </c>
      <c r="K95">
        <v>4028</v>
      </c>
      <c r="L95">
        <v>15</v>
      </c>
      <c r="M95">
        <v>24168</v>
      </c>
      <c r="N95">
        <v>3625.2</v>
      </c>
      <c r="O95">
        <v>20542.8</v>
      </c>
    </row>
    <row r="96" spans="1:15" x14ac:dyDescent="0.3">
      <c r="A96" t="s">
        <v>108</v>
      </c>
      <c r="B96" s="1">
        <v>44601</v>
      </c>
      <c r="C96" t="s">
        <v>2108</v>
      </c>
      <c r="D96" t="s">
        <v>3999</v>
      </c>
      <c r="E96">
        <v>48</v>
      </c>
      <c r="F96" t="str">
        <f t="shared" si="1"/>
        <v>46+</v>
      </c>
      <c r="G96" t="s">
        <v>4004</v>
      </c>
      <c r="H96" t="s">
        <v>4007</v>
      </c>
      <c r="I96" t="s">
        <v>4014</v>
      </c>
      <c r="J96">
        <v>5</v>
      </c>
      <c r="K96">
        <v>4517</v>
      </c>
      <c r="L96">
        <v>0</v>
      </c>
      <c r="M96">
        <v>22585</v>
      </c>
      <c r="N96">
        <v>0</v>
      </c>
      <c r="O96">
        <v>22585</v>
      </c>
    </row>
    <row r="97" spans="1:15" x14ac:dyDescent="0.3">
      <c r="A97" t="s">
        <v>109</v>
      </c>
      <c r="B97" s="1">
        <v>44693</v>
      </c>
      <c r="C97" t="s">
        <v>2109</v>
      </c>
      <c r="D97" t="s">
        <v>4000</v>
      </c>
      <c r="E97">
        <v>42</v>
      </c>
      <c r="F97" t="str">
        <f t="shared" si="1"/>
        <v>36-45</v>
      </c>
      <c r="G97" t="s">
        <v>4002</v>
      </c>
      <c r="H97" t="s">
        <v>4008</v>
      </c>
      <c r="I97" t="s">
        <v>4014</v>
      </c>
      <c r="J97">
        <v>7</v>
      </c>
      <c r="K97">
        <v>6957</v>
      </c>
      <c r="L97">
        <v>0</v>
      </c>
      <c r="M97">
        <v>48699</v>
      </c>
      <c r="N97">
        <v>0</v>
      </c>
      <c r="O97">
        <v>48699</v>
      </c>
    </row>
    <row r="98" spans="1:15" x14ac:dyDescent="0.3">
      <c r="A98" t="s">
        <v>110</v>
      </c>
      <c r="B98" s="1">
        <v>44975</v>
      </c>
      <c r="C98" t="s">
        <v>2110</v>
      </c>
      <c r="D98" t="s">
        <v>4000</v>
      </c>
      <c r="E98">
        <v>53</v>
      </c>
      <c r="F98" t="str">
        <f t="shared" si="1"/>
        <v>46+</v>
      </c>
      <c r="G98" t="s">
        <v>4004</v>
      </c>
      <c r="H98" t="s">
        <v>4008</v>
      </c>
      <c r="I98" t="s">
        <v>4015</v>
      </c>
      <c r="J98">
        <v>2</v>
      </c>
      <c r="K98">
        <v>6466</v>
      </c>
      <c r="L98">
        <v>15</v>
      </c>
      <c r="M98">
        <v>12932</v>
      </c>
      <c r="N98">
        <v>1939.8</v>
      </c>
      <c r="O98">
        <v>10992.2</v>
      </c>
    </row>
    <row r="99" spans="1:15" x14ac:dyDescent="0.3">
      <c r="A99" t="s">
        <v>111</v>
      </c>
      <c r="B99" s="1">
        <v>45022</v>
      </c>
      <c r="C99" t="s">
        <v>2111</v>
      </c>
      <c r="D99" t="s">
        <v>3999</v>
      </c>
      <c r="E99">
        <v>55</v>
      </c>
      <c r="F99" t="str">
        <f t="shared" si="1"/>
        <v>46+</v>
      </c>
      <c r="G99" t="s">
        <v>4005</v>
      </c>
      <c r="H99" t="s">
        <v>4008</v>
      </c>
      <c r="I99" t="s">
        <v>4017</v>
      </c>
      <c r="J99">
        <v>6</v>
      </c>
      <c r="K99">
        <v>5981</v>
      </c>
      <c r="L99">
        <v>0</v>
      </c>
      <c r="M99">
        <v>35886</v>
      </c>
      <c r="N99">
        <v>0</v>
      </c>
      <c r="O99">
        <v>35886</v>
      </c>
    </row>
    <row r="100" spans="1:15" x14ac:dyDescent="0.3">
      <c r="A100" t="s">
        <v>112</v>
      </c>
      <c r="B100" s="1">
        <v>45210</v>
      </c>
      <c r="C100" t="s">
        <v>2112</v>
      </c>
      <c r="D100" t="s">
        <v>3999</v>
      </c>
      <c r="E100">
        <v>36</v>
      </c>
      <c r="F100" t="str">
        <f t="shared" si="1"/>
        <v>36-45</v>
      </c>
      <c r="G100" t="s">
        <v>4004</v>
      </c>
      <c r="H100" t="s">
        <v>4010</v>
      </c>
      <c r="I100" t="s">
        <v>4015</v>
      </c>
      <c r="J100">
        <v>5</v>
      </c>
      <c r="K100">
        <v>7296</v>
      </c>
      <c r="L100">
        <v>15</v>
      </c>
      <c r="M100">
        <v>36480</v>
      </c>
      <c r="N100">
        <v>5472</v>
      </c>
      <c r="O100">
        <v>31008</v>
      </c>
    </row>
    <row r="101" spans="1:15" x14ac:dyDescent="0.3">
      <c r="A101" t="s">
        <v>113</v>
      </c>
      <c r="B101" s="1">
        <v>45128</v>
      </c>
      <c r="C101" t="s">
        <v>2113</v>
      </c>
      <c r="D101" t="s">
        <v>4000</v>
      </c>
      <c r="E101">
        <v>35</v>
      </c>
      <c r="F101" t="str">
        <f t="shared" si="1"/>
        <v>26-35</v>
      </c>
      <c r="G101" t="s">
        <v>4003</v>
      </c>
      <c r="H101" t="s">
        <v>4008</v>
      </c>
      <c r="I101" t="s">
        <v>4016</v>
      </c>
      <c r="J101">
        <v>7</v>
      </c>
      <c r="K101">
        <v>6530</v>
      </c>
      <c r="L101">
        <v>0</v>
      </c>
      <c r="M101">
        <v>45710</v>
      </c>
      <c r="N101">
        <v>0</v>
      </c>
      <c r="O101">
        <v>45710</v>
      </c>
    </row>
    <row r="102" spans="1:15" x14ac:dyDescent="0.3">
      <c r="A102" t="s">
        <v>114</v>
      </c>
      <c r="B102" s="1">
        <v>45240</v>
      </c>
      <c r="C102" t="s">
        <v>2114</v>
      </c>
      <c r="D102" t="s">
        <v>4000</v>
      </c>
      <c r="E102">
        <v>59</v>
      </c>
      <c r="F102" t="str">
        <f t="shared" si="1"/>
        <v>46+</v>
      </c>
      <c r="G102" t="s">
        <v>4006</v>
      </c>
      <c r="H102" t="s">
        <v>4009</v>
      </c>
      <c r="I102" t="s">
        <v>4014</v>
      </c>
      <c r="J102">
        <v>1</v>
      </c>
      <c r="K102">
        <v>1142</v>
      </c>
      <c r="L102">
        <v>15</v>
      </c>
      <c r="M102">
        <v>1142</v>
      </c>
      <c r="N102">
        <v>171.3</v>
      </c>
      <c r="O102">
        <v>970.7</v>
      </c>
    </row>
    <row r="103" spans="1:15" x14ac:dyDescent="0.3">
      <c r="A103" t="s">
        <v>115</v>
      </c>
      <c r="B103" s="1">
        <v>44935</v>
      </c>
      <c r="C103" t="s">
        <v>2115</v>
      </c>
      <c r="D103" t="s">
        <v>3999</v>
      </c>
      <c r="E103">
        <v>62</v>
      </c>
      <c r="F103" t="str">
        <f t="shared" si="1"/>
        <v>46+</v>
      </c>
      <c r="G103" t="s">
        <v>4003</v>
      </c>
      <c r="H103" t="s">
        <v>4011</v>
      </c>
      <c r="I103" t="s">
        <v>4016</v>
      </c>
      <c r="J103">
        <v>3</v>
      </c>
      <c r="K103">
        <v>4309</v>
      </c>
      <c r="L103">
        <v>10</v>
      </c>
      <c r="M103">
        <v>12927</v>
      </c>
      <c r="N103">
        <v>1292.7</v>
      </c>
      <c r="O103">
        <v>11634.3</v>
      </c>
    </row>
    <row r="104" spans="1:15" x14ac:dyDescent="0.3">
      <c r="A104" t="s">
        <v>116</v>
      </c>
      <c r="B104" s="1">
        <v>45272</v>
      </c>
      <c r="C104" t="s">
        <v>2116</v>
      </c>
      <c r="D104" t="s">
        <v>4000</v>
      </c>
      <c r="E104">
        <v>22</v>
      </c>
      <c r="F104" t="str">
        <f t="shared" si="1"/>
        <v>18-25</v>
      </c>
      <c r="G104" t="s">
        <v>4001</v>
      </c>
      <c r="H104" t="s">
        <v>4008</v>
      </c>
      <c r="I104" t="s">
        <v>4017</v>
      </c>
      <c r="J104">
        <v>3</v>
      </c>
      <c r="K104">
        <v>954</v>
      </c>
      <c r="L104">
        <v>10</v>
      </c>
      <c r="M104">
        <v>2862</v>
      </c>
      <c r="N104">
        <v>286.2</v>
      </c>
      <c r="O104">
        <v>2575.8000000000002</v>
      </c>
    </row>
    <row r="105" spans="1:15" x14ac:dyDescent="0.3">
      <c r="A105" t="s">
        <v>117</v>
      </c>
      <c r="B105" s="1">
        <v>45223</v>
      </c>
      <c r="C105" t="s">
        <v>2117</v>
      </c>
      <c r="D105" t="s">
        <v>4000</v>
      </c>
      <c r="E105">
        <v>42</v>
      </c>
      <c r="F105" t="str">
        <f t="shared" si="1"/>
        <v>36-45</v>
      </c>
      <c r="G105" t="s">
        <v>4005</v>
      </c>
      <c r="H105" t="s">
        <v>4012</v>
      </c>
      <c r="I105" t="s">
        <v>4013</v>
      </c>
      <c r="J105">
        <v>1</v>
      </c>
      <c r="K105">
        <v>5221</v>
      </c>
      <c r="L105">
        <v>10</v>
      </c>
      <c r="M105">
        <v>5221</v>
      </c>
      <c r="N105">
        <v>522.1</v>
      </c>
      <c r="O105">
        <v>4698.8999999999996</v>
      </c>
    </row>
    <row r="106" spans="1:15" x14ac:dyDescent="0.3">
      <c r="A106" t="s">
        <v>118</v>
      </c>
      <c r="B106" s="1">
        <v>44606</v>
      </c>
      <c r="C106" t="s">
        <v>2118</v>
      </c>
      <c r="D106" t="s">
        <v>4000</v>
      </c>
      <c r="E106">
        <v>53</v>
      </c>
      <c r="F106" t="str">
        <f t="shared" si="1"/>
        <v>46+</v>
      </c>
      <c r="G106" t="s">
        <v>4006</v>
      </c>
      <c r="H106" t="s">
        <v>4010</v>
      </c>
      <c r="I106" t="s">
        <v>4014</v>
      </c>
      <c r="J106">
        <v>3</v>
      </c>
      <c r="K106">
        <v>1818</v>
      </c>
      <c r="L106">
        <v>15</v>
      </c>
      <c r="M106">
        <v>5454</v>
      </c>
      <c r="N106">
        <v>818.1</v>
      </c>
      <c r="O106">
        <v>4635.8999999999996</v>
      </c>
    </row>
    <row r="107" spans="1:15" x14ac:dyDescent="0.3">
      <c r="A107" t="s">
        <v>119</v>
      </c>
      <c r="B107" s="1">
        <v>45209</v>
      </c>
      <c r="C107" t="s">
        <v>2119</v>
      </c>
      <c r="D107" t="s">
        <v>3999</v>
      </c>
      <c r="E107">
        <v>44</v>
      </c>
      <c r="F107" t="str">
        <f t="shared" si="1"/>
        <v>36-45</v>
      </c>
      <c r="G107" t="s">
        <v>4004</v>
      </c>
      <c r="H107" t="s">
        <v>4007</v>
      </c>
      <c r="I107" t="s">
        <v>4014</v>
      </c>
      <c r="J107">
        <v>7</v>
      </c>
      <c r="K107">
        <v>6904</v>
      </c>
      <c r="L107">
        <v>10</v>
      </c>
      <c r="M107">
        <v>48328</v>
      </c>
      <c r="N107">
        <v>4832.8</v>
      </c>
      <c r="O107">
        <v>43495.199999999997</v>
      </c>
    </row>
    <row r="108" spans="1:15" x14ac:dyDescent="0.3">
      <c r="A108" t="s">
        <v>120</v>
      </c>
      <c r="B108" s="1">
        <v>45283</v>
      </c>
      <c r="C108" t="s">
        <v>2120</v>
      </c>
      <c r="D108" t="s">
        <v>4000</v>
      </c>
      <c r="E108">
        <v>46</v>
      </c>
      <c r="F108" t="str">
        <f t="shared" si="1"/>
        <v>46+</v>
      </c>
      <c r="G108" t="s">
        <v>4002</v>
      </c>
      <c r="H108" t="s">
        <v>4008</v>
      </c>
      <c r="I108" t="s">
        <v>4014</v>
      </c>
      <c r="J108">
        <v>7</v>
      </c>
      <c r="K108">
        <v>7982</v>
      </c>
      <c r="L108">
        <v>15</v>
      </c>
      <c r="M108">
        <v>55874</v>
      </c>
      <c r="N108">
        <v>8381.1</v>
      </c>
      <c r="O108">
        <v>47492.9</v>
      </c>
    </row>
    <row r="109" spans="1:15" x14ac:dyDescent="0.3">
      <c r="A109" t="s">
        <v>121</v>
      </c>
      <c r="B109" s="1">
        <v>45057</v>
      </c>
      <c r="C109" t="s">
        <v>2121</v>
      </c>
      <c r="D109" t="s">
        <v>4000</v>
      </c>
      <c r="E109">
        <v>52</v>
      </c>
      <c r="F109" t="str">
        <f t="shared" si="1"/>
        <v>46+</v>
      </c>
      <c r="G109" t="s">
        <v>4001</v>
      </c>
      <c r="H109" t="s">
        <v>4011</v>
      </c>
      <c r="I109" t="s">
        <v>4013</v>
      </c>
      <c r="J109">
        <v>1</v>
      </c>
      <c r="K109">
        <v>3909</v>
      </c>
      <c r="L109">
        <v>5</v>
      </c>
      <c r="M109">
        <v>3909</v>
      </c>
      <c r="N109">
        <v>195.45</v>
      </c>
      <c r="O109">
        <v>3713.55</v>
      </c>
    </row>
    <row r="110" spans="1:15" x14ac:dyDescent="0.3">
      <c r="A110" t="s">
        <v>122</v>
      </c>
      <c r="B110" s="1">
        <v>44759</v>
      </c>
      <c r="C110" t="s">
        <v>2122</v>
      </c>
      <c r="D110" t="s">
        <v>3999</v>
      </c>
      <c r="E110">
        <v>41</v>
      </c>
      <c r="F110" t="str">
        <f t="shared" si="1"/>
        <v>36-45</v>
      </c>
      <c r="G110" t="s">
        <v>4004</v>
      </c>
      <c r="H110" t="s">
        <v>4009</v>
      </c>
      <c r="I110" t="s">
        <v>4013</v>
      </c>
      <c r="J110">
        <v>2</v>
      </c>
      <c r="K110">
        <v>4844</v>
      </c>
      <c r="L110">
        <v>10</v>
      </c>
      <c r="M110">
        <v>9688</v>
      </c>
      <c r="N110">
        <v>968.8</v>
      </c>
      <c r="O110">
        <v>8719.2000000000007</v>
      </c>
    </row>
    <row r="111" spans="1:15" x14ac:dyDescent="0.3">
      <c r="A111" t="s">
        <v>123</v>
      </c>
      <c r="B111" s="1">
        <v>44662</v>
      </c>
      <c r="C111" t="s">
        <v>2123</v>
      </c>
      <c r="D111" t="s">
        <v>3999</v>
      </c>
      <c r="E111">
        <v>21</v>
      </c>
      <c r="F111" t="str">
        <f t="shared" si="1"/>
        <v>18-25</v>
      </c>
      <c r="G111" t="s">
        <v>4003</v>
      </c>
      <c r="H111" t="s">
        <v>4007</v>
      </c>
      <c r="I111" t="s">
        <v>4016</v>
      </c>
      <c r="J111">
        <v>1</v>
      </c>
      <c r="K111">
        <v>3367</v>
      </c>
      <c r="L111">
        <v>5</v>
      </c>
      <c r="M111">
        <v>3367</v>
      </c>
      <c r="N111">
        <v>168.35</v>
      </c>
      <c r="O111">
        <v>3198.65</v>
      </c>
    </row>
    <row r="112" spans="1:15" x14ac:dyDescent="0.3">
      <c r="A112" t="s">
        <v>124</v>
      </c>
      <c r="B112" s="1">
        <v>44742</v>
      </c>
      <c r="C112" t="s">
        <v>2124</v>
      </c>
      <c r="D112" t="s">
        <v>4000</v>
      </c>
      <c r="E112">
        <v>58</v>
      </c>
      <c r="F112" t="str">
        <f t="shared" si="1"/>
        <v>46+</v>
      </c>
      <c r="G112" t="s">
        <v>4001</v>
      </c>
      <c r="H112" t="s">
        <v>4007</v>
      </c>
      <c r="I112" t="s">
        <v>4013</v>
      </c>
      <c r="J112">
        <v>3</v>
      </c>
      <c r="K112">
        <v>5275</v>
      </c>
      <c r="L112">
        <v>0</v>
      </c>
      <c r="M112">
        <v>15825</v>
      </c>
      <c r="N112">
        <v>0</v>
      </c>
      <c r="O112">
        <v>15825</v>
      </c>
    </row>
    <row r="113" spans="1:15" x14ac:dyDescent="0.3">
      <c r="A113" t="s">
        <v>125</v>
      </c>
      <c r="B113" s="1">
        <v>44731</v>
      </c>
      <c r="C113" t="s">
        <v>2125</v>
      </c>
      <c r="D113" t="s">
        <v>4000</v>
      </c>
      <c r="E113">
        <v>32</v>
      </c>
      <c r="F113" t="str">
        <f t="shared" si="1"/>
        <v>26-35</v>
      </c>
      <c r="G113" t="s">
        <v>4001</v>
      </c>
      <c r="H113" t="s">
        <v>4007</v>
      </c>
      <c r="I113" t="s">
        <v>4016</v>
      </c>
      <c r="J113">
        <v>7</v>
      </c>
      <c r="K113">
        <v>5439</v>
      </c>
      <c r="L113">
        <v>10</v>
      </c>
      <c r="M113">
        <v>38073</v>
      </c>
      <c r="N113">
        <v>3807.3</v>
      </c>
      <c r="O113">
        <v>34265.699999999997</v>
      </c>
    </row>
    <row r="114" spans="1:15" x14ac:dyDescent="0.3">
      <c r="A114" t="s">
        <v>126</v>
      </c>
      <c r="B114" s="1">
        <v>44591</v>
      </c>
      <c r="C114" t="s">
        <v>2126</v>
      </c>
      <c r="D114" t="s">
        <v>4000</v>
      </c>
      <c r="E114">
        <v>57</v>
      </c>
      <c r="F114" t="str">
        <f t="shared" si="1"/>
        <v>46+</v>
      </c>
      <c r="G114" t="s">
        <v>4001</v>
      </c>
      <c r="H114" t="s">
        <v>4011</v>
      </c>
      <c r="I114" t="s">
        <v>4014</v>
      </c>
      <c r="J114">
        <v>1</v>
      </c>
      <c r="K114">
        <v>6101</v>
      </c>
      <c r="L114">
        <v>0</v>
      </c>
      <c r="M114">
        <v>6101</v>
      </c>
      <c r="N114">
        <v>0</v>
      </c>
      <c r="O114">
        <v>6101</v>
      </c>
    </row>
    <row r="115" spans="1:15" x14ac:dyDescent="0.3">
      <c r="A115" t="s">
        <v>127</v>
      </c>
      <c r="B115" s="1">
        <v>44844</v>
      </c>
      <c r="C115" t="s">
        <v>2127</v>
      </c>
      <c r="D115" t="s">
        <v>4000</v>
      </c>
      <c r="E115">
        <v>36</v>
      </c>
      <c r="F115" t="str">
        <f t="shared" si="1"/>
        <v>36-45</v>
      </c>
      <c r="G115" t="s">
        <v>4004</v>
      </c>
      <c r="H115" t="s">
        <v>4007</v>
      </c>
      <c r="I115" t="s">
        <v>4014</v>
      </c>
      <c r="J115">
        <v>2</v>
      </c>
      <c r="K115">
        <v>3129</v>
      </c>
      <c r="L115">
        <v>15</v>
      </c>
      <c r="M115">
        <v>6258</v>
      </c>
      <c r="N115">
        <v>938.7</v>
      </c>
      <c r="O115">
        <v>5319.3</v>
      </c>
    </row>
    <row r="116" spans="1:15" x14ac:dyDescent="0.3">
      <c r="A116" t="s">
        <v>128</v>
      </c>
      <c r="B116" s="1">
        <v>44752</v>
      </c>
      <c r="C116" t="s">
        <v>2128</v>
      </c>
      <c r="D116" t="s">
        <v>3999</v>
      </c>
      <c r="E116">
        <v>60</v>
      </c>
      <c r="F116" t="str">
        <f t="shared" si="1"/>
        <v>46+</v>
      </c>
      <c r="G116" t="s">
        <v>4005</v>
      </c>
      <c r="H116" t="s">
        <v>4010</v>
      </c>
      <c r="I116" t="s">
        <v>4016</v>
      </c>
      <c r="J116">
        <v>5</v>
      </c>
      <c r="K116">
        <v>4093</v>
      </c>
      <c r="L116">
        <v>10</v>
      </c>
      <c r="M116">
        <v>20465</v>
      </c>
      <c r="N116">
        <v>2046.5</v>
      </c>
      <c r="O116">
        <v>18418.5</v>
      </c>
    </row>
    <row r="117" spans="1:15" x14ac:dyDescent="0.3">
      <c r="A117" t="s">
        <v>129</v>
      </c>
      <c r="B117" s="1">
        <v>45288</v>
      </c>
      <c r="C117" t="s">
        <v>2129</v>
      </c>
      <c r="D117" t="s">
        <v>4000</v>
      </c>
      <c r="E117">
        <v>23</v>
      </c>
      <c r="F117" t="str">
        <f t="shared" si="1"/>
        <v>18-25</v>
      </c>
      <c r="G117" t="s">
        <v>4005</v>
      </c>
      <c r="H117" t="s">
        <v>4012</v>
      </c>
      <c r="I117" t="s">
        <v>4014</v>
      </c>
      <c r="J117">
        <v>6</v>
      </c>
      <c r="K117">
        <v>1330</v>
      </c>
      <c r="L117">
        <v>5</v>
      </c>
      <c r="M117">
        <v>7980</v>
      </c>
      <c r="N117">
        <v>399</v>
      </c>
      <c r="O117">
        <v>7581</v>
      </c>
    </row>
    <row r="118" spans="1:15" x14ac:dyDescent="0.3">
      <c r="A118" t="s">
        <v>130</v>
      </c>
      <c r="B118" s="1">
        <v>44574</v>
      </c>
      <c r="C118" t="s">
        <v>2130</v>
      </c>
      <c r="D118" t="s">
        <v>3999</v>
      </c>
      <c r="E118">
        <v>28</v>
      </c>
      <c r="F118" t="str">
        <f t="shared" si="1"/>
        <v>26-35</v>
      </c>
      <c r="G118" t="s">
        <v>4004</v>
      </c>
      <c r="H118" t="s">
        <v>4011</v>
      </c>
      <c r="I118" t="s">
        <v>4013</v>
      </c>
      <c r="J118">
        <v>1</v>
      </c>
      <c r="K118">
        <v>3898</v>
      </c>
      <c r="L118">
        <v>15</v>
      </c>
      <c r="M118">
        <v>3898</v>
      </c>
      <c r="N118">
        <v>584.70000000000005</v>
      </c>
      <c r="O118">
        <v>3313.3</v>
      </c>
    </row>
    <row r="119" spans="1:15" x14ac:dyDescent="0.3">
      <c r="A119" t="s">
        <v>131</v>
      </c>
      <c r="B119" s="1">
        <v>45208</v>
      </c>
      <c r="C119" t="s">
        <v>2131</v>
      </c>
      <c r="D119" t="s">
        <v>3999</v>
      </c>
      <c r="E119">
        <v>39</v>
      </c>
      <c r="F119" t="str">
        <f t="shared" si="1"/>
        <v>36-45</v>
      </c>
      <c r="G119" t="s">
        <v>4005</v>
      </c>
      <c r="H119" t="s">
        <v>4012</v>
      </c>
      <c r="I119" t="s">
        <v>4016</v>
      </c>
      <c r="J119">
        <v>3</v>
      </c>
      <c r="K119">
        <v>1830</v>
      </c>
      <c r="L119">
        <v>0</v>
      </c>
      <c r="M119">
        <v>5490</v>
      </c>
      <c r="N119">
        <v>0</v>
      </c>
      <c r="O119">
        <v>5490</v>
      </c>
    </row>
    <row r="120" spans="1:15" x14ac:dyDescent="0.3">
      <c r="A120" t="s">
        <v>132</v>
      </c>
      <c r="B120" s="1">
        <v>45050</v>
      </c>
      <c r="C120" t="s">
        <v>2132</v>
      </c>
      <c r="D120" t="s">
        <v>4000</v>
      </c>
      <c r="E120">
        <v>18</v>
      </c>
      <c r="F120" t="str">
        <f t="shared" si="1"/>
        <v>18-25</v>
      </c>
      <c r="G120" t="s">
        <v>4001</v>
      </c>
      <c r="H120" t="s">
        <v>4008</v>
      </c>
      <c r="I120" t="s">
        <v>4015</v>
      </c>
      <c r="J120">
        <v>3</v>
      </c>
      <c r="K120">
        <v>6044</v>
      </c>
      <c r="L120">
        <v>0</v>
      </c>
      <c r="M120">
        <v>18132</v>
      </c>
      <c r="N120">
        <v>0</v>
      </c>
      <c r="O120">
        <v>18132</v>
      </c>
    </row>
    <row r="121" spans="1:15" x14ac:dyDescent="0.3">
      <c r="A121" t="s">
        <v>133</v>
      </c>
      <c r="B121" s="1">
        <v>45005</v>
      </c>
      <c r="C121" t="s">
        <v>2133</v>
      </c>
      <c r="D121" t="s">
        <v>3999</v>
      </c>
      <c r="E121">
        <v>63</v>
      </c>
      <c r="F121" t="str">
        <f t="shared" si="1"/>
        <v>46+</v>
      </c>
      <c r="G121" t="s">
        <v>4006</v>
      </c>
      <c r="H121" t="s">
        <v>4007</v>
      </c>
      <c r="I121" t="s">
        <v>4013</v>
      </c>
      <c r="J121">
        <v>6</v>
      </c>
      <c r="K121">
        <v>397</v>
      </c>
      <c r="L121">
        <v>15</v>
      </c>
      <c r="M121">
        <v>2382</v>
      </c>
      <c r="N121">
        <v>357.3</v>
      </c>
      <c r="O121">
        <v>2024.7</v>
      </c>
    </row>
    <row r="122" spans="1:15" x14ac:dyDescent="0.3">
      <c r="A122" t="s">
        <v>134</v>
      </c>
      <c r="B122" s="1">
        <v>44668</v>
      </c>
      <c r="C122" t="s">
        <v>2134</v>
      </c>
      <c r="D122" t="s">
        <v>4000</v>
      </c>
      <c r="E122">
        <v>23</v>
      </c>
      <c r="F122" t="str">
        <f t="shared" si="1"/>
        <v>18-25</v>
      </c>
      <c r="G122" t="s">
        <v>4004</v>
      </c>
      <c r="H122" t="s">
        <v>4011</v>
      </c>
      <c r="I122" t="s">
        <v>4013</v>
      </c>
      <c r="J122">
        <v>3</v>
      </c>
      <c r="K122">
        <v>6024</v>
      </c>
      <c r="L122">
        <v>10</v>
      </c>
      <c r="M122">
        <v>18072</v>
      </c>
      <c r="N122">
        <v>1807.2</v>
      </c>
      <c r="O122">
        <v>16264.8</v>
      </c>
    </row>
    <row r="123" spans="1:15" x14ac:dyDescent="0.3">
      <c r="A123" t="s">
        <v>135</v>
      </c>
      <c r="B123" s="1">
        <v>45184</v>
      </c>
      <c r="C123" t="s">
        <v>2135</v>
      </c>
      <c r="D123" t="s">
        <v>3999</v>
      </c>
      <c r="E123">
        <v>24</v>
      </c>
      <c r="F123" t="str">
        <f t="shared" si="1"/>
        <v>18-25</v>
      </c>
      <c r="G123" t="s">
        <v>4001</v>
      </c>
      <c r="H123" t="s">
        <v>4007</v>
      </c>
      <c r="I123" t="s">
        <v>4016</v>
      </c>
      <c r="J123">
        <v>5</v>
      </c>
      <c r="K123">
        <v>5036</v>
      </c>
      <c r="L123">
        <v>5</v>
      </c>
      <c r="M123">
        <v>25180</v>
      </c>
      <c r="N123">
        <v>1259</v>
      </c>
      <c r="O123">
        <v>23921</v>
      </c>
    </row>
    <row r="124" spans="1:15" x14ac:dyDescent="0.3">
      <c r="A124" t="s">
        <v>136</v>
      </c>
      <c r="B124" s="1">
        <v>45059</v>
      </c>
      <c r="C124" t="s">
        <v>2136</v>
      </c>
      <c r="D124" t="s">
        <v>4000</v>
      </c>
      <c r="E124">
        <v>28</v>
      </c>
      <c r="F124" t="str">
        <f t="shared" si="1"/>
        <v>26-35</v>
      </c>
      <c r="G124" t="s">
        <v>4006</v>
      </c>
      <c r="H124" t="s">
        <v>4012</v>
      </c>
      <c r="I124" t="s">
        <v>4017</v>
      </c>
      <c r="J124">
        <v>5</v>
      </c>
      <c r="K124">
        <v>929</v>
      </c>
      <c r="L124">
        <v>0</v>
      </c>
      <c r="M124">
        <v>4645</v>
      </c>
      <c r="N124">
        <v>0</v>
      </c>
      <c r="O124">
        <v>4645</v>
      </c>
    </row>
    <row r="125" spans="1:15" x14ac:dyDescent="0.3">
      <c r="A125" t="s">
        <v>137</v>
      </c>
      <c r="B125" s="1">
        <v>44911</v>
      </c>
      <c r="C125" t="s">
        <v>2137</v>
      </c>
      <c r="D125" t="s">
        <v>4000</v>
      </c>
      <c r="E125">
        <v>41</v>
      </c>
      <c r="F125" t="str">
        <f t="shared" si="1"/>
        <v>36-45</v>
      </c>
      <c r="G125" t="s">
        <v>4005</v>
      </c>
      <c r="H125" t="s">
        <v>4010</v>
      </c>
      <c r="I125" t="s">
        <v>4014</v>
      </c>
      <c r="J125">
        <v>2</v>
      </c>
      <c r="K125">
        <v>3348</v>
      </c>
      <c r="L125">
        <v>10</v>
      </c>
      <c r="M125">
        <v>6696</v>
      </c>
      <c r="N125">
        <v>669.6</v>
      </c>
      <c r="O125">
        <v>6026.4</v>
      </c>
    </row>
    <row r="126" spans="1:15" x14ac:dyDescent="0.3">
      <c r="A126" t="s">
        <v>138</v>
      </c>
      <c r="B126" s="1">
        <v>45048</v>
      </c>
      <c r="C126" t="s">
        <v>2138</v>
      </c>
      <c r="D126" t="s">
        <v>3999</v>
      </c>
      <c r="E126">
        <v>34</v>
      </c>
      <c r="F126" t="str">
        <f t="shared" si="1"/>
        <v>26-35</v>
      </c>
      <c r="G126" t="s">
        <v>4002</v>
      </c>
      <c r="H126" t="s">
        <v>4011</v>
      </c>
      <c r="I126" t="s">
        <v>4015</v>
      </c>
      <c r="J126">
        <v>5</v>
      </c>
      <c r="K126">
        <v>4576</v>
      </c>
      <c r="L126">
        <v>20</v>
      </c>
      <c r="M126">
        <v>22880</v>
      </c>
      <c r="N126">
        <v>4576</v>
      </c>
      <c r="O126">
        <v>18304</v>
      </c>
    </row>
    <row r="127" spans="1:15" x14ac:dyDescent="0.3">
      <c r="A127" t="s">
        <v>139</v>
      </c>
      <c r="B127" s="1">
        <v>44796</v>
      </c>
      <c r="C127" t="s">
        <v>2139</v>
      </c>
      <c r="D127" t="s">
        <v>4000</v>
      </c>
      <c r="E127">
        <v>53</v>
      </c>
      <c r="F127" t="str">
        <f t="shared" si="1"/>
        <v>46+</v>
      </c>
      <c r="G127" t="s">
        <v>4002</v>
      </c>
      <c r="H127" t="s">
        <v>4008</v>
      </c>
      <c r="I127" t="s">
        <v>4016</v>
      </c>
      <c r="J127">
        <v>1</v>
      </c>
      <c r="K127">
        <v>1686</v>
      </c>
      <c r="L127">
        <v>0</v>
      </c>
      <c r="M127">
        <v>1686</v>
      </c>
      <c r="N127">
        <v>0</v>
      </c>
      <c r="O127">
        <v>1686</v>
      </c>
    </row>
    <row r="128" spans="1:15" x14ac:dyDescent="0.3">
      <c r="A128" t="s">
        <v>140</v>
      </c>
      <c r="B128" s="1">
        <v>45091</v>
      </c>
      <c r="C128" t="s">
        <v>2140</v>
      </c>
      <c r="D128" t="s">
        <v>3999</v>
      </c>
      <c r="E128">
        <v>29</v>
      </c>
      <c r="F128" t="str">
        <f t="shared" si="1"/>
        <v>26-35</v>
      </c>
      <c r="G128" t="s">
        <v>4005</v>
      </c>
      <c r="H128" t="s">
        <v>4007</v>
      </c>
      <c r="I128" t="s">
        <v>4017</v>
      </c>
      <c r="J128">
        <v>4</v>
      </c>
      <c r="K128">
        <v>2288</v>
      </c>
      <c r="L128">
        <v>15</v>
      </c>
      <c r="M128">
        <v>9152</v>
      </c>
      <c r="N128">
        <v>1372.8</v>
      </c>
      <c r="O128">
        <v>7779.2</v>
      </c>
    </row>
    <row r="129" spans="1:15" x14ac:dyDescent="0.3">
      <c r="A129" t="s">
        <v>141</v>
      </c>
      <c r="B129" s="1">
        <v>44567</v>
      </c>
      <c r="C129" t="s">
        <v>2141</v>
      </c>
      <c r="D129" t="s">
        <v>4000</v>
      </c>
      <c r="E129">
        <v>49</v>
      </c>
      <c r="F129" t="str">
        <f t="shared" si="1"/>
        <v>46+</v>
      </c>
      <c r="G129" t="s">
        <v>4001</v>
      </c>
      <c r="H129" t="s">
        <v>4007</v>
      </c>
      <c r="I129" t="s">
        <v>4013</v>
      </c>
      <c r="J129">
        <v>1</v>
      </c>
      <c r="K129">
        <v>879</v>
      </c>
      <c r="L129">
        <v>15</v>
      </c>
      <c r="M129">
        <v>879</v>
      </c>
      <c r="N129">
        <v>131.85</v>
      </c>
      <c r="O129">
        <v>747.15</v>
      </c>
    </row>
    <row r="130" spans="1:15" x14ac:dyDescent="0.3">
      <c r="A130" t="s">
        <v>142</v>
      </c>
      <c r="B130" s="1">
        <v>44611</v>
      </c>
      <c r="C130" t="s">
        <v>2142</v>
      </c>
      <c r="D130" t="s">
        <v>4000</v>
      </c>
      <c r="E130">
        <v>28</v>
      </c>
      <c r="F130" t="str">
        <f t="shared" ref="F130:F193" si="2">IF(E130&lt;=25,"18-25",IF(E130&lt;=35,"26-35",IF(E130&lt;=45,"36-45","46+")))</f>
        <v>26-35</v>
      </c>
      <c r="G130" t="s">
        <v>4005</v>
      </c>
      <c r="H130" t="s">
        <v>4008</v>
      </c>
      <c r="I130" t="s">
        <v>4013</v>
      </c>
      <c r="J130">
        <v>6</v>
      </c>
      <c r="K130">
        <v>2656</v>
      </c>
      <c r="L130">
        <v>15</v>
      </c>
      <c r="M130">
        <v>15936</v>
      </c>
      <c r="N130">
        <v>2390.4</v>
      </c>
      <c r="O130">
        <v>13545.6</v>
      </c>
    </row>
    <row r="131" spans="1:15" x14ac:dyDescent="0.3">
      <c r="A131" t="s">
        <v>143</v>
      </c>
      <c r="B131" s="1">
        <v>45000</v>
      </c>
      <c r="C131" t="s">
        <v>2143</v>
      </c>
      <c r="D131" t="s">
        <v>4000</v>
      </c>
      <c r="E131">
        <v>43</v>
      </c>
      <c r="F131" t="str">
        <f t="shared" si="2"/>
        <v>36-45</v>
      </c>
      <c r="G131" t="s">
        <v>4004</v>
      </c>
      <c r="H131" t="s">
        <v>4007</v>
      </c>
      <c r="I131" t="s">
        <v>4013</v>
      </c>
      <c r="J131">
        <v>1</v>
      </c>
      <c r="K131">
        <v>2775</v>
      </c>
      <c r="L131">
        <v>20</v>
      </c>
      <c r="M131">
        <v>2775</v>
      </c>
      <c r="N131">
        <v>555</v>
      </c>
      <c r="O131">
        <v>2220</v>
      </c>
    </row>
    <row r="132" spans="1:15" x14ac:dyDescent="0.3">
      <c r="A132" t="s">
        <v>144</v>
      </c>
      <c r="B132" s="1">
        <v>44894</v>
      </c>
      <c r="C132" t="s">
        <v>2144</v>
      </c>
      <c r="D132" t="s">
        <v>3999</v>
      </c>
      <c r="E132">
        <v>55</v>
      </c>
      <c r="F132" t="str">
        <f t="shared" si="2"/>
        <v>46+</v>
      </c>
      <c r="G132" t="s">
        <v>4006</v>
      </c>
      <c r="H132" t="s">
        <v>4012</v>
      </c>
      <c r="I132" t="s">
        <v>4016</v>
      </c>
      <c r="J132">
        <v>6</v>
      </c>
      <c r="K132">
        <v>2237</v>
      </c>
      <c r="L132">
        <v>0</v>
      </c>
      <c r="M132">
        <v>13422</v>
      </c>
      <c r="N132">
        <v>0</v>
      </c>
      <c r="O132">
        <v>13422</v>
      </c>
    </row>
    <row r="133" spans="1:15" x14ac:dyDescent="0.3">
      <c r="A133" t="s">
        <v>145</v>
      </c>
      <c r="B133" s="1">
        <v>45179</v>
      </c>
      <c r="C133" t="s">
        <v>2145</v>
      </c>
      <c r="D133" t="s">
        <v>4000</v>
      </c>
      <c r="E133">
        <v>49</v>
      </c>
      <c r="F133" t="str">
        <f t="shared" si="2"/>
        <v>46+</v>
      </c>
      <c r="G133" t="s">
        <v>4004</v>
      </c>
      <c r="H133" t="s">
        <v>4012</v>
      </c>
      <c r="I133" t="s">
        <v>4014</v>
      </c>
      <c r="J133">
        <v>1</v>
      </c>
      <c r="K133">
        <v>2449</v>
      </c>
      <c r="L133">
        <v>10</v>
      </c>
      <c r="M133">
        <v>2449</v>
      </c>
      <c r="N133">
        <v>244.9</v>
      </c>
      <c r="O133">
        <v>2204.1</v>
      </c>
    </row>
    <row r="134" spans="1:15" x14ac:dyDescent="0.3">
      <c r="A134" t="s">
        <v>146</v>
      </c>
      <c r="B134" s="1">
        <v>44744</v>
      </c>
      <c r="C134" t="s">
        <v>2146</v>
      </c>
      <c r="D134" t="s">
        <v>4000</v>
      </c>
      <c r="E134">
        <v>44</v>
      </c>
      <c r="F134" t="str">
        <f t="shared" si="2"/>
        <v>36-45</v>
      </c>
      <c r="G134" t="s">
        <v>4002</v>
      </c>
      <c r="H134" t="s">
        <v>4008</v>
      </c>
      <c r="I134" t="s">
        <v>4013</v>
      </c>
      <c r="J134">
        <v>6</v>
      </c>
      <c r="K134">
        <v>5214</v>
      </c>
      <c r="L134">
        <v>5</v>
      </c>
      <c r="M134">
        <v>31284</v>
      </c>
      <c r="N134">
        <v>1564.2</v>
      </c>
      <c r="O134">
        <v>29719.8</v>
      </c>
    </row>
    <row r="135" spans="1:15" x14ac:dyDescent="0.3">
      <c r="A135" t="s">
        <v>147</v>
      </c>
      <c r="B135" s="1">
        <v>45249</v>
      </c>
      <c r="C135" t="s">
        <v>2147</v>
      </c>
      <c r="D135" t="s">
        <v>3999</v>
      </c>
      <c r="E135">
        <v>38</v>
      </c>
      <c r="F135" t="str">
        <f t="shared" si="2"/>
        <v>36-45</v>
      </c>
      <c r="G135" t="s">
        <v>4004</v>
      </c>
      <c r="H135" t="s">
        <v>4012</v>
      </c>
      <c r="I135" t="s">
        <v>4014</v>
      </c>
      <c r="J135">
        <v>2</v>
      </c>
      <c r="K135">
        <v>5465</v>
      </c>
      <c r="L135">
        <v>0</v>
      </c>
      <c r="M135">
        <v>10930</v>
      </c>
      <c r="N135">
        <v>0</v>
      </c>
      <c r="O135">
        <v>10930</v>
      </c>
    </row>
    <row r="136" spans="1:15" x14ac:dyDescent="0.3">
      <c r="A136" t="s">
        <v>148</v>
      </c>
      <c r="B136" s="1">
        <v>44983</v>
      </c>
      <c r="C136" t="s">
        <v>2148</v>
      </c>
      <c r="D136" t="s">
        <v>4000</v>
      </c>
      <c r="E136">
        <v>33</v>
      </c>
      <c r="F136" t="str">
        <f t="shared" si="2"/>
        <v>26-35</v>
      </c>
      <c r="G136" t="s">
        <v>4006</v>
      </c>
      <c r="H136" t="s">
        <v>4007</v>
      </c>
      <c r="I136" t="s">
        <v>4013</v>
      </c>
      <c r="J136">
        <v>7</v>
      </c>
      <c r="K136">
        <v>2289</v>
      </c>
      <c r="L136">
        <v>0</v>
      </c>
      <c r="M136">
        <v>16023</v>
      </c>
      <c r="N136">
        <v>0</v>
      </c>
      <c r="O136">
        <v>16023</v>
      </c>
    </row>
    <row r="137" spans="1:15" x14ac:dyDescent="0.3">
      <c r="A137" t="s">
        <v>149</v>
      </c>
      <c r="B137" s="1">
        <v>45161</v>
      </c>
      <c r="C137" t="s">
        <v>2149</v>
      </c>
      <c r="D137" t="s">
        <v>4000</v>
      </c>
      <c r="E137">
        <v>54</v>
      </c>
      <c r="F137" t="str">
        <f t="shared" si="2"/>
        <v>46+</v>
      </c>
      <c r="G137" t="s">
        <v>4005</v>
      </c>
      <c r="H137" t="s">
        <v>4008</v>
      </c>
      <c r="I137" t="s">
        <v>4013</v>
      </c>
      <c r="J137">
        <v>1</v>
      </c>
      <c r="K137">
        <v>2008</v>
      </c>
      <c r="L137">
        <v>0</v>
      </c>
      <c r="M137">
        <v>2008</v>
      </c>
      <c r="N137">
        <v>0</v>
      </c>
      <c r="O137">
        <v>2008</v>
      </c>
    </row>
    <row r="138" spans="1:15" x14ac:dyDescent="0.3">
      <c r="A138" t="s">
        <v>150</v>
      </c>
      <c r="B138" s="1">
        <v>45223</v>
      </c>
      <c r="C138" t="s">
        <v>2150</v>
      </c>
      <c r="D138" t="s">
        <v>3999</v>
      </c>
      <c r="E138">
        <v>24</v>
      </c>
      <c r="F138" t="str">
        <f t="shared" si="2"/>
        <v>18-25</v>
      </c>
      <c r="G138" t="s">
        <v>4001</v>
      </c>
      <c r="H138" t="s">
        <v>4008</v>
      </c>
      <c r="I138" t="s">
        <v>4016</v>
      </c>
      <c r="J138">
        <v>6</v>
      </c>
      <c r="K138">
        <v>6523</v>
      </c>
      <c r="L138">
        <v>15</v>
      </c>
      <c r="M138">
        <v>39138</v>
      </c>
      <c r="N138">
        <v>5870.7</v>
      </c>
      <c r="O138">
        <v>33267.300000000003</v>
      </c>
    </row>
    <row r="139" spans="1:15" x14ac:dyDescent="0.3">
      <c r="A139" t="s">
        <v>151</v>
      </c>
      <c r="B139" s="1">
        <v>44822</v>
      </c>
      <c r="C139" t="s">
        <v>2151</v>
      </c>
      <c r="D139" t="s">
        <v>4000</v>
      </c>
      <c r="E139">
        <v>40</v>
      </c>
      <c r="F139" t="str">
        <f t="shared" si="2"/>
        <v>36-45</v>
      </c>
      <c r="G139" t="s">
        <v>4001</v>
      </c>
      <c r="H139" t="s">
        <v>4007</v>
      </c>
      <c r="I139" t="s">
        <v>4015</v>
      </c>
      <c r="J139">
        <v>6</v>
      </c>
      <c r="K139">
        <v>7656</v>
      </c>
      <c r="L139">
        <v>5</v>
      </c>
      <c r="M139">
        <v>45936</v>
      </c>
      <c r="N139">
        <v>2296.8000000000002</v>
      </c>
      <c r="O139">
        <v>43639.199999999997</v>
      </c>
    </row>
    <row r="140" spans="1:15" x14ac:dyDescent="0.3">
      <c r="A140" t="s">
        <v>152</v>
      </c>
      <c r="B140" s="1">
        <v>45037</v>
      </c>
      <c r="C140" t="s">
        <v>2152</v>
      </c>
      <c r="D140" t="s">
        <v>3999</v>
      </c>
      <c r="E140">
        <v>36</v>
      </c>
      <c r="F140" t="str">
        <f t="shared" si="2"/>
        <v>36-45</v>
      </c>
      <c r="G140" t="s">
        <v>4002</v>
      </c>
      <c r="H140" t="s">
        <v>4010</v>
      </c>
      <c r="I140" t="s">
        <v>4017</v>
      </c>
      <c r="J140">
        <v>3</v>
      </c>
      <c r="K140">
        <v>177</v>
      </c>
      <c r="L140">
        <v>0</v>
      </c>
      <c r="M140">
        <v>531</v>
      </c>
      <c r="N140">
        <v>0</v>
      </c>
      <c r="O140">
        <v>531</v>
      </c>
    </row>
    <row r="141" spans="1:15" x14ac:dyDescent="0.3">
      <c r="A141" t="s">
        <v>153</v>
      </c>
      <c r="B141" s="1">
        <v>45150</v>
      </c>
      <c r="C141" t="s">
        <v>2153</v>
      </c>
      <c r="D141" t="s">
        <v>3999</v>
      </c>
      <c r="E141">
        <v>42</v>
      </c>
      <c r="F141" t="str">
        <f t="shared" si="2"/>
        <v>36-45</v>
      </c>
      <c r="G141" t="s">
        <v>4003</v>
      </c>
      <c r="H141" t="s">
        <v>4012</v>
      </c>
      <c r="I141" t="s">
        <v>4015</v>
      </c>
      <c r="J141">
        <v>1</v>
      </c>
      <c r="K141">
        <v>5661</v>
      </c>
      <c r="L141">
        <v>5</v>
      </c>
      <c r="M141">
        <v>5661</v>
      </c>
      <c r="N141">
        <v>283.05</v>
      </c>
      <c r="O141">
        <v>5377.95</v>
      </c>
    </row>
    <row r="142" spans="1:15" x14ac:dyDescent="0.3">
      <c r="A142" t="s">
        <v>154</v>
      </c>
      <c r="B142" s="1">
        <v>44795</v>
      </c>
      <c r="C142" t="s">
        <v>2154</v>
      </c>
      <c r="D142" t="s">
        <v>3999</v>
      </c>
      <c r="E142">
        <v>46</v>
      </c>
      <c r="F142" t="str">
        <f t="shared" si="2"/>
        <v>46+</v>
      </c>
      <c r="G142" t="s">
        <v>4006</v>
      </c>
      <c r="H142" t="s">
        <v>4007</v>
      </c>
      <c r="I142" t="s">
        <v>4013</v>
      </c>
      <c r="J142">
        <v>6</v>
      </c>
      <c r="K142">
        <v>4028</v>
      </c>
      <c r="L142">
        <v>0</v>
      </c>
      <c r="M142">
        <v>24168</v>
      </c>
      <c r="N142">
        <v>0</v>
      </c>
      <c r="O142">
        <v>24168</v>
      </c>
    </row>
    <row r="143" spans="1:15" x14ac:dyDescent="0.3">
      <c r="A143" t="s">
        <v>155</v>
      </c>
      <c r="B143" s="1">
        <v>44893</v>
      </c>
      <c r="C143" t="s">
        <v>2155</v>
      </c>
      <c r="D143" t="s">
        <v>4000</v>
      </c>
      <c r="E143">
        <v>51</v>
      </c>
      <c r="F143" t="str">
        <f t="shared" si="2"/>
        <v>46+</v>
      </c>
      <c r="G143" t="s">
        <v>4005</v>
      </c>
      <c r="H143" t="s">
        <v>4008</v>
      </c>
      <c r="I143" t="s">
        <v>4014</v>
      </c>
      <c r="J143">
        <v>1</v>
      </c>
      <c r="K143">
        <v>7453</v>
      </c>
      <c r="L143">
        <v>5</v>
      </c>
      <c r="M143">
        <v>7453</v>
      </c>
      <c r="N143">
        <v>372.65</v>
      </c>
      <c r="O143">
        <v>7080.35</v>
      </c>
    </row>
    <row r="144" spans="1:15" x14ac:dyDescent="0.3">
      <c r="A144" t="s">
        <v>156</v>
      </c>
      <c r="B144" s="1">
        <v>44787</v>
      </c>
      <c r="C144" t="s">
        <v>2156</v>
      </c>
      <c r="D144" t="s">
        <v>4000</v>
      </c>
      <c r="E144">
        <v>54</v>
      </c>
      <c r="F144" t="str">
        <f t="shared" si="2"/>
        <v>46+</v>
      </c>
      <c r="G144" t="s">
        <v>4003</v>
      </c>
      <c r="H144" t="s">
        <v>4010</v>
      </c>
      <c r="I144" t="s">
        <v>4015</v>
      </c>
      <c r="J144">
        <v>7</v>
      </c>
      <c r="K144">
        <v>7561</v>
      </c>
      <c r="L144">
        <v>10</v>
      </c>
      <c r="M144">
        <v>52927</v>
      </c>
      <c r="N144">
        <v>5292.7</v>
      </c>
      <c r="O144">
        <v>47634.3</v>
      </c>
    </row>
    <row r="145" spans="1:15" x14ac:dyDescent="0.3">
      <c r="A145" t="s">
        <v>157</v>
      </c>
      <c r="B145" s="1">
        <v>45031</v>
      </c>
      <c r="C145" t="s">
        <v>2157</v>
      </c>
      <c r="D145" t="s">
        <v>4000</v>
      </c>
      <c r="E145">
        <v>56</v>
      </c>
      <c r="F145" t="str">
        <f t="shared" si="2"/>
        <v>46+</v>
      </c>
      <c r="G145" t="s">
        <v>4006</v>
      </c>
      <c r="H145" t="s">
        <v>4012</v>
      </c>
      <c r="I145" t="s">
        <v>4016</v>
      </c>
      <c r="J145">
        <v>4</v>
      </c>
      <c r="K145">
        <v>6238</v>
      </c>
      <c r="L145">
        <v>15</v>
      </c>
      <c r="M145">
        <v>24952</v>
      </c>
      <c r="N145">
        <v>3742.8</v>
      </c>
      <c r="O145">
        <v>21209.200000000001</v>
      </c>
    </row>
    <row r="146" spans="1:15" x14ac:dyDescent="0.3">
      <c r="A146" t="s">
        <v>158</v>
      </c>
      <c r="B146" s="1">
        <v>44647</v>
      </c>
      <c r="C146" t="s">
        <v>2158</v>
      </c>
      <c r="D146" t="s">
        <v>4000</v>
      </c>
      <c r="E146">
        <v>24</v>
      </c>
      <c r="F146" t="str">
        <f t="shared" si="2"/>
        <v>18-25</v>
      </c>
      <c r="G146" t="s">
        <v>4004</v>
      </c>
      <c r="H146" t="s">
        <v>4007</v>
      </c>
      <c r="I146" t="s">
        <v>4017</v>
      </c>
      <c r="J146">
        <v>6</v>
      </c>
      <c r="K146">
        <v>6237</v>
      </c>
      <c r="L146">
        <v>0</v>
      </c>
      <c r="M146">
        <v>37422</v>
      </c>
      <c r="N146">
        <v>0</v>
      </c>
      <c r="O146">
        <v>37422</v>
      </c>
    </row>
    <row r="147" spans="1:15" x14ac:dyDescent="0.3">
      <c r="A147" t="s">
        <v>159</v>
      </c>
      <c r="B147" s="1">
        <v>45232</v>
      </c>
      <c r="C147" t="s">
        <v>2159</v>
      </c>
      <c r="D147" t="s">
        <v>3999</v>
      </c>
      <c r="E147">
        <v>31</v>
      </c>
      <c r="F147" t="str">
        <f t="shared" si="2"/>
        <v>26-35</v>
      </c>
      <c r="G147" t="s">
        <v>4002</v>
      </c>
      <c r="H147" t="s">
        <v>4008</v>
      </c>
      <c r="I147" t="s">
        <v>4014</v>
      </c>
      <c r="J147">
        <v>2</v>
      </c>
      <c r="K147">
        <v>6082</v>
      </c>
      <c r="L147">
        <v>0</v>
      </c>
      <c r="M147">
        <v>12164</v>
      </c>
      <c r="N147">
        <v>0</v>
      </c>
      <c r="O147">
        <v>12164</v>
      </c>
    </row>
    <row r="148" spans="1:15" x14ac:dyDescent="0.3">
      <c r="A148" t="s">
        <v>160</v>
      </c>
      <c r="B148" s="1">
        <v>45038</v>
      </c>
      <c r="C148" t="s">
        <v>2160</v>
      </c>
      <c r="D148" t="s">
        <v>3999</v>
      </c>
      <c r="E148">
        <v>23</v>
      </c>
      <c r="F148" t="str">
        <f t="shared" si="2"/>
        <v>18-25</v>
      </c>
      <c r="G148" t="s">
        <v>4001</v>
      </c>
      <c r="H148" t="s">
        <v>4007</v>
      </c>
      <c r="I148" t="s">
        <v>4016</v>
      </c>
      <c r="J148">
        <v>5</v>
      </c>
      <c r="K148">
        <v>6773</v>
      </c>
      <c r="L148">
        <v>5</v>
      </c>
      <c r="M148">
        <v>33865</v>
      </c>
      <c r="N148">
        <v>1693.25</v>
      </c>
      <c r="O148">
        <v>32171.75</v>
      </c>
    </row>
    <row r="149" spans="1:15" x14ac:dyDescent="0.3">
      <c r="A149" t="s">
        <v>161</v>
      </c>
      <c r="B149" s="1">
        <v>44809</v>
      </c>
      <c r="C149" t="s">
        <v>2161</v>
      </c>
      <c r="D149" t="s">
        <v>4000</v>
      </c>
      <c r="E149">
        <v>36</v>
      </c>
      <c r="F149" t="str">
        <f t="shared" si="2"/>
        <v>36-45</v>
      </c>
      <c r="G149" t="s">
        <v>4004</v>
      </c>
      <c r="H149" t="s">
        <v>4007</v>
      </c>
      <c r="I149" t="s">
        <v>4014</v>
      </c>
      <c r="J149">
        <v>5</v>
      </c>
      <c r="K149">
        <v>1902</v>
      </c>
      <c r="L149">
        <v>15</v>
      </c>
      <c r="M149">
        <v>9510</v>
      </c>
      <c r="N149">
        <v>1426.5</v>
      </c>
      <c r="O149">
        <v>8083.5</v>
      </c>
    </row>
    <row r="150" spans="1:15" x14ac:dyDescent="0.3">
      <c r="A150" t="s">
        <v>162</v>
      </c>
      <c r="B150" s="1">
        <v>44745</v>
      </c>
      <c r="C150" t="s">
        <v>2162</v>
      </c>
      <c r="D150" t="s">
        <v>3999</v>
      </c>
      <c r="E150">
        <v>41</v>
      </c>
      <c r="F150" t="str">
        <f t="shared" si="2"/>
        <v>36-45</v>
      </c>
      <c r="G150" t="s">
        <v>4002</v>
      </c>
      <c r="H150" t="s">
        <v>4012</v>
      </c>
      <c r="I150" t="s">
        <v>4017</v>
      </c>
      <c r="J150">
        <v>6</v>
      </c>
      <c r="K150">
        <v>2874</v>
      </c>
      <c r="L150">
        <v>0</v>
      </c>
      <c r="M150">
        <v>17244</v>
      </c>
      <c r="N150">
        <v>0</v>
      </c>
      <c r="O150">
        <v>17244</v>
      </c>
    </row>
    <row r="151" spans="1:15" x14ac:dyDescent="0.3">
      <c r="A151" t="s">
        <v>163</v>
      </c>
      <c r="B151" s="1">
        <v>45195</v>
      </c>
      <c r="C151" t="s">
        <v>2163</v>
      </c>
      <c r="D151" t="s">
        <v>4000</v>
      </c>
      <c r="E151">
        <v>36</v>
      </c>
      <c r="F151" t="str">
        <f t="shared" si="2"/>
        <v>36-45</v>
      </c>
      <c r="G151" t="s">
        <v>4004</v>
      </c>
      <c r="H151" t="s">
        <v>4008</v>
      </c>
      <c r="I151" t="s">
        <v>4013</v>
      </c>
      <c r="J151">
        <v>7</v>
      </c>
      <c r="K151">
        <v>2103</v>
      </c>
      <c r="L151">
        <v>15</v>
      </c>
      <c r="M151">
        <v>14721</v>
      </c>
      <c r="N151">
        <v>2208.15</v>
      </c>
      <c r="O151">
        <v>12512.85</v>
      </c>
    </row>
    <row r="152" spans="1:15" x14ac:dyDescent="0.3">
      <c r="A152" t="s">
        <v>164</v>
      </c>
      <c r="B152" s="1">
        <v>44638</v>
      </c>
      <c r="C152" t="s">
        <v>2164</v>
      </c>
      <c r="D152" t="s">
        <v>3999</v>
      </c>
      <c r="E152">
        <v>32</v>
      </c>
      <c r="F152" t="str">
        <f t="shared" si="2"/>
        <v>26-35</v>
      </c>
      <c r="G152" t="s">
        <v>4001</v>
      </c>
      <c r="H152" t="s">
        <v>4011</v>
      </c>
      <c r="I152" t="s">
        <v>4017</v>
      </c>
      <c r="J152">
        <v>3</v>
      </c>
      <c r="K152">
        <v>4249</v>
      </c>
      <c r="L152">
        <v>15</v>
      </c>
      <c r="M152">
        <v>12747</v>
      </c>
      <c r="N152">
        <v>1912.05</v>
      </c>
      <c r="O152">
        <v>10834.95</v>
      </c>
    </row>
    <row r="153" spans="1:15" x14ac:dyDescent="0.3">
      <c r="A153" t="s">
        <v>165</v>
      </c>
      <c r="B153" s="1">
        <v>45273</v>
      </c>
      <c r="C153" t="s">
        <v>2165</v>
      </c>
      <c r="D153" t="s">
        <v>4000</v>
      </c>
      <c r="E153">
        <v>23</v>
      </c>
      <c r="F153" t="str">
        <f t="shared" si="2"/>
        <v>18-25</v>
      </c>
      <c r="G153" t="s">
        <v>4004</v>
      </c>
      <c r="H153" t="s">
        <v>4007</v>
      </c>
      <c r="I153" t="s">
        <v>4014</v>
      </c>
      <c r="J153">
        <v>4</v>
      </c>
      <c r="K153">
        <v>7928</v>
      </c>
      <c r="L153">
        <v>5</v>
      </c>
      <c r="M153">
        <v>31712</v>
      </c>
      <c r="N153">
        <v>1585.6</v>
      </c>
      <c r="O153">
        <v>30126.400000000001</v>
      </c>
    </row>
    <row r="154" spans="1:15" x14ac:dyDescent="0.3">
      <c r="A154" t="s">
        <v>166</v>
      </c>
      <c r="B154" s="1">
        <v>44647</v>
      </c>
      <c r="C154" t="s">
        <v>2166</v>
      </c>
      <c r="D154" t="s">
        <v>4000</v>
      </c>
      <c r="E154">
        <v>49</v>
      </c>
      <c r="F154" t="str">
        <f t="shared" si="2"/>
        <v>46+</v>
      </c>
      <c r="G154" t="s">
        <v>4006</v>
      </c>
      <c r="H154" t="s">
        <v>4011</v>
      </c>
      <c r="I154" t="s">
        <v>4016</v>
      </c>
      <c r="J154">
        <v>5</v>
      </c>
      <c r="K154">
        <v>5757</v>
      </c>
      <c r="L154">
        <v>0</v>
      </c>
      <c r="M154">
        <v>28785</v>
      </c>
      <c r="N154">
        <v>0</v>
      </c>
      <c r="O154">
        <v>28785</v>
      </c>
    </row>
    <row r="155" spans="1:15" x14ac:dyDescent="0.3">
      <c r="A155" t="s">
        <v>167</v>
      </c>
      <c r="B155" s="1">
        <v>45260</v>
      </c>
      <c r="C155" t="s">
        <v>2167</v>
      </c>
      <c r="D155" t="s">
        <v>4000</v>
      </c>
      <c r="E155">
        <v>56</v>
      </c>
      <c r="F155" t="str">
        <f t="shared" si="2"/>
        <v>46+</v>
      </c>
      <c r="G155" t="s">
        <v>4005</v>
      </c>
      <c r="H155" t="s">
        <v>4007</v>
      </c>
      <c r="I155" t="s">
        <v>4015</v>
      </c>
      <c r="J155">
        <v>6</v>
      </c>
      <c r="K155">
        <v>5837</v>
      </c>
      <c r="L155">
        <v>0</v>
      </c>
      <c r="M155">
        <v>35022</v>
      </c>
      <c r="N155">
        <v>0</v>
      </c>
      <c r="O155">
        <v>35022</v>
      </c>
    </row>
    <row r="156" spans="1:15" x14ac:dyDescent="0.3">
      <c r="A156" t="s">
        <v>168</v>
      </c>
      <c r="B156" s="1">
        <v>44792</v>
      </c>
      <c r="C156" t="s">
        <v>2168</v>
      </c>
      <c r="D156" t="s">
        <v>4000</v>
      </c>
      <c r="E156">
        <v>21</v>
      </c>
      <c r="F156" t="str">
        <f t="shared" si="2"/>
        <v>18-25</v>
      </c>
      <c r="G156" t="s">
        <v>4001</v>
      </c>
      <c r="H156" t="s">
        <v>4009</v>
      </c>
      <c r="I156" t="s">
        <v>4013</v>
      </c>
      <c r="J156">
        <v>7</v>
      </c>
      <c r="K156">
        <v>7473</v>
      </c>
      <c r="L156">
        <v>0</v>
      </c>
      <c r="M156">
        <v>52311</v>
      </c>
      <c r="N156">
        <v>0</v>
      </c>
      <c r="O156">
        <v>52311</v>
      </c>
    </row>
    <row r="157" spans="1:15" x14ac:dyDescent="0.3">
      <c r="A157" t="s">
        <v>169</v>
      </c>
      <c r="B157" s="1">
        <v>44877</v>
      </c>
      <c r="C157" t="s">
        <v>2169</v>
      </c>
      <c r="D157" t="s">
        <v>4000</v>
      </c>
      <c r="E157">
        <v>57</v>
      </c>
      <c r="F157" t="str">
        <f t="shared" si="2"/>
        <v>46+</v>
      </c>
      <c r="G157" t="s">
        <v>4001</v>
      </c>
      <c r="H157" t="s">
        <v>4010</v>
      </c>
      <c r="I157" t="s">
        <v>4017</v>
      </c>
      <c r="J157">
        <v>6</v>
      </c>
      <c r="K157">
        <v>7387</v>
      </c>
      <c r="L157">
        <v>5</v>
      </c>
      <c r="M157">
        <v>44322</v>
      </c>
      <c r="N157">
        <v>2216.1</v>
      </c>
      <c r="O157">
        <v>42105.9</v>
      </c>
    </row>
    <row r="158" spans="1:15" x14ac:dyDescent="0.3">
      <c r="A158" t="s">
        <v>170</v>
      </c>
      <c r="B158" s="1">
        <v>45137</v>
      </c>
      <c r="C158" t="s">
        <v>2170</v>
      </c>
      <c r="D158" t="s">
        <v>3999</v>
      </c>
      <c r="E158">
        <v>59</v>
      </c>
      <c r="F158" t="str">
        <f t="shared" si="2"/>
        <v>46+</v>
      </c>
      <c r="G158" t="s">
        <v>4004</v>
      </c>
      <c r="H158" t="s">
        <v>4010</v>
      </c>
      <c r="I158" t="s">
        <v>4017</v>
      </c>
      <c r="J158">
        <v>7</v>
      </c>
      <c r="K158">
        <v>678</v>
      </c>
      <c r="L158">
        <v>0</v>
      </c>
      <c r="M158">
        <v>4746</v>
      </c>
      <c r="N158">
        <v>0</v>
      </c>
      <c r="O158">
        <v>4746</v>
      </c>
    </row>
    <row r="159" spans="1:15" x14ac:dyDescent="0.3">
      <c r="A159" t="s">
        <v>171</v>
      </c>
      <c r="B159" s="1">
        <v>44962</v>
      </c>
      <c r="C159" t="s">
        <v>2171</v>
      </c>
      <c r="D159" t="s">
        <v>4000</v>
      </c>
      <c r="E159">
        <v>45</v>
      </c>
      <c r="F159" t="str">
        <f t="shared" si="2"/>
        <v>36-45</v>
      </c>
      <c r="G159" t="s">
        <v>4004</v>
      </c>
      <c r="H159" t="s">
        <v>4007</v>
      </c>
      <c r="I159" t="s">
        <v>4017</v>
      </c>
      <c r="J159">
        <v>1</v>
      </c>
      <c r="K159">
        <v>5316</v>
      </c>
      <c r="L159">
        <v>15</v>
      </c>
      <c r="M159">
        <v>5316</v>
      </c>
      <c r="N159">
        <v>797.4</v>
      </c>
      <c r="O159">
        <v>4518.6000000000004</v>
      </c>
    </row>
    <row r="160" spans="1:15" x14ac:dyDescent="0.3">
      <c r="A160" t="s">
        <v>172</v>
      </c>
      <c r="B160" s="1">
        <v>44597</v>
      </c>
      <c r="C160" t="s">
        <v>2172</v>
      </c>
      <c r="D160" t="s">
        <v>3999</v>
      </c>
      <c r="E160">
        <v>47</v>
      </c>
      <c r="F160" t="str">
        <f t="shared" si="2"/>
        <v>46+</v>
      </c>
      <c r="G160" t="s">
        <v>4005</v>
      </c>
      <c r="H160" t="s">
        <v>4011</v>
      </c>
      <c r="I160" t="s">
        <v>4017</v>
      </c>
      <c r="J160">
        <v>4</v>
      </c>
      <c r="K160">
        <v>1557</v>
      </c>
      <c r="L160">
        <v>0</v>
      </c>
      <c r="M160">
        <v>6228</v>
      </c>
      <c r="N160">
        <v>0</v>
      </c>
      <c r="O160">
        <v>6228</v>
      </c>
    </row>
    <row r="161" spans="1:15" x14ac:dyDescent="0.3">
      <c r="A161" t="s">
        <v>173</v>
      </c>
      <c r="B161" s="1">
        <v>45151</v>
      </c>
      <c r="C161" t="s">
        <v>2173</v>
      </c>
      <c r="D161" t="s">
        <v>4000</v>
      </c>
      <c r="E161">
        <v>59</v>
      </c>
      <c r="F161" t="str">
        <f t="shared" si="2"/>
        <v>46+</v>
      </c>
      <c r="G161" t="s">
        <v>4006</v>
      </c>
      <c r="H161" t="s">
        <v>4008</v>
      </c>
      <c r="I161" t="s">
        <v>4016</v>
      </c>
      <c r="J161">
        <v>2</v>
      </c>
      <c r="K161">
        <v>4744</v>
      </c>
      <c r="L161">
        <v>5</v>
      </c>
      <c r="M161">
        <v>9488</v>
      </c>
      <c r="N161">
        <v>474.4</v>
      </c>
      <c r="O161">
        <v>9013.6</v>
      </c>
    </row>
    <row r="162" spans="1:15" x14ac:dyDescent="0.3">
      <c r="A162" t="s">
        <v>174</v>
      </c>
      <c r="B162" s="1">
        <v>44850</v>
      </c>
      <c r="C162" t="s">
        <v>2174</v>
      </c>
      <c r="D162" t="s">
        <v>4000</v>
      </c>
      <c r="E162">
        <v>51</v>
      </c>
      <c r="F162" t="str">
        <f t="shared" si="2"/>
        <v>46+</v>
      </c>
      <c r="G162" t="s">
        <v>4004</v>
      </c>
      <c r="H162" t="s">
        <v>4009</v>
      </c>
      <c r="I162" t="s">
        <v>4014</v>
      </c>
      <c r="J162">
        <v>1</v>
      </c>
      <c r="K162">
        <v>5150</v>
      </c>
      <c r="L162">
        <v>15</v>
      </c>
      <c r="M162">
        <v>5150</v>
      </c>
      <c r="N162">
        <v>772.5</v>
      </c>
      <c r="O162">
        <v>4377.5</v>
      </c>
    </row>
    <row r="163" spans="1:15" x14ac:dyDescent="0.3">
      <c r="A163" t="s">
        <v>175</v>
      </c>
      <c r="B163" s="1">
        <v>45191</v>
      </c>
      <c r="C163" t="s">
        <v>2175</v>
      </c>
      <c r="D163" t="s">
        <v>3999</v>
      </c>
      <c r="E163">
        <v>29</v>
      </c>
      <c r="F163" t="str">
        <f t="shared" si="2"/>
        <v>26-35</v>
      </c>
      <c r="G163" t="s">
        <v>4001</v>
      </c>
      <c r="H163" t="s">
        <v>4010</v>
      </c>
      <c r="I163" t="s">
        <v>4013</v>
      </c>
      <c r="J163">
        <v>1</v>
      </c>
      <c r="K163">
        <v>6656</v>
      </c>
      <c r="L163">
        <v>0</v>
      </c>
      <c r="M163">
        <v>6656</v>
      </c>
      <c r="N163">
        <v>0</v>
      </c>
      <c r="O163">
        <v>6656</v>
      </c>
    </row>
    <row r="164" spans="1:15" x14ac:dyDescent="0.3">
      <c r="A164" t="s">
        <v>176</v>
      </c>
      <c r="B164" s="1">
        <v>45289</v>
      </c>
      <c r="C164" t="s">
        <v>2176</v>
      </c>
      <c r="D164" t="s">
        <v>3999</v>
      </c>
      <c r="E164">
        <v>59</v>
      </c>
      <c r="F164" t="str">
        <f t="shared" si="2"/>
        <v>46+</v>
      </c>
      <c r="G164" t="s">
        <v>4006</v>
      </c>
      <c r="H164" t="s">
        <v>4009</v>
      </c>
      <c r="I164" t="s">
        <v>4017</v>
      </c>
      <c r="J164">
        <v>5</v>
      </c>
      <c r="K164">
        <v>3013</v>
      </c>
      <c r="L164">
        <v>10</v>
      </c>
      <c r="M164">
        <v>15065</v>
      </c>
      <c r="N164">
        <v>1506.5</v>
      </c>
      <c r="O164">
        <v>13558.5</v>
      </c>
    </row>
    <row r="165" spans="1:15" x14ac:dyDescent="0.3">
      <c r="A165" t="s">
        <v>177</v>
      </c>
      <c r="B165" s="1">
        <v>44723</v>
      </c>
      <c r="C165" t="s">
        <v>2177</v>
      </c>
      <c r="D165" t="s">
        <v>3999</v>
      </c>
      <c r="E165">
        <v>60</v>
      </c>
      <c r="F165" t="str">
        <f t="shared" si="2"/>
        <v>46+</v>
      </c>
      <c r="G165" t="s">
        <v>4002</v>
      </c>
      <c r="H165" t="s">
        <v>4008</v>
      </c>
      <c r="I165" t="s">
        <v>4013</v>
      </c>
      <c r="J165">
        <v>3</v>
      </c>
      <c r="K165">
        <v>1255</v>
      </c>
      <c r="L165">
        <v>10</v>
      </c>
      <c r="M165">
        <v>3765</v>
      </c>
      <c r="N165">
        <v>376.5</v>
      </c>
      <c r="O165">
        <v>3388.5</v>
      </c>
    </row>
    <row r="166" spans="1:15" x14ac:dyDescent="0.3">
      <c r="A166" t="s">
        <v>178</v>
      </c>
      <c r="B166" s="1">
        <v>44607</v>
      </c>
      <c r="C166" t="s">
        <v>2178</v>
      </c>
      <c r="D166" t="s">
        <v>4000</v>
      </c>
      <c r="E166">
        <v>45</v>
      </c>
      <c r="F166" t="str">
        <f t="shared" si="2"/>
        <v>36-45</v>
      </c>
      <c r="G166" t="s">
        <v>4005</v>
      </c>
      <c r="H166" t="s">
        <v>4008</v>
      </c>
      <c r="I166" t="s">
        <v>4015</v>
      </c>
      <c r="J166">
        <v>1</v>
      </c>
      <c r="K166">
        <v>7310</v>
      </c>
      <c r="L166">
        <v>10</v>
      </c>
      <c r="M166">
        <v>7310</v>
      </c>
      <c r="N166">
        <v>731</v>
      </c>
      <c r="O166">
        <v>6579</v>
      </c>
    </row>
    <row r="167" spans="1:15" x14ac:dyDescent="0.3">
      <c r="A167" t="s">
        <v>179</v>
      </c>
      <c r="B167" s="1">
        <v>45190</v>
      </c>
      <c r="C167" t="s">
        <v>2179</v>
      </c>
      <c r="D167" t="s">
        <v>4000</v>
      </c>
      <c r="E167">
        <v>46</v>
      </c>
      <c r="F167" t="str">
        <f t="shared" si="2"/>
        <v>46+</v>
      </c>
      <c r="G167" t="s">
        <v>4001</v>
      </c>
      <c r="H167" t="s">
        <v>4010</v>
      </c>
      <c r="I167" t="s">
        <v>4016</v>
      </c>
      <c r="J167">
        <v>5</v>
      </c>
      <c r="K167">
        <v>6346</v>
      </c>
      <c r="L167">
        <v>5</v>
      </c>
      <c r="M167">
        <v>31730</v>
      </c>
      <c r="N167">
        <v>1586.5</v>
      </c>
      <c r="O167">
        <v>30143.5</v>
      </c>
    </row>
    <row r="168" spans="1:15" x14ac:dyDescent="0.3">
      <c r="A168" t="s">
        <v>180</v>
      </c>
      <c r="B168" s="1">
        <v>45037</v>
      </c>
      <c r="C168" t="s">
        <v>2180</v>
      </c>
      <c r="D168" t="s">
        <v>3999</v>
      </c>
      <c r="E168">
        <v>32</v>
      </c>
      <c r="F168" t="str">
        <f t="shared" si="2"/>
        <v>26-35</v>
      </c>
      <c r="G168" t="s">
        <v>4002</v>
      </c>
      <c r="H168" t="s">
        <v>4008</v>
      </c>
      <c r="I168" t="s">
        <v>4017</v>
      </c>
      <c r="J168">
        <v>4</v>
      </c>
      <c r="K168">
        <v>6620</v>
      </c>
      <c r="L168">
        <v>0</v>
      </c>
      <c r="M168">
        <v>26480</v>
      </c>
      <c r="N168">
        <v>0</v>
      </c>
      <c r="O168">
        <v>26480</v>
      </c>
    </row>
    <row r="169" spans="1:15" x14ac:dyDescent="0.3">
      <c r="A169" t="s">
        <v>181</v>
      </c>
      <c r="B169" s="1">
        <v>44960</v>
      </c>
      <c r="C169" t="s">
        <v>2181</v>
      </c>
      <c r="D169" t="s">
        <v>4000</v>
      </c>
      <c r="E169">
        <v>49</v>
      </c>
      <c r="F169" t="str">
        <f t="shared" si="2"/>
        <v>46+</v>
      </c>
      <c r="G169" t="s">
        <v>4005</v>
      </c>
      <c r="H169" t="s">
        <v>4009</v>
      </c>
      <c r="I169" t="s">
        <v>4015</v>
      </c>
      <c r="J169">
        <v>1</v>
      </c>
      <c r="K169">
        <v>3410</v>
      </c>
      <c r="L169">
        <v>10</v>
      </c>
      <c r="M169">
        <v>3410</v>
      </c>
      <c r="N169">
        <v>341</v>
      </c>
      <c r="O169">
        <v>3069</v>
      </c>
    </row>
    <row r="170" spans="1:15" x14ac:dyDescent="0.3">
      <c r="A170" t="s">
        <v>182</v>
      </c>
      <c r="B170" s="1">
        <v>44607</v>
      </c>
      <c r="C170" t="s">
        <v>2182</v>
      </c>
      <c r="D170" t="s">
        <v>3999</v>
      </c>
      <c r="E170">
        <v>34</v>
      </c>
      <c r="F170" t="str">
        <f t="shared" si="2"/>
        <v>26-35</v>
      </c>
      <c r="G170" t="s">
        <v>4001</v>
      </c>
      <c r="H170" t="s">
        <v>4007</v>
      </c>
      <c r="I170" t="s">
        <v>4016</v>
      </c>
      <c r="J170">
        <v>1</v>
      </c>
      <c r="K170">
        <v>2083</v>
      </c>
      <c r="L170">
        <v>0</v>
      </c>
      <c r="M170">
        <v>2083</v>
      </c>
      <c r="N170">
        <v>0</v>
      </c>
      <c r="O170">
        <v>2083</v>
      </c>
    </row>
    <row r="171" spans="1:15" x14ac:dyDescent="0.3">
      <c r="A171" t="s">
        <v>183</v>
      </c>
      <c r="B171" s="1">
        <v>44604</v>
      </c>
      <c r="C171" t="s">
        <v>2183</v>
      </c>
      <c r="D171" t="s">
        <v>3999</v>
      </c>
      <c r="E171">
        <v>18</v>
      </c>
      <c r="F171" t="str">
        <f t="shared" si="2"/>
        <v>18-25</v>
      </c>
      <c r="G171" t="s">
        <v>4004</v>
      </c>
      <c r="H171" t="s">
        <v>4008</v>
      </c>
      <c r="I171" t="s">
        <v>4015</v>
      </c>
      <c r="J171">
        <v>1</v>
      </c>
      <c r="K171">
        <v>2454</v>
      </c>
      <c r="L171">
        <v>20</v>
      </c>
      <c r="M171">
        <v>2454</v>
      </c>
      <c r="N171">
        <v>490.8</v>
      </c>
      <c r="O171">
        <v>1963.2</v>
      </c>
    </row>
    <row r="172" spans="1:15" x14ac:dyDescent="0.3">
      <c r="A172" t="s">
        <v>184</v>
      </c>
      <c r="B172" s="1">
        <v>44852</v>
      </c>
      <c r="C172" t="s">
        <v>2184</v>
      </c>
      <c r="D172" t="s">
        <v>3999</v>
      </c>
      <c r="E172">
        <v>45</v>
      </c>
      <c r="F172" t="str">
        <f t="shared" si="2"/>
        <v>36-45</v>
      </c>
      <c r="G172" t="s">
        <v>4005</v>
      </c>
      <c r="H172" t="s">
        <v>4007</v>
      </c>
      <c r="I172" t="s">
        <v>4014</v>
      </c>
      <c r="J172">
        <v>4</v>
      </c>
      <c r="K172">
        <v>6273</v>
      </c>
      <c r="L172">
        <v>15</v>
      </c>
      <c r="M172">
        <v>25092</v>
      </c>
      <c r="N172">
        <v>3763.8</v>
      </c>
      <c r="O172">
        <v>21328.2</v>
      </c>
    </row>
    <row r="173" spans="1:15" x14ac:dyDescent="0.3">
      <c r="A173" t="s">
        <v>185</v>
      </c>
      <c r="B173" s="1">
        <v>44657</v>
      </c>
      <c r="C173" t="s">
        <v>2185</v>
      </c>
      <c r="D173" t="s">
        <v>4000</v>
      </c>
      <c r="E173">
        <v>19</v>
      </c>
      <c r="F173" t="str">
        <f t="shared" si="2"/>
        <v>18-25</v>
      </c>
      <c r="G173" t="s">
        <v>4006</v>
      </c>
      <c r="H173" t="s">
        <v>4011</v>
      </c>
      <c r="I173" t="s">
        <v>4017</v>
      </c>
      <c r="J173">
        <v>7</v>
      </c>
      <c r="K173">
        <v>638</v>
      </c>
      <c r="L173">
        <v>15</v>
      </c>
      <c r="M173">
        <v>4466</v>
      </c>
      <c r="N173">
        <v>669.9</v>
      </c>
      <c r="O173">
        <v>3796.1</v>
      </c>
    </row>
    <row r="174" spans="1:15" x14ac:dyDescent="0.3">
      <c r="A174" t="s">
        <v>186</v>
      </c>
      <c r="B174" s="1">
        <v>44745</v>
      </c>
      <c r="C174" t="s">
        <v>2186</v>
      </c>
      <c r="D174" t="s">
        <v>4000</v>
      </c>
      <c r="E174">
        <v>42</v>
      </c>
      <c r="F174" t="str">
        <f t="shared" si="2"/>
        <v>36-45</v>
      </c>
      <c r="G174" t="s">
        <v>4005</v>
      </c>
      <c r="H174" t="s">
        <v>4007</v>
      </c>
      <c r="I174" t="s">
        <v>4013</v>
      </c>
      <c r="J174">
        <v>5</v>
      </c>
      <c r="K174">
        <v>2496</v>
      </c>
      <c r="L174">
        <v>15</v>
      </c>
      <c r="M174">
        <v>12480</v>
      </c>
      <c r="N174">
        <v>1872</v>
      </c>
      <c r="O174">
        <v>10608</v>
      </c>
    </row>
    <row r="175" spans="1:15" x14ac:dyDescent="0.3">
      <c r="A175" t="s">
        <v>187</v>
      </c>
      <c r="B175" s="1">
        <v>44792</v>
      </c>
      <c r="C175" t="s">
        <v>2187</v>
      </c>
      <c r="D175" t="s">
        <v>4000</v>
      </c>
      <c r="E175">
        <v>63</v>
      </c>
      <c r="F175" t="str">
        <f t="shared" si="2"/>
        <v>46+</v>
      </c>
      <c r="G175" t="s">
        <v>4006</v>
      </c>
      <c r="H175" t="s">
        <v>4007</v>
      </c>
      <c r="I175" t="s">
        <v>4014</v>
      </c>
      <c r="J175">
        <v>1</v>
      </c>
      <c r="K175">
        <v>2586</v>
      </c>
      <c r="L175">
        <v>0</v>
      </c>
      <c r="M175">
        <v>2586</v>
      </c>
      <c r="N175">
        <v>0</v>
      </c>
      <c r="O175">
        <v>2586</v>
      </c>
    </row>
    <row r="176" spans="1:15" x14ac:dyDescent="0.3">
      <c r="A176" t="s">
        <v>188</v>
      </c>
      <c r="B176" s="1">
        <v>44827</v>
      </c>
      <c r="C176" t="s">
        <v>2188</v>
      </c>
      <c r="D176" t="s">
        <v>3999</v>
      </c>
      <c r="E176">
        <v>30</v>
      </c>
      <c r="F176" t="str">
        <f t="shared" si="2"/>
        <v>26-35</v>
      </c>
      <c r="G176" t="s">
        <v>4002</v>
      </c>
      <c r="H176" t="s">
        <v>4007</v>
      </c>
      <c r="I176" t="s">
        <v>4017</v>
      </c>
      <c r="J176">
        <v>4</v>
      </c>
      <c r="K176">
        <v>1022</v>
      </c>
      <c r="L176">
        <v>0</v>
      </c>
      <c r="M176">
        <v>4088</v>
      </c>
      <c r="N176">
        <v>0</v>
      </c>
      <c r="O176">
        <v>4088</v>
      </c>
    </row>
    <row r="177" spans="1:15" x14ac:dyDescent="0.3">
      <c r="A177" t="s">
        <v>189</v>
      </c>
      <c r="B177" s="1">
        <v>44831</v>
      </c>
      <c r="C177" t="s">
        <v>2189</v>
      </c>
      <c r="D177" t="s">
        <v>4000</v>
      </c>
      <c r="E177">
        <v>21</v>
      </c>
      <c r="F177" t="str">
        <f t="shared" si="2"/>
        <v>18-25</v>
      </c>
      <c r="G177" t="s">
        <v>4005</v>
      </c>
      <c r="H177" t="s">
        <v>4007</v>
      </c>
      <c r="I177" t="s">
        <v>4014</v>
      </c>
      <c r="J177">
        <v>7</v>
      </c>
      <c r="K177">
        <v>7294</v>
      </c>
      <c r="L177">
        <v>0</v>
      </c>
      <c r="M177">
        <v>51058</v>
      </c>
      <c r="N177">
        <v>0</v>
      </c>
      <c r="O177">
        <v>51058</v>
      </c>
    </row>
    <row r="178" spans="1:15" x14ac:dyDescent="0.3">
      <c r="A178" t="s">
        <v>190</v>
      </c>
      <c r="B178" s="1">
        <v>44903</v>
      </c>
      <c r="C178" t="s">
        <v>2190</v>
      </c>
      <c r="D178" t="s">
        <v>3999</v>
      </c>
      <c r="E178">
        <v>35</v>
      </c>
      <c r="F178" t="str">
        <f t="shared" si="2"/>
        <v>26-35</v>
      </c>
      <c r="G178" t="s">
        <v>4005</v>
      </c>
      <c r="H178" t="s">
        <v>4010</v>
      </c>
      <c r="I178" t="s">
        <v>4014</v>
      </c>
      <c r="J178">
        <v>4</v>
      </c>
      <c r="K178">
        <v>6866</v>
      </c>
      <c r="L178">
        <v>0</v>
      </c>
      <c r="M178">
        <v>27464</v>
      </c>
      <c r="N178">
        <v>0</v>
      </c>
      <c r="O178">
        <v>27464</v>
      </c>
    </row>
    <row r="179" spans="1:15" x14ac:dyDescent="0.3">
      <c r="A179" t="s">
        <v>191</v>
      </c>
      <c r="B179" s="1">
        <v>44563</v>
      </c>
      <c r="C179" t="s">
        <v>2191</v>
      </c>
      <c r="D179" t="s">
        <v>3999</v>
      </c>
      <c r="E179">
        <v>57</v>
      </c>
      <c r="F179" t="str">
        <f t="shared" si="2"/>
        <v>46+</v>
      </c>
      <c r="G179" t="s">
        <v>4005</v>
      </c>
      <c r="H179" t="s">
        <v>4009</v>
      </c>
      <c r="I179" t="s">
        <v>4016</v>
      </c>
      <c r="J179">
        <v>5</v>
      </c>
      <c r="K179">
        <v>6793</v>
      </c>
      <c r="L179">
        <v>5</v>
      </c>
      <c r="M179">
        <v>33965</v>
      </c>
      <c r="N179">
        <v>1698.25</v>
      </c>
      <c r="O179">
        <v>32266.75</v>
      </c>
    </row>
    <row r="180" spans="1:15" x14ac:dyDescent="0.3">
      <c r="A180" t="s">
        <v>192</v>
      </c>
      <c r="B180" s="1">
        <v>44849</v>
      </c>
      <c r="C180" t="s">
        <v>2192</v>
      </c>
      <c r="D180" t="s">
        <v>4000</v>
      </c>
      <c r="E180">
        <v>61</v>
      </c>
      <c r="F180" t="str">
        <f t="shared" si="2"/>
        <v>46+</v>
      </c>
      <c r="G180" t="s">
        <v>4002</v>
      </c>
      <c r="H180" t="s">
        <v>4007</v>
      </c>
      <c r="I180" t="s">
        <v>4017</v>
      </c>
      <c r="J180">
        <v>1</v>
      </c>
      <c r="K180">
        <v>6682</v>
      </c>
      <c r="L180">
        <v>10</v>
      </c>
      <c r="M180">
        <v>6682</v>
      </c>
      <c r="N180">
        <v>668.2</v>
      </c>
      <c r="O180">
        <v>6013.8</v>
      </c>
    </row>
    <row r="181" spans="1:15" x14ac:dyDescent="0.3">
      <c r="A181" t="s">
        <v>193</v>
      </c>
      <c r="B181" s="1">
        <v>44770</v>
      </c>
      <c r="C181" t="s">
        <v>2193</v>
      </c>
      <c r="D181" t="s">
        <v>3999</v>
      </c>
      <c r="E181">
        <v>61</v>
      </c>
      <c r="F181" t="str">
        <f t="shared" si="2"/>
        <v>46+</v>
      </c>
      <c r="G181" t="s">
        <v>4002</v>
      </c>
      <c r="H181" t="s">
        <v>4009</v>
      </c>
      <c r="I181" t="s">
        <v>4016</v>
      </c>
      <c r="J181">
        <v>1</v>
      </c>
      <c r="K181">
        <v>316</v>
      </c>
      <c r="L181">
        <v>0</v>
      </c>
      <c r="M181">
        <v>316</v>
      </c>
      <c r="N181">
        <v>0</v>
      </c>
      <c r="O181">
        <v>316</v>
      </c>
    </row>
    <row r="182" spans="1:15" x14ac:dyDescent="0.3">
      <c r="A182" t="s">
        <v>194</v>
      </c>
      <c r="B182" s="1">
        <v>45122</v>
      </c>
      <c r="C182" t="s">
        <v>2194</v>
      </c>
      <c r="D182" t="s">
        <v>4000</v>
      </c>
      <c r="E182">
        <v>45</v>
      </c>
      <c r="F182" t="str">
        <f t="shared" si="2"/>
        <v>36-45</v>
      </c>
      <c r="G182" t="s">
        <v>4004</v>
      </c>
      <c r="H182" t="s">
        <v>4010</v>
      </c>
      <c r="I182" t="s">
        <v>4016</v>
      </c>
      <c r="J182">
        <v>5</v>
      </c>
      <c r="K182">
        <v>5133</v>
      </c>
      <c r="L182">
        <v>10</v>
      </c>
      <c r="M182">
        <v>25665</v>
      </c>
      <c r="N182">
        <v>2566.5</v>
      </c>
      <c r="O182">
        <v>23098.5</v>
      </c>
    </row>
    <row r="183" spans="1:15" x14ac:dyDescent="0.3">
      <c r="A183" t="s">
        <v>195</v>
      </c>
      <c r="B183" s="1">
        <v>45227</v>
      </c>
      <c r="C183" t="s">
        <v>2195</v>
      </c>
      <c r="D183" t="s">
        <v>3999</v>
      </c>
      <c r="E183">
        <v>20</v>
      </c>
      <c r="F183" t="str">
        <f t="shared" si="2"/>
        <v>18-25</v>
      </c>
      <c r="G183" t="s">
        <v>4001</v>
      </c>
      <c r="H183" t="s">
        <v>4007</v>
      </c>
      <c r="I183" t="s">
        <v>4013</v>
      </c>
      <c r="J183">
        <v>6</v>
      </c>
      <c r="K183">
        <v>6235</v>
      </c>
      <c r="L183">
        <v>15</v>
      </c>
      <c r="M183">
        <v>37410</v>
      </c>
      <c r="N183">
        <v>5611.5</v>
      </c>
      <c r="O183">
        <v>31798.5</v>
      </c>
    </row>
    <row r="184" spans="1:15" x14ac:dyDescent="0.3">
      <c r="A184" t="s">
        <v>196</v>
      </c>
      <c r="B184" s="1">
        <v>45059</v>
      </c>
      <c r="C184" t="s">
        <v>2196</v>
      </c>
      <c r="D184" t="s">
        <v>4000</v>
      </c>
      <c r="E184">
        <v>37</v>
      </c>
      <c r="F184" t="str">
        <f t="shared" si="2"/>
        <v>36-45</v>
      </c>
      <c r="G184" t="s">
        <v>4001</v>
      </c>
      <c r="H184" t="s">
        <v>4012</v>
      </c>
      <c r="I184" t="s">
        <v>4017</v>
      </c>
      <c r="J184">
        <v>4</v>
      </c>
      <c r="K184">
        <v>6819</v>
      </c>
      <c r="L184">
        <v>20</v>
      </c>
      <c r="M184">
        <v>27276</v>
      </c>
      <c r="N184">
        <v>5455.2</v>
      </c>
      <c r="O184">
        <v>21820.799999999999</v>
      </c>
    </row>
    <row r="185" spans="1:15" x14ac:dyDescent="0.3">
      <c r="A185" t="s">
        <v>197</v>
      </c>
      <c r="B185" s="1">
        <v>44723</v>
      </c>
      <c r="C185" t="s">
        <v>2197</v>
      </c>
      <c r="D185" t="s">
        <v>3999</v>
      </c>
      <c r="E185">
        <v>25</v>
      </c>
      <c r="F185" t="str">
        <f t="shared" si="2"/>
        <v>18-25</v>
      </c>
      <c r="G185" t="s">
        <v>4002</v>
      </c>
      <c r="H185" t="s">
        <v>4008</v>
      </c>
      <c r="I185" t="s">
        <v>4016</v>
      </c>
      <c r="J185">
        <v>3</v>
      </c>
      <c r="K185">
        <v>1049</v>
      </c>
      <c r="L185">
        <v>15</v>
      </c>
      <c r="M185">
        <v>3147</v>
      </c>
      <c r="N185">
        <v>472.05</v>
      </c>
      <c r="O185">
        <v>2674.95</v>
      </c>
    </row>
    <row r="186" spans="1:15" x14ac:dyDescent="0.3">
      <c r="A186" t="s">
        <v>198</v>
      </c>
      <c r="B186" s="1">
        <v>44817</v>
      </c>
      <c r="C186" t="s">
        <v>2198</v>
      </c>
      <c r="D186" t="s">
        <v>4000</v>
      </c>
      <c r="E186">
        <v>27</v>
      </c>
      <c r="F186" t="str">
        <f t="shared" si="2"/>
        <v>26-35</v>
      </c>
      <c r="G186" t="s">
        <v>4004</v>
      </c>
      <c r="H186" t="s">
        <v>4008</v>
      </c>
      <c r="I186" t="s">
        <v>4015</v>
      </c>
      <c r="J186">
        <v>5</v>
      </c>
      <c r="K186">
        <v>3151</v>
      </c>
      <c r="L186">
        <v>10</v>
      </c>
      <c r="M186">
        <v>15755</v>
      </c>
      <c r="N186">
        <v>1575.5</v>
      </c>
      <c r="O186">
        <v>14179.5</v>
      </c>
    </row>
    <row r="187" spans="1:15" x14ac:dyDescent="0.3">
      <c r="A187" t="s">
        <v>199</v>
      </c>
      <c r="B187" s="1">
        <v>44900</v>
      </c>
      <c r="C187" t="s">
        <v>2199</v>
      </c>
      <c r="D187" t="s">
        <v>4000</v>
      </c>
      <c r="E187">
        <v>48</v>
      </c>
      <c r="F187" t="str">
        <f t="shared" si="2"/>
        <v>46+</v>
      </c>
      <c r="G187" t="s">
        <v>4002</v>
      </c>
      <c r="H187" t="s">
        <v>4011</v>
      </c>
      <c r="I187" t="s">
        <v>4017</v>
      </c>
      <c r="J187">
        <v>4</v>
      </c>
      <c r="K187">
        <v>6742</v>
      </c>
      <c r="L187">
        <v>0</v>
      </c>
      <c r="M187">
        <v>26968</v>
      </c>
      <c r="N187">
        <v>0</v>
      </c>
      <c r="O187">
        <v>26968</v>
      </c>
    </row>
    <row r="188" spans="1:15" x14ac:dyDescent="0.3">
      <c r="A188" t="s">
        <v>200</v>
      </c>
      <c r="B188" s="1">
        <v>45138</v>
      </c>
      <c r="C188" t="s">
        <v>2200</v>
      </c>
      <c r="D188" t="s">
        <v>4000</v>
      </c>
      <c r="E188">
        <v>32</v>
      </c>
      <c r="F188" t="str">
        <f t="shared" si="2"/>
        <v>26-35</v>
      </c>
      <c r="G188" t="s">
        <v>4001</v>
      </c>
      <c r="H188" t="s">
        <v>4011</v>
      </c>
      <c r="I188" t="s">
        <v>4015</v>
      </c>
      <c r="J188">
        <v>4</v>
      </c>
      <c r="K188">
        <v>5615</v>
      </c>
      <c r="L188">
        <v>10</v>
      </c>
      <c r="M188">
        <v>22460</v>
      </c>
      <c r="N188">
        <v>2246</v>
      </c>
      <c r="O188">
        <v>20214</v>
      </c>
    </row>
    <row r="189" spans="1:15" x14ac:dyDescent="0.3">
      <c r="A189" t="s">
        <v>201</v>
      </c>
      <c r="B189" s="1">
        <v>45023</v>
      </c>
      <c r="C189" t="s">
        <v>2201</v>
      </c>
      <c r="D189" t="s">
        <v>4000</v>
      </c>
      <c r="E189">
        <v>19</v>
      </c>
      <c r="F189" t="str">
        <f t="shared" si="2"/>
        <v>18-25</v>
      </c>
      <c r="G189" t="s">
        <v>4006</v>
      </c>
      <c r="H189" t="s">
        <v>4011</v>
      </c>
      <c r="I189" t="s">
        <v>4013</v>
      </c>
      <c r="J189">
        <v>4</v>
      </c>
      <c r="K189">
        <v>957</v>
      </c>
      <c r="L189">
        <v>5</v>
      </c>
      <c r="M189">
        <v>3828</v>
      </c>
      <c r="N189">
        <v>191.4</v>
      </c>
      <c r="O189">
        <v>3636.6</v>
      </c>
    </row>
    <row r="190" spans="1:15" x14ac:dyDescent="0.3">
      <c r="A190" t="s">
        <v>202</v>
      </c>
      <c r="B190" s="1">
        <v>44828</v>
      </c>
      <c r="C190" t="s">
        <v>2202</v>
      </c>
      <c r="D190" t="s">
        <v>4000</v>
      </c>
      <c r="E190">
        <v>29</v>
      </c>
      <c r="F190" t="str">
        <f t="shared" si="2"/>
        <v>26-35</v>
      </c>
      <c r="G190" t="s">
        <v>4006</v>
      </c>
      <c r="H190" t="s">
        <v>4008</v>
      </c>
      <c r="I190" t="s">
        <v>4016</v>
      </c>
      <c r="J190">
        <v>7</v>
      </c>
      <c r="K190">
        <v>1940</v>
      </c>
      <c r="L190">
        <v>0</v>
      </c>
      <c r="M190">
        <v>13580</v>
      </c>
      <c r="N190">
        <v>0</v>
      </c>
      <c r="O190">
        <v>13580</v>
      </c>
    </row>
    <row r="191" spans="1:15" x14ac:dyDescent="0.3">
      <c r="A191" t="s">
        <v>203</v>
      </c>
      <c r="B191" s="1">
        <v>44998</v>
      </c>
      <c r="C191" t="s">
        <v>2203</v>
      </c>
      <c r="D191" t="s">
        <v>3999</v>
      </c>
      <c r="E191">
        <v>47</v>
      </c>
      <c r="F191" t="str">
        <f t="shared" si="2"/>
        <v>46+</v>
      </c>
      <c r="G191" t="s">
        <v>4002</v>
      </c>
      <c r="H191" t="s">
        <v>4010</v>
      </c>
      <c r="I191" t="s">
        <v>4015</v>
      </c>
      <c r="J191">
        <v>5</v>
      </c>
      <c r="K191">
        <v>7454</v>
      </c>
      <c r="L191">
        <v>0</v>
      </c>
      <c r="M191">
        <v>37270</v>
      </c>
      <c r="N191">
        <v>0</v>
      </c>
      <c r="O191">
        <v>37270</v>
      </c>
    </row>
    <row r="192" spans="1:15" x14ac:dyDescent="0.3">
      <c r="A192" t="s">
        <v>204</v>
      </c>
      <c r="B192" s="1">
        <v>45068</v>
      </c>
      <c r="C192" t="s">
        <v>2204</v>
      </c>
      <c r="D192" t="s">
        <v>3999</v>
      </c>
      <c r="E192">
        <v>27</v>
      </c>
      <c r="F192" t="str">
        <f t="shared" si="2"/>
        <v>26-35</v>
      </c>
      <c r="G192" t="s">
        <v>4002</v>
      </c>
      <c r="H192" t="s">
        <v>4012</v>
      </c>
      <c r="I192" t="s">
        <v>4016</v>
      </c>
      <c r="J192">
        <v>7</v>
      </c>
      <c r="K192">
        <v>2348</v>
      </c>
      <c r="L192">
        <v>10</v>
      </c>
      <c r="M192">
        <v>16436</v>
      </c>
      <c r="N192">
        <v>1643.6</v>
      </c>
      <c r="O192">
        <v>14792.4</v>
      </c>
    </row>
    <row r="193" spans="1:15" x14ac:dyDescent="0.3">
      <c r="A193" t="s">
        <v>205</v>
      </c>
      <c r="B193" s="1">
        <v>45101</v>
      </c>
      <c r="C193" t="s">
        <v>2205</v>
      </c>
      <c r="D193" t="s">
        <v>4000</v>
      </c>
      <c r="E193">
        <v>47</v>
      </c>
      <c r="F193" t="str">
        <f t="shared" si="2"/>
        <v>46+</v>
      </c>
      <c r="G193" t="s">
        <v>4003</v>
      </c>
      <c r="H193" t="s">
        <v>4010</v>
      </c>
      <c r="I193" t="s">
        <v>4017</v>
      </c>
      <c r="J193">
        <v>1</v>
      </c>
      <c r="K193">
        <v>7418</v>
      </c>
      <c r="L193">
        <v>0</v>
      </c>
      <c r="M193">
        <v>7418</v>
      </c>
      <c r="N193">
        <v>0</v>
      </c>
      <c r="O193">
        <v>7418</v>
      </c>
    </row>
    <row r="194" spans="1:15" x14ac:dyDescent="0.3">
      <c r="A194" t="s">
        <v>206</v>
      </c>
      <c r="B194" s="1">
        <v>44718</v>
      </c>
      <c r="C194" t="s">
        <v>2206</v>
      </c>
      <c r="D194" t="s">
        <v>3999</v>
      </c>
      <c r="E194">
        <v>56</v>
      </c>
      <c r="F194" t="str">
        <f t="shared" ref="F194:F257" si="3">IF(E194&lt;=25,"18-25",IF(E194&lt;=35,"26-35",IF(E194&lt;=45,"36-45","46+")))</f>
        <v>46+</v>
      </c>
      <c r="G194" t="s">
        <v>4003</v>
      </c>
      <c r="H194" t="s">
        <v>4012</v>
      </c>
      <c r="I194" t="s">
        <v>4016</v>
      </c>
      <c r="J194">
        <v>3</v>
      </c>
      <c r="K194">
        <v>7049</v>
      </c>
      <c r="L194">
        <v>0</v>
      </c>
      <c r="M194">
        <v>21147</v>
      </c>
      <c r="N194">
        <v>0</v>
      </c>
      <c r="O194">
        <v>21147</v>
      </c>
    </row>
    <row r="195" spans="1:15" x14ac:dyDescent="0.3">
      <c r="A195" t="s">
        <v>207</v>
      </c>
      <c r="B195" s="1">
        <v>44570</v>
      </c>
      <c r="C195" t="s">
        <v>2207</v>
      </c>
      <c r="D195" t="s">
        <v>3999</v>
      </c>
      <c r="E195">
        <v>49</v>
      </c>
      <c r="F195" t="str">
        <f t="shared" si="3"/>
        <v>46+</v>
      </c>
      <c r="G195" t="s">
        <v>4001</v>
      </c>
      <c r="H195" t="s">
        <v>4010</v>
      </c>
      <c r="I195" t="s">
        <v>4017</v>
      </c>
      <c r="J195">
        <v>1</v>
      </c>
      <c r="K195">
        <v>6475</v>
      </c>
      <c r="L195">
        <v>10</v>
      </c>
      <c r="M195">
        <v>6475</v>
      </c>
      <c r="N195">
        <v>647.5</v>
      </c>
      <c r="O195">
        <v>5827.5</v>
      </c>
    </row>
    <row r="196" spans="1:15" x14ac:dyDescent="0.3">
      <c r="A196" t="s">
        <v>208</v>
      </c>
      <c r="B196" s="1">
        <v>45043</v>
      </c>
      <c r="C196" t="s">
        <v>2208</v>
      </c>
      <c r="D196" t="s">
        <v>3999</v>
      </c>
      <c r="E196">
        <v>48</v>
      </c>
      <c r="F196" t="str">
        <f t="shared" si="3"/>
        <v>46+</v>
      </c>
      <c r="G196" t="s">
        <v>4005</v>
      </c>
      <c r="H196" t="s">
        <v>4011</v>
      </c>
      <c r="I196" t="s">
        <v>4017</v>
      </c>
      <c r="J196">
        <v>2</v>
      </c>
      <c r="K196">
        <v>4214</v>
      </c>
      <c r="L196">
        <v>10</v>
      </c>
      <c r="M196">
        <v>8428</v>
      </c>
      <c r="N196">
        <v>842.8</v>
      </c>
      <c r="O196">
        <v>7585.2</v>
      </c>
    </row>
    <row r="197" spans="1:15" x14ac:dyDescent="0.3">
      <c r="A197" t="s">
        <v>209</v>
      </c>
      <c r="B197" s="1">
        <v>45174</v>
      </c>
      <c r="C197" t="s">
        <v>2209</v>
      </c>
      <c r="D197" t="s">
        <v>4000</v>
      </c>
      <c r="E197">
        <v>25</v>
      </c>
      <c r="F197" t="str">
        <f t="shared" si="3"/>
        <v>18-25</v>
      </c>
      <c r="G197" t="s">
        <v>4003</v>
      </c>
      <c r="H197" t="s">
        <v>4007</v>
      </c>
      <c r="I197" t="s">
        <v>4016</v>
      </c>
      <c r="J197">
        <v>1</v>
      </c>
      <c r="K197">
        <v>2953</v>
      </c>
      <c r="L197">
        <v>15</v>
      </c>
      <c r="M197">
        <v>2953</v>
      </c>
      <c r="N197">
        <v>442.95</v>
      </c>
      <c r="O197">
        <v>2510.0500000000002</v>
      </c>
    </row>
    <row r="198" spans="1:15" x14ac:dyDescent="0.3">
      <c r="A198" t="s">
        <v>210</v>
      </c>
      <c r="B198" s="1">
        <v>44990</v>
      </c>
      <c r="C198" t="s">
        <v>2210</v>
      </c>
      <c r="D198" t="s">
        <v>3999</v>
      </c>
      <c r="E198">
        <v>51</v>
      </c>
      <c r="F198" t="str">
        <f t="shared" si="3"/>
        <v>46+</v>
      </c>
      <c r="G198" t="s">
        <v>4003</v>
      </c>
      <c r="H198" t="s">
        <v>4007</v>
      </c>
      <c r="I198" t="s">
        <v>4017</v>
      </c>
      <c r="J198">
        <v>3</v>
      </c>
      <c r="K198">
        <v>2308</v>
      </c>
      <c r="L198">
        <v>0</v>
      </c>
      <c r="M198">
        <v>6924</v>
      </c>
      <c r="N198">
        <v>0</v>
      </c>
      <c r="O198">
        <v>6924</v>
      </c>
    </row>
    <row r="199" spans="1:15" x14ac:dyDescent="0.3">
      <c r="A199" t="s">
        <v>211</v>
      </c>
      <c r="B199" s="1">
        <v>44860</v>
      </c>
      <c r="C199" t="s">
        <v>2211</v>
      </c>
      <c r="D199" t="s">
        <v>3999</v>
      </c>
      <c r="E199">
        <v>50</v>
      </c>
      <c r="F199" t="str">
        <f t="shared" si="3"/>
        <v>46+</v>
      </c>
      <c r="G199" t="s">
        <v>4001</v>
      </c>
      <c r="H199" t="s">
        <v>4008</v>
      </c>
      <c r="I199" t="s">
        <v>4016</v>
      </c>
      <c r="J199">
        <v>1</v>
      </c>
      <c r="K199">
        <v>6017</v>
      </c>
      <c r="L199">
        <v>15</v>
      </c>
      <c r="M199">
        <v>6017</v>
      </c>
      <c r="N199">
        <v>902.55</v>
      </c>
      <c r="O199">
        <v>5114.45</v>
      </c>
    </row>
    <row r="200" spans="1:15" x14ac:dyDescent="0.3">
      <c r="A200" t="s">
        <v>212</v>
      </c>
      <c r="B200" s="1">
        <v>44910</v>
      </c>
      <c r="C200" t="s">
        <v>2212</v>
      </c>
      <c r="D200" t="s">
        <v>3999</v>
      </c>
      <c r="E200">
        <v>34</v>
      </c>
      <c r="F200" t="str">
        <f t="shared" si="3"/>
        <v>26-35</v>
      </c>
      <c r="G200" t="s">
        <v>4006</v>
      </c>
      <c r="H200" t="s">
        <v>4010</v>
      </c>
      <c r="I200" t="s">
        <v>4013</v>
      </c>
      <c r="J200">
        <v>3</v>
      </c>
      <c r="K200">
        <v>3786</v>
      </c>
      <c r="L200">
        <v>0</v>
      </c>
      <c r="M200">
        <v>11358</v>
      </c>
      <c r="N200">
        <v>0</v>
      </c>
      <c r="O200">
        <v>11358</v>
      </c>
    </row>
    <row r="201" spans="1:15" x14ac:dyDescent="0.3">
      <c r="A201" t="s">
        <v>213</v>
      </c>
      <c r="B201" s="1">
        <v>45081</v>
      </c>
      <c r="C201" t="s">
        <v>2213</v>
      </c>
      <c r="D201" t="s">
        <v>4000</v>
      </c>
      <c r="E201">
        <v>36</v>
      </c>
      <c r="F201" t="str">
        <f t="shared" si="3"/>
        <v>36-45</v>
      </c>
      <c r="G201" t="s">
        <v>4004</v>
      </c>
      <c r="H201" t="s">
        <v>4012</v>
      </c>
      <c r="I201" t="s">
        <v>4014</v>
      </c>
      <c r="J201">
        <v>7</v>
      </c>
      <c r="K201">
        <v>6047</v>
      </c>
      <c r="L201">
        <v>20</v>
      </c>
      <c r="M201">
        <v>42329</v>
      </c>
      <c r="N201">
        <v>8465.7999999999993</v>
      </c>
      <c r="O201">
        <v>33863.199999999997</v>
      </c>
    </row>
    <row r="202" spans="1:15" x14ac:dyDescent="0.3">
      <c r="A202" t="s">
        <v>214</v>
      </c>
      <c r="B202" s="1">
        <v>44705</v>
      </c>
      <c r="C202" t="s">
        <v>2214</v>
      </c>
      <c r="D202" t="s">
        <v>4000</v>
      </c>
      <c r="E202">
        <v>36</v>
      </c>
      <c r="F202" t="str">
        <f t="shared" si="3"/>
        <v>36-45</v>
      </c>
      <c r="G202" t="s">
        <v>4002</v>
      </c>
      <c r="H202" t="s">
        <v>4009</v>
      </c>
      <c r="I202" t="s">
        <v>4014</v>
      </c>
      <c r="J202">
        <v>2</v>
      </c>
      <c r="K202">
        <v>3579</v>
      </c>
      <c r="L202">
        <v>5</v>
      </c>
      <c r="M202">
        <v>7158</v>
      </c>
      <c r="N202">
        <v>357.9</v>
      </c>
      <c r="O202">
        <v>6800.1</v>
      </c>
    </row>
    <row r="203" spans="1:15" x14ac:dyDescent="0.3">
      <c r="A203" t="s">
        <v>215</v>
      </c>
      <c r="B203" s="1">
        <v>45202</v>
      </c>
      <c r="C203" t="s">
        <v>2215</v>
      </c>
      <c r="D203" t="s">
        <v>4000</v>
      </c>
      <c r="E203">
        <v>19</v>
      </c>
      <c r="F203" t="str">
        <f t="shared" si="3"/>
        <v>18-25</v>
      </c>
      <c r="G203" t="s">
        <v>4006</v>
      </c>
      <c r="H203" t="s">
        <v>4008</v>
      </c>
      <c r="I203" t="s">
        <v>4014</v>
      </c>
      <c r="J203">
        <v>1</v>
      </c>
      <c r="K203">
        <v>5090</v>
      </c>
      <c r="L203">
        <v>5</v>
      </c>
      <c r="M203">
        <v>5090</v>
      </c>
      <c r="N203">
        <v>254.5</v>
      </c>
      <c r="O203">
        <v>4835.5</v>
      </c>
    </row>
    <row r="204" spans="1:15" x14ac:dyDescent="0.3">
      <c r="A204" t="s">
        <v>216</v>
      </c>
      <c r="B204" s="1">
        <v>44772</v>
      </c>
      <c r="C204" t="s">
        <v>2216</v>
      </c>
      <c r="D204" t="s">
        <v>4000</v>
      </c>
      <c r="E204">
        <v>20</v>
      </c>
      <c r="F204" t="str">
        <f t="shared" si="3"/>
        <v>18-25</v>
      </c>
      <c r="G204" t="s">
        <v>4001</v>
      </c>
      <c r="H204" t="s">
        <v>4008</v>
      </c>
      <c r="I204" t="s">
        <v>4016</v>
      </c>
      <c r="J204">
        <v>2</v>
      </c>
      <c r="K204">
        <v>1066</v>
      </c>
      <c r="L204">
        <v>0</v>
      </c>
      <c r="M204">
        <v>2132</v>
      </c>
      <c r="N204">
        <v>0</v>
      </c>
      <c r="O204">
        <v>2132</v>
      </c>
    </row>
    <row r="205" spans="1:15" x14ac:dyDescent="0.3">
      <c r="A205" t="s">
        <v>217</v>
      </c>
      <c r="B205" s="1">
        <v>44793</v>
      </c>
      <c r="C205" t="s">
        <v>2217</v>
      </c>
      <c r="D205" t="s">
        <v>3999</v>
      </c>
      <c r="E205">
        <v>48</v>
      </c>
      <c r="F205" t="str">
        <f t="shared" si="3"/>
        <v>46+</v>
      </c>
      <c r="G205" t="s">
        <v>4003</v>
      </c>
      <c r="H205" t="s">
        <v>4009</v>
      </c>
      <c r="I205" t="s">
        <v>4017</v>
      </c>
      <c r="J205">
        <v>6</v>
      </c>
      <c r="K205">
        <v>1094</v>
      </c>
      <c r="L205">
        <v>0</v>
      </c>
      <c r="M205">
        <v>6564</v>
      </c>
      <c r="N205">
        <v>0</v>
      </c>
      <c r="O205">
        <v>6564</v>
      </c>
    </row>
    <row r="206" spans="1:15" x14ac:dyDescent="0.3">
      <c r="A206" t="s">
        <v>218</v>
      </c>
      <c r="B206" s="1">
        <v>45250</v>
      </c>
      <c r="C206" t="s">
        <v>2218</v>
      </c>
      <c r="D206" t="s">
        <v>4000</v>
      </c>
      <c r="E206">
        <v>27</v>
      </c>
      <c r="F206" t="str">
        <f t="shared" si="3"/>
        <v>26-35</v>
      </c>
      <c r="G206" t="s">
        <v>4002</v>
      </c>
      <c r="H206" t="s">
        <v>4012</v>
      </c>
      <c r="I206" t="s">
        <v>4014</v>
      </c>
      <c r="J206">
        <v>3</v>
      </c>
      <c r="K206">
        <v>1407</v>
      </c>
      <c r="L206">
        <v>15</v>
      </c>
      <c r="M206">
        <v>4221</v>
      </c>
      <c r="N206">
        <v>633.15</v>
      </c>
      <c r="O206">
        <v>3587.85</v>
      </c>
    </row>
    <row r="207" spans="1:15" x14ac:dyDescent="0.3">
      <c r="A207" t="s">
        <v>219</v>
      </c>
      <c r="B207" s="1">
        <v>45010</v>
      </c>
      <c r="C207" t="s">
        <v>2219</v>
      </c>
      <c r="D207" t="s">
        <v>3999</v>
      </c>
      <c r="E207">
        <v>46</v>
      </c>
      <c r="F207" t="str">
        <f t="shared" si="3"/>
        <v>46+</v>
      </c>
      <c r="G207" t="s">
        <v>4004</v>
      </c>
      <c r="H207" t="s">
        <v>4011</v>
      </c>
      <c r="I207" t="s">
        <v>4015</v>
      </c>
      <c r="J207">
        <v>2</v>
      </c>
      <c r="K207">
        <v>1447</v>
      </c>
      <c r="L207">
        <v>10</v>
      </c>
      <c r="M207">
        <v>2894</v>
      </c>
      <c r="N207">
        <v>289.39999999999998</v>
      </c>
      <c r="O207">
        <v>2604.6</v>
      </c>
    </row>
    <row r="208" spans="1:15" x14ac:dyDescent="0.3">
      <c r="A208" t="s">
        <v>220</v>
      </c>
      <c r="B208" s="1">
        <v>44606</v>
      </c>
      <c r="C208" t="s">
        <v>2220</v>
      </c>
      <c r="D208" t="s">
        <v>4000</v>
      </c>
      <c r="E208">
        <v>59</v>
      </c>
      <c r="F208" t="str">
        <f t="shared" si="3"/>
        <v>46+</v>
      </c>
      <c r="G208" t="s">
        <v>4003</v>
      </c>
      <c r="H208" t="s">
        <v>4007</v>
      </c>
      <c r="I208" t="s">
        <v>4013</v>
      </c>
      <c r="J208">
        <v>1</v>
      </c>
      <c r="K208">
        <v>2942</v>
      </c>
      <c r="L208">
        <v>0</v>
      </c>
      <c r="M208">
        <v>2942</v>
      </c>
      <c r="N208">
        <v>0</v>
      </c>
      <c r="O208">
        <v>2942</v>
      </c>
    </row>
    <row r="209" spans="1:15" x14ac:dyDescent="0.3">
      <c r="A209" t="s">
        <v>221</v>
      </c>
      <c r="B209" s="1">
        <v>45083</v>
      </c>
      <c r="C209" t="s">
        <v>2221</v>
      </c>
      <c r="D209" t="s">
        <v>4000</v>
      </c>
      <c r="E209">
        <v>41</v>
      </c>
      <c r="F209" t="str">
        <f t="shared" si="3"/>
        <v>36-45</v>
      </c>
      <c r="G209" t="s">
        <v>4006</v>
      </c>
      <c r="H209" t="s">
        <v>4009</v>
      </c>
      <c r="I209" t="s">
        <v>4014</v>
      </c>
      <c r="J209">
        <v>1</v>
      </c>
      <c r="K209">
        <v>7687</v>
      </c>
      <c r="L209">
        <v>5</v>
      </c>
      <c r="M209">
        <v>7687</v>
      </c>
      <c r="N209">
        <v>384.35</v>
      </c>
      <c r="O209">
        <v>7302.65</v>
      </c>
    </row>
    <row r="210" spans="1:15" x14ac:dyDescent="0.3">
      <c r="A210" t="s">
        <v>222</v>
      </c>
      <c r="B210" s="1">
        <v>45002</v>
      </c>
      <c r="C210" t="s">
        <v>2222</v>
      </c>
      <c r="D210" t="s">
        <v>4000</v>
      </c>
      <c r="E210">
        <v>37</v>
      </c>
      <c r="F210" t="str">
        <f t="shared" si="3"/>
        <v>36-45</v>
      </c>
      <c r="G210" t="s">
        <v>4006</v>
      </c>
      <c r="H210" t="s">
        <v>4009</v>
      </c>
      <c r="I210" t="s">
        <v>4013</v>
      </c>
      <c r="J210">
        <v>4</v>
      </c>
      <c r="K210">
        <v>6444</v>
      </c>
      <c r="L210">
        <v>0</v>
      </c>
      <c r="M210">
        <v>25776</v>
      </c>
      <c r="N210">
        <v>0</v>
      </c>
      <c r="O210">
        <v>25776</v>
      </c>
    </row>
    <row r="211" spans="1:15" x14ac:dyDescent="0.3">
      <c r="A211" t="s">
        <v>223</v>
      </c>
      <c r="B211" s="1">
        <v>44738</v>
      </c>
      <c r="C211" t="s">
        <v>2223</v>
      </c>
      <c r="D211" t="s">
        <v>3999</v>
      </c>
      <c r="E211">
        <v>51</v>
      </c>
      <c r="F211" t="str">
        <f t="shared" si="3"/>
        <v>46+</v>
      </c>
      <c r="G211" t="s">
        <v>4001</v>
      </c>
      <c r="H211" t="s">
        <v>4012</v>
      </c>
      <c r="I211" t="s">
        <v>4015</v>
      </c>
      <c r="J211">
        <v>4</v>
      </c>
      <c r="K211">
        <v>1451</v>
      </c>
      <c r="L211">
        <v>0</v>
      </c>
      <c r="M211">
        <v>5804</v>
      </c>
      <c r="N211">
        <v>0</v>
      </c>
      <c r="O211">
        <v>5804</v>
      </c>
    </row>
    <row r="212" spans="1:15" x14ac:dyDescent="0.3">
      <c r="A212" t="s">
        <v>224</v>
      </c>
      <c r="B212" s="1">
        <v>45201</v>
      </c>
      <c r="C212" t="s">
        <v>2224</v>
      </c>
      <c r="D212" t="s">
        <v>3999</v>
      </c>
      <c r="E212">
        <v>43</v>
      </c>
      <c r="F212" t="str">
        <f t="shared" si="3"/>
        <v>36-45</v>
      </c>
      <c r="G212" t="s">
        <v>4005</v>
      </c>
      <c r="H212" t="s">
        <v>4009</v>
      </c>
      <c r="I212" t="s">
        <v>4016</v>
      </c>
      <c r="J212">
        <v>2</v>
      </c>
      <c r="K212">
        <v>2862</v>
      </c>
      <c r="L212">
        <v>0</v>
      </c>
      <c r="M212">
        <v>5724</v>
      </c>
      <c r="N212">
        <v>0</v>
      </c>
      <c r="O212">
        <v>5724</v>
      </c>
    </row>
    <row r="213" spans="1:15" x14ac:dyDescent="0.3">
      <c r="A213" t="s">
        <v>225</v>
      </c>
      <c r="B213" s="1">
        <v>44989</v>
      </c>
      <c r="C213" t="s">
        <v>2225</v>
      </c>
      <c r="D213" t="s">
        <v>4000</v>
      </c>
      <c r="E213">
        <v>28</v>
      </c>
      <c r="F213" t="str">
        <f t="shared" si="3"/>
        <v>26-35</v>
      </c>
      <c r="G213" t="s">
        <v>4005</v>
      </c>
      <c r="H213" t="s">
        <v>4012</v>
      </c>
      <c r="I213" t="s">
        <v>4013</v>
      </c>
      <c r="J213">
        <v>3</v>
      </c>
      <c r="K213">
        <v>7417</v>
      </c>
      <c r="L213">
        <v>15</v>
      </c>
      <c r="M213">
        <v>22251</v>
      </c>
      <c r="N213">
        <v>3337.65</v>
      </c>
      <c r="O213">
        <v>18913.349999999999</v>
      </c>
    </row>
    <row r="214" spans="1:15" x14ac:dyDescent="0.3">
      <c r="A214" t="s">
        <v>226</v>
      </c>
      <c r="B214" s="1">
        <v>45079</v>
      </c>
      <c r="C214" t="s">
        <v>2226</v>
      </c>
      <c r="D214" t="s">
        <v>4000</v>
      </c>
      <c r="E214">
        <v>56</v>
      </c>
      <c r="F214" t="str">
        <f t="shared" si="3"/>
        <v>46+</v>
      </c>
      <c r="G214" t="s">
        <v>4001</v>
      </c>
      <c r="H214" t="s">
        <v>4012</v>
      </c>
      <c r="I214" t="s">
        <v>4013</v>
      </c>
      <c r="J214">
        <v>4</v>
      </c>
      <c r="K214">
        <v>1346</v>
      </c>
      <c r="L214">
        <v>10</v>
      </c>
      <c r="M214">
        <v>5384</v>
      </c>
      <c r="N214">
        <v>538.4</v>
      </c>
      <c r="O214">
        <v>4845.6000000000004</v>
      </c>
    </row>
    <row r="215" spans="1:15" x14ac:dyDescent="0.3">
      <c r="A215" t="s">
        <v>227</v>
      </c>
      <c r="B215" s="1">
        <v>44706</v>
      </c>
      <c r="C215" t="s">
        <v>2227</v>
      </c>
      <c r="D215" t="s">
        <v>4000</v>
      </c>
      <c r="E215">
        <v>31</v>
      </c>
      <c r="F215" t="str">
        <f t="shared" si="3"/>
        <v>26-35</v>
      </c>
      <c r="G215" t="s">
        <v>4001</v>
      </c>
      <c r="H215" t="s">
        <v>4007</v>
      </c>
      <c r="I215" t="s">
        <v>4013</v>
      </c>
      <c r="J215">
        <v>4</v>
      </c>
      <c r="K215">
        <v>2000</v>
      </c>
      <c r="L215">
        <v>0</v>
      </c>
      <c r="M215">
        <v>8000</v>
      </c>
      <c r="N215">
        <v>0</v>
      </c>
      <c r="O215">
        <v>8000</v>
      </c>
    </row>
    <row r="216" spans="1:15" x14ac:dyDescent="0.3">
      <c r="A216" t="s">
        <v>228</v>
      </c>
      <c r="B216" s="1">
        <v>44573</v>
      </c>
      <c r="C216" t="s">
        <v>2228</v>
      </c>
      <c r="D216" t="s">
        <v>4000</v>
      </c>
      <c r="E216">
        <v>39</v>
      </c>
      <c r="F216" t="str">
        <f t="shared" si="3"/>
        <v>36-45</v>
      </c>
      <c r="G216" t="s">
        <v>4002</v>
      </c>
      <c r="H216" t="s">
        <v>4012</v>
      </c>
      <c r="I216" t="s">
        <v>4014</v>
      </c>
      <c r="J216">
        <v>7</v>
      </c>
      <c r="K216">
        <v>5982</v>
      </c>
      <c r="L216">
        <v>0</v>
      </c>
      <c r="M216">
        <v>41874</v>
      </c>
      <c r="N216">
        <v>0</v>
      </c>
      <c r="O216">
        <v>41874</v>
      </c>
    </row>
    <row r="217" spans="1:15" x14ac:dyDescent="0.3">
      <c r="A217" t="s">
        <v>229</v>
      </c>
      <c r="B217" s="1">
        <v>44722</v>
      </c>
      <c r="C217" t="s">
        <v>2229</v>
      </c>
      <c r="D217" t="s">
        <v>3999</v>
      </c>
      <c r="E217">
        <v>33</v>
      </c>
      <c r="F217" t="str">
        <f t="shared" si="3"/>
        <v>26-35</v>
      </c>
      <c r="G217" t="s">
        <v>4006</v>
      </c>
      <c r="H217" t="s">
        <v>4007</v>
      </c>
      <c r="I217" t="s">
        <v>4016</v>
      </c>
      <c r="J217">
        <v>5</v>
      </c>
      <c r="K217">
        <v>2208</v>
      </c>
      <c r="L217">
        <v>0</v>
      </c>
      <c r="M217">
        <v>11040</v>
      </c>
      <c r="N217">
        <v>0</v>
      </c>
      <c r="O217">
        <v>11040</v>
      </c>
    </row>
    <row r="218" spans="1:15" x14ac:dyDescent="0.3">
      <c r="A218" t="s">
        <v>230</v>
      </c>
      <c r="B218" s="1">
        <v>45110</v>
      </c>
      <c r="C218" t="s">
        <v>2230</v>
      </c>
      <c r="D218" t="s">
        <v>3999</v>
      </c>
      <c r="E218">
        <v>34</v>
      </c>
      <c r="F218" t="str">
        <f t="shared" si="3"/>
        <v>26-35</v>
      </c>
      <c r="G218" t="s">
        <v>4004</v>
      </c>
      <c r="H218" t="s">
        <v>4010</v>
      </c>
      <c r="I218" t="s">
        <v>4016</v>
      </c>
      <c r="J218">
        <v>2</v>
      </c>
      <c r="K218">
        <v>178</v>
      </c>
      <c r="L218">
        <v>5</v>
      </c>
      <c r="M218">
        <v>356</v>
      </c>
      <c r="N218">
        <v>17.8</v>
      </c>
      <c r="O218">
        <v>338.2</v>
      </c>
    </row>
    <row r="219" spans="1:15" x14ac:dyDescent="0.3">
      <c r="A219" t="s">
        <v>231</v>
      </c>
      <c r="B219" s="1">
        <v>44631</v>
      </c>
      <c r="C219" t="s">
        <v>2231</v>
      </c>
      <c r="D219" t="s">
        <v>4000</v>
      </c>
      <c r="E219">
        <v>56</v>
      </c>
      <c r="F219" t="str">
        <f t="shared" si="3"/>
        <v>46+</v>
      </c>
      <c r="G219" t="s">
        <v>4001</v>
      </c>
      <c r="H219" t="s">
        <v>4008</v>
      </c>
      <c r="I219" t="s">
        <v>4015</v>
      </c>
      <c r="J219">
        <v>5</v>
      </c>
      <c r="K219">
        <v>2803</v>
      </c>
      <c r="L219">
        <v>0</v>
      </c>
      <c r="M219">
        <v>14015</v>
      </c>
      <c r="N219">
        <v>0</v>
      </c>
      <c r="O219">
        <v>14015</v>
      </c>
    </row>
    <row r="220" spans="1:15" x14ac:dyDescent="0.3">
      <c r="A220" t="s">
        <v>232</v>
      </c>
      <c r="B220" s="1">
        <v>44925</v>
      </c>
      <c r="C220" t="s">
        <v>2232</v>
      </c>
      <c r="D220" t="s">
        <v>3999</v>
      </c>
      <c r="E220">
        <v>38</v>
      </c>
      <c r="F220" t="str">
        <f t="shared" si="3"/>
        <v>36-45</v>
      </c>
      <c r="G220" t="s">
        <v>4002</v>
      </c>
      <c r="H220" t="s">
        <v>4008</v>
      </c>
      <c r="I220" t="s">
        <v>4015</v>
      </c>
      <c r="J220">
        <v>4</v>
      </c>
      <c r="K220">
        <v>1877</v>
      </c>
      <c r="L220">
        <v>0</v>
      </c>
      <c r="M220">
        <v>7508</v>
      </c>
      <c r="N220">
        <v>0</v>
      </c>
      <c r="O220">
        <v>7508</v>
      </c>
    </row>
    <row r="221" spans="1:15" x14ac:dyDescent="0.3">
      <c r="A221" t="s">
        <v>233</v>
      </c>
      <c r="B221" s="1">
        <v>45167</v>
      </c>
      <c r="C221" t="s">
        <v>2233</v>
      </c>
      <c r="D221" t="s">
        <v>3999</v>
      </c>
      <c r="E221">
        <v>37</v>
      </c>
      <c r="F221" t="str">
        <f t="shared" si="3"/>
        <v>36-45</v>
      </c>
      <c r="G221" t="s">
        <v>4002</v>
      </c>
      <c r="H221" t="s">
        <v>4008</v>
      </c>
      <c r="I221" t="s">
        <v>4015</v>
      </c>
      <c r="J221">
        <v>2</v>
      </c>
      <c r="K221">
        <v>6876</v>
      </c>
      <c r="L221">
        <v>5</v>
      </c>
      <c r="M221">
        <v>13752</v>
      </c>
      <c r="N221">
        <v>687.6</v>
      </c>
      <c r="O221">
        <v>13064.4</v>
      </c>
    </row>
    <row r="222" spans="1:15" x14ac:dyDescent="0.3">
      <c r="A222" t="s">
        <v>234</v>
      </c>
      <c r="B222" s="1">
        <v>44611</v>
      </c>
      <c r="C222" t="s">
        <v>2234</v>
      </c>
      <c r="D222" t="s">
        <v>3999</v>
      </c>
      <c r="E222">
        <v>23</v>
      </c>
      <c r="F222" t="str">
        <f t="shared" si="3"/>
        <v>18-25</v>
      </c>
      <c r="G222" t="s">
        <v>4004</v>
      </c>
      <c r="H222" t="s">
        <v>4007</v>
      </c>
      <c r="I222" t="s">
        <v>4014</v>
      </c>
      <c r="J222">
        <v>5</v>
      </c>
      <c r="K222">
        <v>1936</v>
      </c>
      <c r="L222">
        <v>5</v>
      </c>
      <c r="M222">
        <v>9680</v>
      </c>
      <c r="N222">
        <v>484</v>
      </c>
      <c r="O222">
        <v>9196</v>
      </c>
    </row>
    <row r="223" spans="1:15" x14ac:dyDescent="0.3">
      <c r="A223" t="s">
        <v>235</v>
      </c>
      <c r="B223" s="1">
        <v>44928</v>
      </c>
      <c r="C223" t="s">
        <v>2235</v>
      </c>
      <c r="D223" t="s">
        <v>3999</v>
      </c>
      <c r="E223">
        <v>47</v>
      </c>
      <c r="F223" t="str">
        <f t="shared" si="3"/>
        <v>46+</v>
      </c>
      <c r="G223" t="s">
        <v>4006</v>
      </c>
      <c r="H223" t="s">
        <v>4007</v>
      </c>
      <c r="I223" t="s">
        <v>4016</v>
      </c>
      <c r="J223">
        <v>1</v>
      </c>
      <c r="K223">
        <v>4793</v>
      </c>
      <c r="L223">
        <v>0</v>
      </c>
      <c r="M223">
        <v>4793</v>
      </c>
      <c r="N223">
        <v>0</v>
      </c>
      <c r="O223">
        <v>4793</v>
      </c>
    </row>
    <row r="224" spans="1:15" x14ac:dyDescent="0.3">
      <c r="A224" t="s">
        <v>236</v>
      </c>
      <c r="B224" s="1">
        <v>45052</v>
      </c>
      <c r="C224" t="s">
        <v>2236</v>
      </c>
      <c r="D224" t="s">
        <v>4000</v>
      </c>
      <c r="E224">
        <v>62</v>
      </c>
      <c r="F224" t="str">
        <f t="shared" si="3"/>
        <v>46+</v>
      </c>
      <c r="G224" t="s">
        <v>4006</v>
      </c>
      <c r="H224" t="s">
        <v>4009</v>
      </c>
      <c r="I224" t="s">
        <v>4015</v>
      </c>
      <c r="J224">
        <v>6</v>
      </c>
      <c r="K224">
        <v>7422</v>
      </c>
      <c r="L224">
        <v>10</v>
      </c>
      <c r="M224">
        <v>44532</v>
      </c>
      <c r="N224">
        <v>4453.2</v>
      </c>
      <c r="O224">
        <v>40078.800000000003</v>
      </c>
    </row>
    <row r="225" spans="1:15" x14ac:dyDescent="0.3">
      <c r="A225" t="s">
        <v>237</v>
      </c>
      <c r="B225" s="1">
        <v>44998</v>
      </c>
      <c r="C225" t="s">
        <v>2237</v>
      </c>
      <c r="D225" t="s">
        <v>3999</v>
      </c>
      <c r="E225">
        <v>22</v>
      </c>
      <c r="F225" t="str">
        <f t="shared" si="3"/>
        <v>18-25</v>
      </c>
      <c r="G225" t="s">
        <v>4001</v>
      </c>
      <c r="H225" t="s">
        <v>4009</v>
      </c>
      <c r="I225" t="s">
        <v>4015</v>
      </c>
      <c r="J225">
        <v>7</v>
      </c>
      <c r="K225">
        <v>4159</v>
      </c>
      <c r="L225">
        <v>15</v>
      </c>
      <c r="M225">
        <v>29113</v>
      </c>
      <c r="N225">
        <v>4366.95</v>
      </c>
      <c r="O225">
        <v>24746.05</v>
      </c>
    </row>
    <row r="226" spans="1:15" x14ac:dyDescent="0.3">
      <c r="A226" t="s">
        <v>238</v>
      </c>
      <c r="B226" s="1">
        <v>45209</v>
      </c>
      <c r="C226" t="s">
        <v>2238</v>
      </c>
      <c r="D226" t="s">
        <v>3999</v>
      </c>
      <c r="E226">
        <v>44</v>
      </c>
      <c r="F226" t="str">
        <f t="shared" si="3"/>
        <v>36-45</v>
      </c>
      <c r="G226" t="s">
        <v>4006</v>
      </c>
      <c r="H226" t="s">
        <v>4008</v>
      </c>
      <c r="I226" t="s">
        <v>4016</v>
      </c>
      <c r="J226">
        <v>6</v>
      </c>
      <c r="K226">
        <v>7205</v>
      </c>
      <c r="L226">
        <v>0</v>
      </c>
      <c r="M226">
        <v>43230</v>
      </c>
      <c r="N226">
        <v>0</v>
      </c>
      <c r="O226">
        <v>43230</v>
      </c>
    </row>
    <row r="227" spans="1:15" x14ac:dyDescent="0.3">
      <c r="A227" t="s">
        <v>239</v>
      </c>
      <c r="B227" s="1">
        <v>44654</v>
      </c>
      <c r="C227" t="s">
        <v>2239</v>
      </c>
      <c r="D227" t="s">
        <v>4000</v>
      </c>
      <c r="E227">
        <v>45</v>
      </c>
      <c r="F227" t="str">
        <f t="shared" si="3"/>
        <v>36-45</v>
      </c>
      <c r="G227" t="s">
        <v>4003</v>
      </c>
      <c r="H227" t="s">
        <v>4011</v>
      </c>
      <c r="I227" t="s">
        <v>4013</v>
      </c>
      <c r="J227">
        <v>4</v>
      </c>
      <c r="K227">
        <v>1106</v>
      </c>
      <c r="L227">
        <v>0</v>
      </c>
      <c r="M227">
        <v>4424</v>
      </c>
      <c r="N227">
        <v>0</v>
      </c>
      <c r="O227">
        <v>4424</v>
      </c>
    </row>
    <row r="228" spans="1:15" x14ac:dyDescent="0.3">
      <c r="A228" t="s">
        <v>240</v>
      </c>
      <c r="B228" s="1">
        <v>45057</v>
      </c>
      <c r="C228" t="s">
        <v>2240</v>
      </c>
      <c r="D228" t="s">
        <v>3999</v>
      </c>
      <c r="E228">
        <v>27</v>
      </c>
      <c r="F228" t="str">
        <f t="shared" si="3"/>
        <v>26-35</v>
      </c>
      <c r="G228" t="s">
        <v>4005</v>
      </c>
      <c r="H228" t="s">
        <v>4007</v>
      </c>
      <c r="I228" t="s">
        <v>4015</v>
      </c>
      <c r="J228">
        <v>3</v>
      </c>
      <c r="K228">
        <v>3041</v>
      </c>
      <c r="L228">
        <v>0</v>
      </c>
      <c r="M228">
        <v>9123</v>
      </c>
      <c r="N228">
        <v>0</v>
      </c>
      <c r="O228">
        <v>9123</v>
      </c>
    </row>
    <row r="229" spans="1:15" x14ac:dyDescent="0.3">
      <c r="A229" t="s">
        <v>241</v>
      </c>
      <c r="B229" s="1">
        <v>45252</v>
      </c>
      <c r="C229" t="s">
        <v>2241</v>
      </c>
      <c r="D229" t="s">
        <v>4000</v>
      </c>
      <c r="E229">
        <v>40</v>
      </c>
      <c r="F229" t="str">
        <f t="shared" si="3"/>
        <v>36-45</v>
      </c>
      <c r="G229" t="s">
        <v>4006</v>
      </c>
      <c r="H229" t="s">
        <v>4009</v>
      </c>
      <c r="I229" t="s">
        <v>4013</v>
      </c>
      <c r="J229">
        <v>4</v>
      </c>
      <c r="K229">
        <v>3332</v>
      </c>
      <c r="L229">
        <v>0</v>
      </c>
      <c r="M229">
        <v>13328</v>
      </c>
      <c r="N229">
        <v>0</v>
      </c>
      <c r="O229">
        <v>13328</v>
      </c>
    </row>
    <row r="230" spans="1:15" x14ac:dyDescent="0.3">
      <c r="A230" t="s">
        <v>242</v>
      </c>
      <c r="B230" s="1">
        <v>45250</v>
      </c>
      <c r="C230" t="s">
        <v>2242</v>
      </c>
      <c r="D230" t="s">
        <v>4000</v>
      </c>
      <c r="E230">
        <v>45</v>
      </c>
      <c r="F230" t="str">
        <f t="shared" si="3"/>
        <v>36-45</v>
      </c>
      <c r="G230" t="s">
        <v>4001</v>
      </c>
      <c r="H230" t="s">
        <v>4008</v>
      </c>
      <c r="I230" t="s">
        <v>4015</v>
      </c>
      <c r="J230">
        <v>4</v>
      </c>
      <c r="K230">
        <v>7113</v>
      </c>
      <c r="L230">
        <v>15</v>
      </c>
      <c r="M230">
        <v>28452</v>
      </c>
      <c r="N230">
        <v>4267.8</v>
      </c>
      <c r="O230">
        <v>24184.2</v>
      </c>
    </row>
    <row r="231" spans="1:15" x14ac:dyDescent="0.3">
      <c r="A231" t="s">
        <v>243</v>
      </c>
      <c r="B231" s="1">
        <v>45121</v>
      </c>
      <c r="C231" t="s">
        <v>2243</v>
      </c>
      <c r="D231" t="s">
        <v>4000</v>
      </c>
      <c r="E231">
        <v>61</v>
      </c>
      <c r="F231" t="str">
        <f t="shared" si="3"/>
        <v>46+</v>
      </c>
      <c r="G231" t="s">
        <v>4002</v>
      </c>
      <c r="H231" t="s">
        <v>4008</v>
      </c>
      <c r="I231" t="s">
        <v>4017</v>
      </c>
      <c r="J231">
        <v>4</v>
      </c>
      <c r="K231">
        <v>7511</v>
      </c>
      <c r="L231">
        <v>0</v>
      </c>
      <c r="M231">
        <v>30044</v>
      </c>
      <c r="N231">
        <v>0</v>
      </c>
      <c r="O231">
        <v>30044</v>
      </c>
    </row>
    <row r="232" spans="1:15" x14ac:dyDescent="0.3">
      <c r="A232" t="s">
        <v>244</v>
      </c>
      <c r="B232" s="1">
        <v>45200</v>
      </c>
      <c r="C232" t="s">
        <v>2244</v>
      </c>
      <c r="D232" t="s">
        <v>4000</v>
      </c>
      <c r="E232">
        <v>54</v>
      </c>
      <c r="F232" t="str">
        <f t="shared" si="3"/>
        <v>46+</v>
      </c>
      <c r="G232" t="s">
        <v>4004</v>
      </c>
      <c r="H232" t="s">
        <v>4009</v>
      </c>
      <c r="I232" t="s">
        <v>4013</v>
      </c>
      <c r="J232">
        <v>7</v>
      </c>
      <c r="K232">
        <v>5582</v>
      </c>
      <c r="L232">
        <v>0</v>
      </c>
      <c r="M232">
        <v>39074</v>
      </c>
      <c r="N232">
        <v>0</v>
      </c>
      <c r="O232">
        <v>39074</v>
      </c>
    </row>
    <row r="233" spans="1:15" x14ac:dyDescent="0.3">
      <c r="A233" t="s">
        <v>245</v>
      </c>
      <c r="B233" s="1">
        <v>45023</v>
      </c>
      <c r="C233" t="s">
        <v>2245</v>
      </c>
      <c r="D233" t="s">
        <v>4000</v>
      </c>
      <c r="E233">
        <v>63</v>
      </c>
      <c r="F233" t="str">
        <f t="shared" si="3"/>
        <v>46+</v>
      </c>
      <c r="G233" t="s">
        <v>4006</v>
      </c>
      <c r="H233" t="s">
        <v>4009</v>
      </c>
      <c r="I233" t="s">
        <v>4013</v>
      </c>
      <c r="J233">
        <v>3</v>
      </c>
      <c r="K233">
        <v>5288</v>
      </c>
      <c r="L233">
        <v>10</v>
      </c>
      <c r="M233">
        <v>15864</v>
      </c>
      <c r="N233">
        <v>1586.4</v>
      </c>
      <c r="O233">
        <v>14277.6</v>
      </c>
    </row>
    <row r="234" spans="1:15" x14ac:dyDescent="0.3">
      <c r="A234" t="s">
        <v>246</v>
      </c>
      <c r="B234" s="1">
        <v>44773</v>
      </c>
      <c r="C234" t="s">
        <v>2246</v>
      </c>
      <c r="D234" t="s">
        <v>4000</v>
      </c>
      <c r="E234">
        <v>41</v>
      </c>
      <c r="F234" t="str">
        <f t="shared" si="3"/>
        <v>36-45</v>
      </c>
      <c r="G234" t="s">
        <v>4006</v>
      </c>
      <c r="H234" t="s">
        <v>4007</v>
      </c>
      <c r="I234" t="s">
        <v>4017</v>
      </c>
      <c r="J234">
        <v>7</v>
      </c>
      <c r="K234">
        <v>7090</v>
      </c>
      <c r="L234">
        <v>10</v>
      </c>
      <c r="M234">
        <v>49630</v>
      </c>
      <c r="N234">
        <v>4963</v>
      </c>
      <c r="O234">
        <v>44667</v>
      </c>
    </row>
    <row r="235" spans="1:15" x14ac:dyDescent="0.3">
      <c r="A235" t="s">
        <v>247</v>
      </c>
      <c r="B235" s="1">
        <v>44667</v>
      </c>
      <c r="C235" t="s">
        <v>2247</v>
      </c>
      <c r="D235" t="s">
        <v>3999</v>
      </c>
      <c r="E235">
        <v>21</v>
      </c>
      <c r="F235" t="str">
        <f t="shared" si="3"/>
        <v>18-25</v>
      </c>
      <c r="G235" t="s">
        <v>4002</v>
      </c>
      <c r="H235" t="s">
        <v>4008</v>
      </c>
      <c r="I235" t="s">
        <v>4013</v>
      </c>
      <c r="J235">
        <v>6</v>
      </c>
      <c r="K235">
        <v>2138</v>
      </c>
      <c r="L235">
        <v>10</v>
      </c>
      <c r="M235">
        <v>12828</v>
      </c>
      <c r="N235">
        <v>1282.8</v>
      </c>
      <c r="O235">
        <v>11545.2</v>
      </c>
    </row>
    <row r="236" spans="1:15" x14ac:dyDescent="0.3">
      <c r="A236" t="s">
        <v>248</v>
      </c>
      <c r="B236" s="1">
        <v>44639</v>
      </c>
      <c r="C236" t="s">
        <v>2248</v>
      </c>
      <c r="D236" t="s">
        <v>3999</v>
      </c>
      <c r="E236">
        <v>52</v>
      </c>
      <c r="F236" t="str">
        <f t="shared" si="3"/>
        <v>46+</v>
      </c>
      <c r="G236" t="s">
        <v>4002</v>
      </c>
      <c r="H236" t="s">
        <v>4010</v>
      </c>
      <c r="I236" t="s">
        <v>4015</v>
      </c>
      <c r="J236">
        <v>2</v>
      </c>
      <c r="K236">
        <v>6040</v>
      </c>
      <c r="L236">
        <v>20</v>
      </c>
      <c r="M236">
        <v>12080</v>
      </c>
      <c r="N236">
        <v>2416</v>
      </c>
      <c r="O236">
        <v>9664</v>
      </c>
    </row>
    <row r="237" spans="1:15" x14ac:dyDescent="0.3">
      <c r="A237" t="s">
        <v>249</v>
      </c>
      <c r="B237" s="1">
        <v>45098</v>
      </c>
      <c r="C237" t="s">
        <v>2249</v>
      </c>
      <c r="D237" t="s">
        <v>3999</v>
      </c>
      <c r="E237">
        <v>32</v>
      </c>
      <c r="F237" t="str">
        <f t="shared" si="3"/>
        <v>26-35</v>
      </c>
      <c r="G237" t="s">
        <v>4006</v>
      </c>
      <c r="H237" t="s">
        <v>4012</v>
      </c>
      <c r="I237" t="s">
        <v>4013</v>
      </c>
      <c r="J237">
        <v>4</v>
      </c>
      <c r="K237">
        <v>4891</v>
      </c>
      <c r="L237">
        <v>15</v>
      </c>
      <c r="M237">
        <v>19564</v>
      </c>
      <c r="N237">
        <v>2934.6</v>
      </c>
      <c r="O237">
        <v>16629.400000000001</v>
      </c>
    </row>
    <row r="238" spans="1:15" x14ac:dyDescent="0.3">
      <c r="A238" t="s">
        <v>250</v>
      </c>
      <c r="B238" s="1">
        <v>44629</v>
      </c>
      <c r="C238" t="s">
        <v>2250</v>
      </c>
      <c r="D238" t="s">
        <v>3999</v>
      </c>
      <c r="E238">
        <v>44</v>
      </c>
      <c r="F238" t="str">
        <f t="shared" si="3"/>
        <v>36-45</v>
      </c>
      <c r="G238" t="s">
        <v>4003</v>
      </c>
      <c r="H238" t="s">
        <v>4007</v>
      </c>
      <c r="I238" t="s">
        <v>4017</v>
      </c>
      <c r="J238">
        <v>4</v>
      </c>
      <c r="K238">
        <v>7827</v>
      </c>
      <c r="L238">
        <v>10</v>
      </c>
      <c r="M238">
        <v>31308</v>
      </c>
      <c r="N238">
        <v>3130.8</v>
      </c>
      <c r="O238">
        <v>28177.200000000001</v>
      </c>
    </row>
    <row r="239" spans="1:15" x14ac:dyDescent="0.3">
      <c r="A239" t="s">
        <v>251</v>
      </c>
      <c r="B239" s="1">
        <v>45123</v>
      </c>
      <c r="C239" t="s">
        <v>2251</v>
      </c>
      <c r="D239" t="s">
        <v>3999</v>
      </c>
      <c r="E239">
        <v>36</v>
      </c>
      <c r="F239" t="str">
        <f t="shared" si="3"/>
        <v>36-45</v>
      </c>
      <c r="G239" t="s">
        <v>4004</v>
      </c>
      <c r="H239" t="s">
        <v>4011</v>
      </c>
      <c r="I239" t="s">
        <v>4015</v>
      </c>
      <c r="J239">
        <v>6</v>
      </c>
      <c r="K239">
        <v>6545</v>
      </c>
      <c r="L239">
        <v>0</v>
      </c>
      <c r="M239">
        <v>39270</v>
      </c>
      <c r="N239">
        <v>0</v>
      </c>
      <c r="O239">
        <v>39270</v>
      </c>
    </row>
    <row r="240" spans="1:15" x14ac:dyDescent="0.3">
      <c r="A240" t="s">
        <v>252</v>
      </c>
      <c r="B240" s="1">
        <v>45052</v>
      </c>
      <c r="C240" t="s">
        <v>2252</v>
      </c>
      <c r="D240" t="s">
        <v>4000</v>
      </c>
      <c r="E240">
        <v>64</v>
      </c>
      <c r="F240" t="str">
        <f t="shared" si="3"/>
        <v>46+</v>
      </c>
      <c r="G240" t="s">
        <v>4004</v>
      </c>
      <c r="H240" t="s">
        <v>4007</v>
      </c>
      <c r="I240" t="s">
        <v>4017</v>
      </c>
      <c r="J240">
        <v>5</v>
      </c>
      <c r="K240">
        <v>2444</v>
      </c>
      <c r="L240">
        <v>15</v>
      </c>
      <c r="M240">
        <v>12220</v>
      </c>
      <c r="N240">
        <v>1833</v>
      </c>
      <c r="O240">
        <v>10387</v>
      </c>
    </row>
    <row r="241" spans="1:15" x14ac:dyDescent="0.3">
      <c r="A241" t="s">
        <v>253</v>
      </c>
      <c r="B241" s="1">
        <v>44978</v>
      </c>
      <c r="C241" t="s">
        <v>2253</v>
      </c>
      <c r="D241" t="s">
        <v>3999</v>
      </c>
      <c r="E241">
        <v>36</v>
      </c>
      <c r="F241" t="str">
        <f t="shared" si="3"/>
        <v>36-45</v>
      </c>
      <c r="G241" t="s">
        <v>4002</v>
      </c>
      <c r="H241" t="s">
        <v>4008</v>
      </c>
      <c r="I241" t="s">
        <v>4016</v>
      </c>
      <c r="J241">
        <v>2</v>
      </c>
      <c r="K241">
        <v>2750</v>
      </c>
      <c r="L241">
        <v>10</v>
      </c>
      <c r="M241">
        <v>5500</v>
      </c>
      <c r="N241">
        <v>550</v>
      </c>
      <c r="O241">
        <v>4950</v>
      </c>
    </row>
    <row r="242" spans="1:15" x14ac:dyDescent="0.3">
      <c r="A242" t="s">
        <v>254</v>
      </c>
      <c r="B242" s="1">
        <v>44595</v>
      </c>
      <c r="C242" t="s">
        <v>2254</v>
      </c>
      <c r="D242" t="s">
        <v>3999</v>
      </c>
      <c r="E242">
        <v>49</v>
      </c>
      <c r="F242" t="str">
        <f t="shared" si="3"/>
        <v>46+</v>
      </c>
      <c r="G242" t="s">
        <v>4005</v>
      </c>
      <c r="H242" t="s">
        <v>4008</v>
      </c>
      <c r="I242" t="s">
        <v>4016</v>
      </c>
      <c r="J242">
        <v>2</v>
      </c>
      <c r="K242">
        <v>7067</v>
      </c>
      <c r="L242">
        <v>0</v>
      </c>
      <c r="M242">
        <v>14134</v>
      </c>
      <c r="N242">
        <v>0</v>
      </c>
      <c r="O242">
        <v>14134</v>
      </c>
    </row>
    <row r="243" spans="1:15" x14ac:dyDescent="0.3">
      <c r="A243" t="s">
        <v>255</v>
      </c>
      <c r="B243" s="1">
        <v>44893</v>
      </c>
      <c r="C243" t="s">
        <v>2255</v>
      </c>
      <c r="D243" t="s">
        <v>3999</v>
      </c>
      <c r="E243">
        <v>33</v>
      </c>
      <c r="F243" t="str">
        <f t="shared" si="3"/>
        <v>26-35</v>
      </c>
      <c r="G243" t="s">
        <v>4005</v>
      </c>
      <c r="H243" t="s">
        <v>4010</v>
      </c>
      <c r="I243" t="s">
        <v>4013</v>
      </c>
      <c r="J243">
        <v>3</v>
      </c>
      <c r="K243">
        <v>3354</v>
      </c>
      <c r="L243">
        <v>15</v>
      </c>
      <c r="M243">
        <v>10062</v>
      </c>
      <c r="N243">
        <v>1509.3</v>
      </c>
      <c r="O243">
        <v>8552.7000000000007</v>
      </c>
    </row>
    <row r="244" spans="1:15" x14ac:dyDescent="0.3">
      <c r="A244" t="s">
        <v>256</v>
      </c>
      <c r="B244" s="1">
        <v>44630</v>
      </c>
      <c r="C244" t="s">
        <v>2256</v>
      </c>
      <c r="D244" t="s">
        <v>4000</v>
      </c>
      <c r="E244">
        <v>41</v>
      </c>
      <c r="F244" t="str">
        <f t="shared" si="3"/>
        <v>36-45</v>
      </c>
      <c r="G244" t="s">
        <v>4005</v>
      </c>
      <c r="H244" t="s">
        <v>4010</v>
      </c>
      <c r="I244" t="s">
        <v>4016</v>
      </c>
      <c r="J244">
        <v>1</v>
      </c>
      <c r="K244">
        <v>1844</v>
      </c>
      <c r="L244">
        <v>0</v>
      </c>
      <c r="M244">
        <v>1844</v>
      </c>
      <c r="N244">
        <v>0</v>
      </c>
      <c r="O244">
        <v>1844</v>
      </c>
    </row>
    <row r="245" spans="1:15" x14ac:dyDescent="0.3">
      <c r="A245" t="s">
        <v>257</v>
      </c>
      <c r="B245" s="1">
        <v>44792</v>
      </c>
      <c r="C245" t="s">
        <v>2257</v>
      </c>
      <c r="D245" t="s">
        <v>3999</v>
      </c>
      <c r="E245">
        <v>42</v>
      </c>
      <c r="F245" t="str">
        <f t="shared" si="3"/>
        <v>36-45</v>
      </c>
      <c r="G245" t="s">
        <v>4003</v>
      </c>
      <c r="H245" t="s">
        <v>4009</v>
      </c>
      <c r="I245" t="s">
        <v>4013</v>
      </c>
      <c r="J245">
        <v>3</v>
      </c>
      <c r="K245">
        <v>2417</v>
      </c>
      <c r="L245">
        <v>0</v>
      </c>
      <c r="M245">
        <v>7251</v>
      </c>
      <c r="N245">
        <v>0</v>
      </c>
      <c r="O245">
        <v>7251</v>
      </c>
    </row>
    <row r="246" spans="1:15" x14ac:dyDescent="0.3">
      <c r="A246" t="s">
        <v>258</v>
      </c>
      <c r="B246" s="1">
        <v>45169</v>
      </c>
      <c r="C246" t="s">
        <v>2258</v>
      </c>
      <c r="D246" t="s">
        <v>4000</v>
      </c>
      <c r="E246">
        <v>31</v>
      </c>
      <c r="F246" t="str">
        <f t="shared" si="3"/>
        <v>26-35</v>
      </c>
      <c r="G246" t="s">
        <v>4006</v>
      </c>
      <c r="H246" t="s">
        <v>4011</v>
      </c>
      <c r="I246" t="s">
        <v>4014</v>
      </c>
      <c r="J246">
        <v>2</v>
      </c>
      <c r="K246">
        <v>5289</v>
      </c>
      <c r="L246">
        <v>5</v>
      </c>
      <c r="M246">
        <v>10578</v>
      </c>
      <c r="N246">
        <v>528.9</v>
      </c>
      <c r="O246">
        <v>10049.1</v>
      </c>
    </row>
    <row r="247" spans="1:15" x14ac:dyDescent="0.3">
      <c r="A247" t="s">
        <v>259</v>
      </c>
      <c r="B247" s="1">
        <v>45199</v>
      </c>
      <c r="C247" t="s">
        <v>2259</v>
      </c>
      <c r="D247" t="s">
        <v>4000</v>
      </c>
      <c r="E247">
        <v>59</v>
      </c>
      <c r="F247" t="str">
        <f t="shared" si="3"/>
        <v>46+</v>
      </c>
      <c r="G247" t="s">
        <v>4006</v>
      </c>
      <c r="H247" t="s">
        <v>4008</v>
      </c>
      <c r="I247" t="s">
        <v>4016</v>
      </c>
      <c r="J247">
        <v>4</v>
      </c>
      <c r="K247">
        <v>6773</v>
      </c>
      <c r="L247">
        <v>20</v>
      </c>
      <c r="M247">
        <v>27092</v>
      </c>
      <c r="N247">
        <v>5418.4</v>
      </c>
      <c r="O247">
        <v>21673.599999999999</v>
      </c>
    </row>
    <row r="248" spans="1:15" x14ac:dyDescent="0.3">
      <c r="A248" t="s">
        <v>260</v>
      </c>
      <c r="B248" s="1">
        <v>45135</v>
      </c>
      <c r="C248" t="s">
        <v>2260</v>
      </c>
      <c r="D248" t="s">
        <v>3999</v>
      </c>
      <c r="E248">
        <v>41</v>
      </c>
      <c r="F248" t="str">
        <f t="shared" si="3"/>
        <v>36-45</v>
      </c>
      <c r="G248" t="s">
        <v>4004</v>
      </c>
      <c r="H248" t="s">
        <v>4009</v>
      </c>
      <c r="I248" t="s">
        <v>4013</v>
      </c>
      <c r="J248">
        <v>1</v>
      </c>
      <c r="K248">
        <v>4594</v>
      </c>
      <c r="L248">
        <v>0</v>
      </c>
      <c r="M248">
        <v>4594</v>
      </c>
      <c r="N248">
        <v>0</v>
      </c>
      <c r="O248">
        <v>4594</v>
      </c>
    </row>
    <row r="249" spans="1:15" x14ac:dyDescent="0.3">
      <c r="A249" t="s">
        <v>261</v>
      </c>
      <c r="B249" s="1">
        <v>44640</v>
      </c>
      <c r="C249" t="s">
        <v>2261</v>
      </c>
      <c r="D249" t="s">
        <v>4000</v>
      </c>
      <c r="E249">
        <v>51</v>
      </c>
      <c r="F249" t="str">
        <f t="shared" si="3"/>
        <v>46+</v>
      </c>
      <c r="G249" t="s">
        <v>4002</v>
      </c>
      <c r="H249" t="s">
        <v>4008</v>
      </c>
      <c r="I249" t="s">
        <v>4017</v>
      </c>
      <c r="J249">
        <v>3</v>
      </c>
      <c r="K249">
        <v>3808</v>
      </c>
      <c r="L249">
        <v>20</v>
      </c>
      <c r="M249">
        <v>11424</v>
      </c>
      <c r="N249">
        <v>2284.8000000000002</v>
      </c>
      <c r="O249">
        <v>9139.2000000000007</v>
      </c>
    </row>
    <row r="250" spans="1:15" x14ac:dyDescent="0.3">
      <c r="A250" t="s">
        <v>262</v>
      </c>
      <c r="B250" s="1">
        <v>44989</v>
      </c>
      <c r="C250" t="s">
        <v>2262</v>
      </c>
      <c r="D250" t="s">
        <v>3999</v>
      </c>
      <c r="E250">
        <v>63</v>
      </c>
      <c r="F250" t="str">
        <f t="shared" si="3"/>
        <v>46+</v>
      </c>
      <c r="G250" t="s">
        <v>4002</v>
      </c>
      <c r="H250" t="s">
        <v>4007</v>
      </c>
      <c r="I250" t="s">
        <v>4014</v>
      </c>
      <c r="J250">
        <v>5</v>
      </c>
      <c r="K250">
        <v>1991</v>
      </c>
      <c r="L250">
        <v>5</v>
      </c>
      <c r="M250">
        <v>9955</v>
      </c>
      <c r="N250">
        <v>497.75</v>
      </c>
      <c r="O250">
        <v>9457.25</v>
      </c>
    </row>
    <row r="251" spans="1:15" x14ac:dyDescent="0.3">
      <c r="A251" t="s">
        <v>263</v>
      </c>
      <c r="B251" s="1">
        <v>45150</v>
      </c>
      <c r="C251" t="s">
        <v>2263</v>
      </c>
      <c r="D251" t="s">
        <v>4000</v>
      </c>
      <c r="E251">
        <v>55</v>
      </c>
      <c r="F251" t="str">
        <f t="shared" si="3"/>
        <v>46+</v>
      </c>
      <c r="G251" t="s">
        <v>4001</v>
      </c>
      <c r="H251" t="s">
        <v>4012</v>
      </c>
      <c r="I251" t="s">
        <v>4016</v>
      </c>
      <c r="J251">
        <v>6</v>
      </c>
      <c r="K251">
        <v>6580</v>
      </c>
      <c r="L251">
        <v>0</v>
      </c>
      <c r="M251">
        <v>39480</v>
      </c>
      <c r="N251">
        <v>0</v>
      </c>
      <c r="O251">
        <v>39480</v>
      </c>
    </row>
    <row r="252" spans="1:15" x14ac:dyDescent="0.3">
      <c r="A252" t="s">
        <v>264</v>
      </c>
      <c r="B252" s="1">
        <v>44962</v>
      </c>
      <c r="C252" t="s">
        <v>2264</v>
      </c>
      <c r="D252" t="s">
        <v>4000</v>
      </c>
      <c r="E252">
        <v>29</v>
      </c>
      <c r="F252" t="str">
        <f t="shared" si="3"/>
        <v>26-35</v>
      </c>
      <c r="G252" t="s">
        <v>4006</v>
      </c>
      <c r="H252" t="s">
        <v>4011</v>
      </c>
      <c r="I252" t="s">
        <v>4013</v>
      </c>
      <c r="J252">
        <v>2</v>
      </c>
      <c r="K252">
        <v>4593</v>
      </c>
      <c r="L252">
        <v>10</v>
      </c>
      <c r="M252">
        <v>9186</v>
      </c>
      <c r="N252">
        <v>918.6</v>
      </c>
      <c r="O252">
        <v>8267.4</v>
      </c>
    </row>
    <row r="253" spans="1:15" x14ac:dyDescent="0.3">
      <c r="A253" t="s">
        <v>265</v>
      </c>
      <c r="B253" s="1">
        <v>44931</v>
      </c>
      <c r="C253" t="s">
        <v>2265</v>
      </c>
      <c r="D253" t="s">
        <v>3999</v>
      </c>
      <c r="E253">
        <v>55</v>
      </c>
      <c r="F253" t="str">
        <f t="shared" si="3"/>
        <v>46+</v>
      </c>
      <c r="G253" t="s">
        <v>4004</v>
      </c>
      <c r="H253" t="s">
        <v>4007</v>
      </c>
      <c r="I253" t="s">
        <v>4017</v>
      </c>
      <c r="J253">
        <v>5</v>
      </c>
      <c r="K253">
        <v>2965</v>
      </c>
      <c r="L253">
        <v>15</v>
      </c>
      <c r="M253">
        <v>14825</v>
      </c>
      <c r="N253">
        <v>2223.75</v>
      </c>
      <c r="O253">
        <v>12601.25</v>
      </c>
    </row>
    <row r="254" spans="1:15" x14ac:dyDescent="0.3">
      <c r="A254" t="s">
        <v>266</v>
      </c>
      <c r="B254" s="1">
        <v>45196</v>
      </c>
      <c r="C254" t="s">
        <v>2266</v>
      </c>
      <c r="D254" t="s">
        <v>3999</v>
      </c>
      <c r="E254">
        <v>57</v>
      </c>
      <c r="F254" t="str">
        <f t="shared" si="3"/>
        <v>46+</v>
      </c>
      <c r="G254" t="s">
        <v>4005</v>
      </c>
      <c r="H254" t="s">
        <v>4010</v>
      </c>
      <c r="I254" t="s">
        <v>4015</v>
      </c>
      <c r="J254">
        <v>6</v>
      </c>
      <c r="K254">
        <v>6507</v>
      </c>
      <c r="L254">
        <v>0</v>
      </c>
      <c r="M254">
        <v>39042</v>
      </c>
      <c r="N254">
        <v>0</v>
      </c>
      <c r="O254">
        <v>39042</v>
      </c>
    </row>
    <row r="255" spans="1:15" x14ac:dyDescent="0.3">
      <c r="A255" t="s">
        <v>267</v>
      </c>
      <c r="B255" s="1">
        <v>44972</v>
      </c>
      <c r="C255" t="s">
        <v>2267</v>
      </c>
      <c r="D255" t="s">
        <v>4000</v>
      </c>
      <c r="E255">
        <v>52</v>
      </c>
      <c r="F255" t="str">
        <f t="shared" si="3"/>
        <v>46+</v>
      </c>
      <c r="G255" t="s">
        <v>4006</v>
      </c>
      <c r="H255" t="s">
        <v>4009</v>
      </c>
      <c r="I255" t="s">
        <v>4015</v>
      </c>
      <c r="J255">
        <v>5</v>
      </c>
      <c r="K255">
        <v>1890</v>
      </c>
      <c r="L255">
        <v>20</v>
      </c>
      <c r="M255">
        <v>9450</v>
      </c>
      <c r="N255">
        <v>1890</v>
      </c>
      <c r="O255">
        <v>7560</v>
      </c>
    </row>
    <row r="256" spans="1:15" x14ac:dyDescent="0.3">
      <c r="A256" t="s">
        <v>268</v>
      </c>
      <c r="B256" s="1">
        <v>44942</v>
      </c>
      <c r="C256" t="s">
        <v>2268</v>
      </c>
      <c r="D256" t="s">
        <v>3999</v>
      </c>
      <c r="E256">
        <v>20</v>
      </c>
      <c r="F256" t="str">
        <f t="shared" si="3"/>
        <v>18-25</v>
      </c>
      <c r="G256" t="s">
        <v>4001</v>
      </c>
      <c r="H256" t="s">
        <v>4011</v>
      </c>
      <c r="I256" t="s">
        <v>4015</v>
      </c>
      <c r="J256">
        <v>3</v>
      </c>
      <c r="K256">
        <v>7850</v>
      </c>
      <c r="L256">
        <v>15</v>
      </c>
      <c r="M256">
        <v>23550</v>
      </c>
      <c r="N256">
        <v>3532.5</v>
      </c>
      <c r="O256">
        <v>20017.5</v>
      </c>
    </row>
    <row r="257" spans="1:15" x14ac:dyDescent="0.3">
      <c r="A257" t="s">
        <v>269</v>
      </c>
      <c r="B257" s="1">
        <v>45082</v>
      </c>
      <c r="C257" t="s">
        <v>2269</v>
      </c>
      <c r="D257" t="s">
        <v>4000</v>
      </c>
      <c r="E257">
        <v>61</v>
      </c>
      <c r="F257" t="str">
        <f t="shared" si="3"/>
        <v>46+</v>
      </c>
      <c r="G257" t="s">
        <v>4006</v>
      </c>
      <c r="H257" t="s">
        <v>4007</v>
      </c>
      <c r="I257" t="s">
        <v>4013</v>
      </c>
      <c r="J257">
        <v>1</v>
      </c>
      <c r="K257">
        <v>658</v>
      </c>
      <c r="L257">
        <v>0</v>
      </c>
      <c r="M257">
        <v>658</v>
      </c>
      <c r="N257">
        <v>0</v>
      </c>
      <c r="O257">
        <v>658</v>
      </c>
    </row>
    <row r="258" spans="1:15" x14ac:dyDescent="0.3">
      <c r="A258" t="s">
        <v>270</v>
      </c>
      <c r="B258" s="1">
        <v>45254</v>
      </c>
      <c r="C258" t="s">
        <v>2270</v>
      </c>
      <c r="D258" t="s">
        <v>3999</v>
      </c>
      <c r="E258">
        <v>32</v>
      </c>
      <c r="F258" t="str">
        <f t="shared" ref="F258:F321" si="4">IF(E258&lt;=25,"18-25",IF(E258&lt;=35,"26-35",IF(E258&lt;=45,"36-45","46+")))</f>
        <v>26-35</v>
      </c>
      <c r="G258" t="s">
        <v>4001</v>
      </c>
      <c r="H258" t="s">
        <v>4009</v>
      </c>
      <c r="I258" t="s">
        <v>4017</v>
      </c>
      <c r="J258">
        <v>7</v>
      </c>
      <c r="K258">
        <v>825</v>
      </c>
      <c r="L258">
        <v>15</v>
      </c>
      <c r="M258">
        <v>5775</v>
      </c>
      <c r="N258">
        <v>866.25</v>
      </c>
      <c r="O258">
        <v>4908.75</v>
      </c>
    </row>
    <row r="259" spans="1:15" x14ac:dyDescent="0.3">
      <c r="A259" t="s">
        <v>271</v>
      </c>
      <c r="B259" s="1">
        <v>45168</v>
      </c>
      <c r="C259" t="s">
        <v>2271</v>
      </c>
      <c r="D259" t="s">
        <v>3999</v>
      </c>
      <c r="E259">
        <v>23</v>
      </c>
      <c r="F259" t="str">
        <f t="shared" si="4"/>
        <v>18-25</v>
      </c>
      <c r="G259" t="s">
        <v>4003</v>
      </c>
      <c r="H259" t="s">
        <v>4011</v>
      </c>
      <c r="I259" t="s">
        <v>4017</v>
      </c>
      <c r="J259">
        <v>4</v>
      </c>
      <c r="K259">
        <v>300</v>
      </c>
      <c r="L259">
        <v>0</v>
      </c>
      <c r="M259">
        <v>1200</v>
      </c>
      <c r="N259">
        <v>0</v>
      </c>
      <c r="O259">
        <v>1200</v>
      </c>
    </row>
    <row r="260" spans="1:15" x14ac:dyDescent="0.3">
      <c r="A260" t="s">
        <v>272</v>
      </c>
      <c r="B260" s="1">
        <v>45281</v>
      </c>
      <c r="C260" t="s">
        <v>2272</v>
      </c>
      <c r="D260" t="s">
        <v>3999</v>
      </c>
      <c r="E260">
        <v>50</v>
      </c>
      <c r="F260" t="str">
        <f t="shared" si="4"/>
        <v>46+</v>
      </c>
      <c r="G260" t="s">
        <v>4006</v>
      </c>
      <c r="H260" t="s">
        <v>4009</v>
      </c>
      <c r="I260" t="s">
        <v>4015</v>
      </c>
      <c r="J260">
        <v>7</v>
      </c>
      <c r="K260">
        <v>6683</v>
      </c>
      <c r="L260">
        <v>0</v>
      </c>
      <c r="M260">
        <v>46781</v>
      </c>
      <c r="N260">
        <v>0</v>
      </c>
      <c r="O260">
        <v>46781</v>
      </c>
    </row>
    <row r="261" spans="1:15" x14ac:dyDescent="0.3">
      <c r="A261" t="s">
        <v>273</v>
      </c>
      <c r="B261" s="1">
        <v>44968</v>
      </c>
      <c r="C261" t="s">
        <v>2273</v>
      </c>
      <c r="D261" t="s">
        <v>4000</v>
      </c>
      <c r="E261">
        <v>54</v>
      </c>
      <c r="F261" t="str">
        <f t="shared" si="4"/>
        <v>46+</v>
      </c>
      <c r="G261" t="s">
        <v>4004</v>
      </c>
      <c r="H261" t="s">
        <v>4007</v>
      </c>
      <c r="I261" t="s">
        <v>4016</v>
      </c>
      <c r="J261">
        <v>6</v>
      </c>
      <c r="K261">
        <v>985</v>
      </c>
      <c r="L261">
        <v>5</v>
      </c>
      <c r="M261">
        <v>5910</v>
      </c>
      <c r="N261">
        <v>295.5</v>
      </c>
      <c r="O261">
        <v>5614.5</v>
      </c>
    </row>
    <row r="262" spans="1:15" x14ac:dyDescent="0.3">
      <c r="A262" t="s">
        <v>274</v>
      </c>
      <c r="B262" s="1">
        <v>44746</v>
      </c>
      <c r="C262" t="s">
        <v>2274</v>
      </c>
      <c r="D262" t="s">
        <v>3999</v>
      </c>
      <c r="E262">
        <v>47</v>
      </c>
      <c r="F262" t="str">
        <f t="shared" si="4"/>
        <v>46+</v>
      </c>
      <c r="G262" t="s">
        <v>4006</v>
      </c>
      <c r="H262" t="s">
        <v>4010</v>
      </c>
      <c r="I262" t="s">
        <v>4016</v>
      </c>
      <c r="J262">
        <v>2</v>
      </c>
      <c r="K262">
        <v>4163</v>
      </c>
      <c r="L262">
        <v>0</v>
      </c>
      <c r="M262">
        <v>8326</v>
      </c>
      <c r="N262">
        <v>0</v>
      </c>
      <c r="O262">
        <v>8326</v>
      </c>
    </row>
    <row r="263" spans="1:15" x14ac:dyDescent="0.3">
      <c r="A263" t="s">
        <v>275</v>
      </c>
      <c r="B263" s="1">
        <v>44743</v>
      </c>
      <c r="C263" t="s">
        <v>2275</v>
      </c>
      <c r="D263" t="s">
        <v>3999</v>
      </c>
      <c r="E263">
        <v>60</v>
      </c>
      <c r="F263" t="str">
        <f t="shared" si="4"/>
        <v>46+</v>
      </c>
      <c r="G263" t="s">
        <v>4001</v>
      </c>
      <c r="H263" t="s">
        <v>4008</v>
      </c>
      <c r="I263" t="s">
        <v>4017</v>
      </c>
      <c r="J263">
        <v>4</v>
      </c>
      <c r="K263">
        <v>3099</v>
      </c>
      <c r="L263">
        <v>10</v>
      </c>
      <c r="M263">
        <v>12396</v>
      </c>
      <c r="N263">
        <v>1239.5999999999999</v>
      </c>
      <c r="O263">
        <v>11156.4</v>
      </c>
    </row>
    <row r="264" spans="1:15" x14ac:dyDescent="0.3">
      <c r="A264" t="s">
        <v>276</v>
      </c>
      <c r="B264" s="1">
        <v>45108</v>
      </c>
      <c r="C264" t="s">
        <v>2276</v>
      </c>
      <c r="D264" t="s">
        <v>4000</v>
      </c>
      <c r="E264">
        <v>64</v>
      </c>
      <c r="F264" t="str">
        <f t="shared" si="4"/>
        <v>46+</v>
      </c>
      <c r="G264" t="s">
        <v>4005</v>
      </c>
      <c r="H264" t="s">
        <v>4011</v>
      </c>
      <c r="I264" t="s">
        <v>4014</v>
      </c>
      <c r="J264">
        <v>3</v>
      </c>
      <c r="K264">
        <v>803</v>
      </c>
      <c r="L264">
        <v>10</v>
      </c>
      <c r="M264">
        <v>2409</v>
      </c>
      <c r="N264">
        <v>240.9</v>
      </c>
      <c r="O264">
        <v>2168.1</v>
      </c>
    </row>
    <row r="265" spans="1:15" x14ac:dyDescent="0.3">
      <c r="A265" t="s">
        <v>277</v>
      </c>
      <c r="B265" s="1">
        <v>44822</v>
      </c>
      <c r="C265" t="s">
        <v>2277</v>
      </c>
      <c r="D265" t="s">
        <v>3999</v>
      </c>
      <c r="E265">
        <v>45</v>
      </c>
      <c r="F265" t="str">
        <f t="shared" si="4"/>
        <v>36-45</v>
      </c>
      <c r="G265" t="s">
        <v>4005</v>
      </c>
      <c r="H265" t="s">
        <v>4008</v>
      </c>
      <c r="I265" t="s">
        <v>4015</v>
      </c>
      <c r="J265">
        <v>7</v>
      </c>
      <c r="K265">
        <v>7851</v>
      </c>
      <c r="L265">
        <v>5</v>
      </c>
      <c r="M265">
        <v>54957</v>
      </c>
      <c r="N265">
        <v>2747.85</v>
      </c>
      <c r="O265">
        <v>52209.15</v>
      </c>
    </row>
    <row r="266" spans="1:15" x14ac:dyDescent="0.3">
      <c r="A266" t="s">
        <v>278</v>
      </c>
      <c r="B266" s="1">
        <v>44606</v>
      </c>
      <c r="C266" t="s">
        <v>2278</v>
      </c>
      <c r="D266" t="s">
        <v>3999</v>
      </c>
      <c r="E266">
        <v>54</v>
      </c>
      <c r="F266" t="str">
        <f t="shared" si="4"/>
        <v>46+</v>
      </c>
      <c r="G266" t="s">
        <v>4001</v>
      </c>
      <c r="H266" t="s">
        <v>4009</v>
      </c>
      <c r="I266" t="s">
        <v>4013</v>
      </c>
      <c r="J266">
        <v>4</v>
      </c>
      <c r="K266">
        <v>5531</v>
      </c>
      <c r="L266">
        <v>15</v>
      </c>
      <c r="M266">
        <v>22124</v>
      </c>
      <c r="N266">
        <v>3318.6</v>
      </c>
      <c r="O266">
        <v>18805.400000000001</v>
      </c>
    </row>
    <row r="267" spans="1:15" x14ac:dyDescent="0.3">
      <c r="A267" t="s">
        <v>279</v>
      </c>
      <c r="B267" s="1">
        <v>44873</v>
      </c>
      <c r="C267" t="s">
        <v>2279</v>
      </c>
      <c r="D267" t="s">
        <v>4000</v>
      </c>
      <c r="E267">
        <v>27</v>
      </c>
      <c r="F267" t="str">
        <f t="shared" si="4"/>
        <v>26-35</v>
      </c>
      <c r="G267" t="s">
        <v>4005</v>
      </c>
      <c r="H267" t="s">
        <v>4008</v>
      </c>
      <c r="I267" t="s">
        <v>4016</v>
      </c>
      <c r="J267">
        <v>2</v>
      </c>
      <c r="K267">
        <v>6207</v>
      </c>
      <c r="L267">
        <v>0</v>
      </c>
      <c r="M267">
        <v>12414</v>
      </c>
      <c r="N267">
        <v>0</v>
      </c>
      <c r="O267">
        <v>12414</v>
      </c>
    </row>
    <row r="268" spans="1:15" x14ac:dyDescent="0.3">
      <c r="A268" t="s">
        <v>280</v>
      </c>
      <c r="B268" s="1">
        <v>44838</v>
      </c>
      <c r="C268" t="s">
        <v>2280</v>
      </c>
      <c r="D268" t="s">
        <v>4000</v>
      </c>
      <c r="E268">
        <v>59</v>
      </c>
      <c r="F268" t="str">
        <f t="shared" si="4"/>
        <v>46+</v>
      </c>
      <c r="G268" t="s">
        <v>4006</v>
      </c>
      <c r="H268" t="s">
        <v>4012</v>
      </c>
      <c r="I268" t="s">
        <v>4014</v>
      </c>
      <c r="J268">
        <v>1</v>
      </c>
      <c r="K268">
        <v>7225</v>
      </c>
      <c r="L268">
        <v>0</v>
      </c>
      <c r="M268">
        <v>7225</v>
      </c>
      <c r="N268">
        <v>0</v>
      </c>
      <c r="O268">
        <v>7225</v>
      </c>
    </row>
    <row r="269" spans="1:15" x14ac:dyDescent="0.3">
      <c r="A269" t="s">
        <v>281</v>
      </c>
      <c r="B269" s="1">
        <v>44995</v>
      </c>
      <c r="C269" t="s">
        <v>2281</v>
      </c>
      <c r="D269" t="s">
        <v>4000</v>
      </c>
      <c r="E269">
        <v>64</v>
      </c>
      <c r="F269" t="str">
        <f t="shared" si="4"/>
        <v>46+</v>
      </c>
      <c r="G269" t="s">
        <v>4002</v>
      </c>
      <c r="H269" t="s">
        <v>4009</v>
      </c>
      <c r="I269" t="s">
        <v>4013</v>
      </c>
      <c r="J269">
        <v>6</v>
      </c>
      <c r="K269">
        <v>3792</v>
      </c>
      <c r="L269">
        <v>0</v>
      </c>
      <c r="M269">
        <v>22752</v>
      </c>
      <c r="N269">
        <v>0</v>
      </c>
      <c r="O269">
        <v>22752</v>
      </c>
    </row>
    <row r="270" spans="1:15" x14ac:dyDescent="0.3">
      <c r="A270" t="s">
        <v>282</v>
      </c>
      <c r="B270" s="1">
        <v>44836</v>
      </c>
      <c r="C270" t="s">
        <v>2282</v>
      </c>
      <c r="D270" t="s">
        <v>3999</v>
      </c>
      <c r="E270">
        <v>36</v>
      </c>
      <c r="F270" t="str">
        <f t="shared" si="4"/>
        <v>36-45</v>
      </c>
      <c r="G270" t="s">
        <v>4005</v>
      </c>
      <c r="H270" t="s">
        <v>4007</v>
      </c>
      <c r="I270" t="s">
        <v>4014</v>
      </c>
      <c r="J270">
        <v>5</v>
      </c>
      <c r="K270">
        <v>7899</v>
      </c>
      <c r="L270">
        <v>5</v>
      </c>
      <c r="M270">
        <v>39495</v>
      </c>
      <c r="N270">
        <v>1974.75</v>
      </c>
      <c r="O270">
        <v>37520.25</v>
      </c>
    </row>
    <row r="271" spans="1:15" x14ac:dyDescent="0.3">
      <c r="A271" t="s">
        <v>283</v>
      </c>
      <c r="B271" s="1">
        <v>44746</v>
      </c>
      <c r="C271" t="s">
        <v>2283</v>
      </c>
      <c r="D271" t="s">
        <v>3999</v>
      </c>
      <c r="E271">
        <v>36</v>
      </c>
      <c r="F271" t="str">
        <f t="shared" si="4"/>
        <v>36-45</v>
      </c>
      <c r="G271" t="s">
        <v>4002</v>
      </c>
      <c r="H271" t="s">
        <v>4007</v>
      </c>
      <c r="I271" t="s">
        <v>4013</v>
      </c>
      <c r="J271">
        <v>1</v>
      </c>
      <c r="K271">
        <v>1473</v>
      </c>
      <c r="L271">
        <v>0</v>
      </c>
      <c r="M271">
        <v>1473</v>
      </c>
      <c r="N271">
        <v>0</v>
      </c>
      <c r="O271">
        <v>1473</v>
      </c>
    </row>
    <row r="272" spans="1:15" x14ac:dyDescent="0.3">
      <c r="A272" t="s">
        <v>284</v>
      </c>
      <c r="B272" s="1">
        <v>45223</v>
      </c>
      <c r="C272" t="s">
        <v>2284</v>
      </c>
      <c r="D272" t="s">
        <v>4000</v>
      </c>
      <c r="E272">
        <v>46</v>
      </c>
      <c r="F272" t="str">
        <f t="shared" si="4"/>
        <v>46+</v>
      </c>
      <c r="G272" t="s">
        <v>4003</v>
      </c>
      <c r="H272" t="s">
        <v>4008</v>
      </c>
      <c r="I272" t="s">
        <v>4014</v>
      </c>
      <c r="J272">
        <v>4</v>
      </c>
      <c r="K272">
        <v>6980</v>
      </c>
      <c r="L272">
        <v>15</v>
      </c>
      <c r="M272">
        <v>27920</v>
      </c>
      <c r="N272">
        <v>4188</v>
      </c>
      <c r="O272">
        <v>23732</v>
      </c>
    </row>
    <row r="273" spans="1:15" x14ac:dyDescent="0.3">
      <c r="A273" t="s">
        <v>285</v>
      </c>
      <c r="B273" s="1">
        <v>44683</v>
      </c>
      <c r="C273" t="s">
        <v>2285</v>
      </c>
      <c r="D273" t="s">
        <v>4000</v>
      </c>
      <c r="E273">
        <v>61</v>
      </c>
      <c r="F273" t="str">
        <f t="shared" si="4"/>
        <v>46+</v>
      </c>
      <c r="G273" t="s">
        <v>4001</v>
      </c>
      <c r="H273" t="s">
        <v>4009</v>
      </c>
      <c r="I273" t="s">
        <v>4013</v>
      </c>
      <c r="J273">
        <v>2</v>
      </c>
      <c r="K273">
        <v>7038</v>
      </c>
      <c r="L273">
        <v>0</v>
      </c>
      <c r="M273">
        <v>14076</v>
      </c>
      <c r="N273">
        <v>0</v>
      </c>
      <c r="O273">
        <v>14076</v>
      </c>
    </row>
    <row r="274" spans="1:15" x14ac:dyDescent="0.3">
      <c r="A274" t="s">
        <v>286</v>
      </c>
      <c r="B274" s="1">
        <v>44968</v>
      </c>
      <c r="C274" t="s">
        <v>2286</v>
      </c>
      <c r="D274" t="s">
        <v>4000</v>
      </c>
      <c r="E274">
        <v>54</v>
      </c>
      <c r="F274" t="str">
        <f t="shared" si="4"/>
        <v>46+</v>
      </c>
      <c r="G274" t="s">
        <v>4004</v>
      </c>
      <c r="H274" t="s">
        <v>4009</v>
      </c>
      <c r="I274" t="s">
        <v>4015</v>
      </c>
      <c r="J274">
        <v>3</v>
      </c>
      <c r="K274">
        <v>4666</v>
      </c>
      <c r="L274">
        <v>5</v>
      </c>
      <c r="M274">
        <v>13998</v>
      </c>
      <c r="N274">
        <v>699.9</v>
      </c>
      <c r="O274">
        <v>13298.1</v>
      </c>
    </row>
    <row r="275" spans="1:15" x14ac:dyDescent="0.3">
      <c r="A275" t="s">
        <v>287</v>
      </c>
      <c r="B275" s="1">
        <v>44580</v>
      </c>
      <c r="C275" t="s">
        <v>2287</v>
      </c>
      <c r="D275" t="s">
        <v>3999</v>
      </c>
      <c r="E275">
        <v>49</v>
      </c>
      <c r="F275" t="str">
        <f t="shared" si="4"/>
        <v>46+</v>
      </c>
      <c r="G275" t="s">
        <v>4001</v>
      </c>
      <c r="H275" t="s">
        <v>4011</v>
      </c>
      <c r="I275" t="s">
        <v>4016</v>
      </c>
      <c r="J275">
        <v>4</v>
      </c>
      <c r="K275">
        <v>5360</v>
      </c>
      <c r="L275">
        <v>0</v>
      </c>
      <c r="M275">
        <v>21440</v>
      </c>
      <c r="N275">
        <v>0</v>
      </c>
      <c r="O275">
        <v>21440</v>
      </c>
    </row>
    <row r="276" spans="1:15" x14ac:dyDescent="0.3">
      <c r="A276" t="s">
        <v>288</v>
      </c>
      <c r="B276" s="1">
        <v>44809</v>
      </c>
      <c r="C276" t="s">
        <v>2288</v>
      </c>
      <c r="D276" t="s">
        <v>4000</v>
      </c>
      <c r="E276">
        <v>58</v>
      </c>
      <c r="F276" t="str">
        <f t="shared" si="4"/>
        <v>46+</v>
      </c>
      <c r="G276" t="s">
        <v>4002</v>
      </c>
      <c r="H276" t="s">
        <v>4010</v>
      </c>
      <c r="I276" t="s">
        <v>4014</v>
      </c>
      <c r="J276">
        <v>3</v>
      </c>
      <c r="K276">
        <v>1353</v>
      </c>
      <c r="L276">
        <v>15</v>
      </c>
      <c r="M276">
        <v>4059</v>
      </c>
      <c r="N276">
        <v>608.85</v>
      </c>
      <c r="O276">
        <v>3450.15</v>
      </c>
    </row>
    <row r="277" spans="1:15" x14ac:dyDescent="0.3">
      <c r="A277" t="s">
        <v>289</v>
      </c>
      <c r="B277" s="1">
        <v>44567</v>
      </c>
      <c r="C277" t="s">
        <v>2289</v>
      </c>
      <c r="D277" t="s">
        <v>3999</v>
      </c>
      <c r="E277">
        <v>35</v>
      </c>
      <c r="F277" t="str">
        <f t="shared" si="4"/>
        <v>26-35</v>
      </c>
      <c r="G277" t="s">
        <v>4004</v>
      </c>
      <c r="H277" t="s">
        <v>4008</v>
      </c>
      <c r="I277" t="s">
        <v>4014</v>
      </c>
      <c r="J277">
        <v>2</v>
      </c>
      <c r="K277">
        <v>6874</v>
      </c>
      <c r="L277">
        <v>5</v>
      </c>
      <c r="M277">
        <v>13748</v>
      </c>
      <c r="N277">
        <v>687.4</v>
      </c>
      <c r="O277">
        <v>13060.6</v>
      </c>
    </row>
    <row r="278" spans="1:15" x14ac:dyDescent="0.3">
      <c r="A278" t="s">
        <v>290</v>
      </c>
      <c r="B278" s="1">
        <v>45207</v>
      </c>
      <c r="C278" t="s">
        <v>2290</v>
      </c>
      <c r="D278" t="s">
        <v>3999</v>
      </c>
      <c r="E278">
        <v>56</v>
      </c>
      <c r="F278" t="str">
        <f t="shared" si="4"/>
        <v>46+</v>
      </c>
      <c r="G278" t="s">
        <v>4006</v>
      </c>
      <c r="H278" t="s">
        <v>4007</v>
      </c>
      <c r="I278" t="s">
        <v>4016</v>
      </c>
      <c r="J278">
        <v>3</v>
      </c>
      <c r="K278">
        <v>6195</v>
      </c>
      <c r="L278">
        <v>0</v>
      </c>
      <c r="M278">
        <v>18585</v>
      </c>
      <c r="N278">
        <v>0</v>
      </c>
      <c r="O278">
        <v>18585</v>
      </c>
    </row>
    <row r="279" spans="1:15" x14ac:dyDescent="0.3">
      <c r="A279" t="s">
        <v>291</v>
      </c>
      <c r="B279" s="1">
        <v>45041</v>
      </c>
      <c r="C279" t="s">
        <v>2291</v>
      </c>
      <c r="D279" t="s">
        <v>3999</v>
      </c>
      <c r="E279">
        <v>54</v>
      </c>
      <c r="F279" t="str">
        <f t="shared" si="4"/>
        <v>46+</v>
      </c>
      <c r="G279" t="s">
        <v>4003</v>
      </c>
      <c r="H279" t="s">
        <v>4008</v>
      </c>
      <c r="I279" t="s">
        <v>4017</v>
      </c>
      <c r="J279">
        <v>1</v>
      </c>
      <c r="K279">
        <v>5398</v>
      </c>
      <c r="L279">
        <v>10</v>
      </c>
      <c r="M279">
        <v>5398</v>
      </c>
      <c r="N279">
        <v>539.79999999999995</v>
      </c>
      <c r="O279">
        <v>4858.2</v>
      </c>
    </row>
    <row r="280" spans="1:15" x14ac:dyDescent="0.3">
      <c r="A280" t="s">
        <v>292</v>
      </c>
      <c r="B280" s="1">
        <v>44719</v>
      </c>
      <c r="C280" t="s">
        <v>2292</v>
      </c>
      <c r="D280" t="s">
        <v>4000</v>
      </c>
      <c r="E280">
        <v>18</v>
      </c>
      <c r="F280" t="str">
        <f t="shared" si="4"/>
        <v>18-25</v>
      </c>
      <c r="G280" t="s">
        <v>4002</v>
      </c>
      <c r="H280" t="s">
        <v>4010</v>
      </c>
      <c r="I280" t="s">
        <v>4017</v>
      </c>
      <c r="J280">
        <v>2</v>
      </c>
      <c r="K280">
        <v>4572</v>
      </c>
      <c r="L280">
        <v>5</v>
      </c>
      <c r="M280">
        <v>9144</v>
      </c>
      <c r="N280">
        <v>457.2</v>
      </c>
      <c r="O280">
        <v>8686.7999999999993</v>
      </c>
    </row>
    <row r="281" spans="1:15" x14ac:dyDescent="0.3">
      <c r="A281" t="s">
        <v>293</v>
      </c>
      <c r="B281" s="1">
        <v>44962</v>
      </c>
      <c r="C281" t="s">
        <v>2293</v>
      </c>
      <c r="D281" t="s">
        <v>4000</v>
      </c>
      <c r="E281">
        <v>20</v>
      </c>
      <c r="F281" t="str">
        <f t="shared" si="4"/>
        <v>18-25</v>
      </c>
      <c r="G281" t="s">
        <v>4001</v>
      </c>
      <c r="H281" t="s">
        <v>4009</v>
      </c>
      <c r="I281" t="s">
        <v>4013</v>
      </c>
      <c r="J281">
        <v>4</v>
      </c>
      <c r="K281">
        <v>2236</v>
      </c>
      <c r="L281">
        <v>15</v>
      </c>
      <c r="M281">
        <v>8944</v>
      </c>
      <c r="N281">
        <v>1341.6</v>
      </c>
      <c r="O281">
        <v>7602.4</v>
      </c>
    </row>
    <row r="282" spans="1:15" x14ac:dyDescent="0.3">
      <c r="A282" t="s">
        <v>294</v>
      </c>
      <c r="B282" s="1">
        <v>44808</v>
      </c>
      <c r="C282" t="s">
        <v>2294</v>
      </c>
      <c r="D282" t="s">
        <v>4000</v>
      </c>
      <c r="E282">
        <v>53</v>
      </c>
      <c r="F282" t="str">
        <f t="shared" si="4"/>
        <v>46+</v>
      </c>
      <c r="G282" t="s">
        <v>4003</v>
      </c>
      <c r="H282" t="s">
        <v>4009</v>
      </c>
      <c r="I282" t="s">
        <v>4017</v>
      </c>
      <c r="J282">
        <v>4</v>
      </c>
      <c r="K282">
        <v>5696</v>
      </c>
      <c r="L282">
        <v>10</v>
      </c>
      <c r="M282">
        <v>22784</v>
      </c>
      <c r="N282">
        <v>2278.4</v>
      </c>
      <c r="O282">
        <v>20505.599999999999</v>
      </c>
    </row>
    <row r="283" spans="1:15" x14ac:dyDescent="0.3">
      <c r="A283" t="s">
        <v>295</v>
      </c>
      <c r="B283" s="1">
        <v>44630</v>
      </c>
      <c r="C283" t="s">
        <v>2295</v>
      </c>
      <c r="D283" t="s">
        <v>4000</v>
      </c>
      <c r="E283">
        <v>25</v>
      </c>
      <c r="F283" t="str">
        <f t="shared" si="4"/>
        <v>18-25</v>
      </c>
      <c r="G283" t="s">
        <v>4005</v>
      </c>
      <c r="H283" t="s">
        <v>4010</v>
      </c>
      <c r="I283" t="s">
        <v>4014</v>
      </c>
      <c r="J283">
        <v>4</v>
      </c>
      <c r="K283">
        <v>5514</v>
      </c>
      <c r="L283">
        <v>20</v>
      </c>
      <c r="M283">
        <v>22056</v>
      </c>
      <c r="N283">
        <v>4411.2</v>
      </c>
      <c r="O283">
        <v>17644.8</v>
      </c>
    </row>
    <row r="284" spans="1:15" x14ac:dyDescent="0.3">
      <c r="A284" t="s">
        <v>296</v>
      </c>
      <c r="B284" s="1">
        <v>44800</v>
      </c>
      <c r="C284" t="s">
        <v>2296</v>
      </c>
      <c r="D284" t="s">
        <v>3999</v>
      </c>
      <c r="E284">
        <v>36</v>
      </c>
      <c r="F284" t="str">
        <f t="shared" si="4"/>
        <v>36-45</v>
      </c>
      <c r="G284" t="s">
        <v>4004</v>
      </c>
      <c r="H284" t="s">
        <v>4008</v>
      </c>
      <c r="I284" t="s">
        <v>4013</v>
      </c>
      <c r="J284">
        <v>4</v>
      </c>
      <c r="K284">
        <v>1847</v>
      </c>
      <c r="L284">
        <v>15</v>
      </c>
      <c r="M284">
        <v>7388</v>
      </c>
      <c r="N284">
        <v>1108.2</v>
      </c>
      <c r="O284">
        <v>6279.8</v>
      </c>
    </row>
    <row r="285" spans="1:15" x14ac:dyDescent="0.3">
      <c r="A285" t="s">
        <v>297</v>
      </c>
      <c r="B285" s="1">
        <v>44664</v>
      </c>
      <c r="C285" t="s">
        <v>2297</v>
      </c>
      <c r="D285" t="s">
        <v>4000</v>
      </c>
      <c r="E285">
        <v>52</v>
      </c>
      <c r="F285" t="str">
        <f t="shared" si="4"/>
        <v>46+</v>
      </c>
      <c r="G285" t="s">
        <v>4005</v>
      </c>
      <c r="H285" t="s">
        <v>4007</v>
      </c>
      <c r="I285" t="s">
        <v>4015</v>
      </c>
      <c r="J285">
        <v>7</v>
      </c>
      <c r="K285">
        <v>2857</v>
      </c>
      <c r="L285">
        <v>0</v>
      </c>
      <c r="M285">
        <v>19999</v>
      </c>
      <c r="N285">
        <v>0</v>
      </c>
      <c r="O285">
        <v>19999</v>
      </c>
    </row>
    <row r="286" spans="1:15" x14ac:dyDescent="0.3">
      <c r="A286" t="s">
        <v>298</v>
      </c>
      <c r="B286" s="1">
        <v>45279</v>
      </c>
      <c r="C286" t="s">
        <v>2298</v>
      </c>
      <c r="D286" t="s">
        <v>4000</v>
      </c>
      <c r="E286">
        <v>26</v>
      </c>
      <c r="F286" t="str">
        <f t="shared" si="4"/>
        <v>26-35</v>
      </c>
      <c r="G286" t="s">
        <v>4005</v>
      </c>
      <c r="H286" t="s">
        <v>4008</v>
      </c>
      <c r="I286" t="s">
        <v>4017</v>
      </c>
      <c r="J286">
        <v>2</v>
      </c>
      <c r="K286">
        <v>7250</v>
      </c>
      <c r="L286">
        <v>0</v>
      </c>
      <c r="M286">
        <v>14500</v>
      </c>
      <c r="N286">
        <v>0</v>
      </c>
      <c r="O286">
        <v>14500</v>
      </c>
    </row>
    <row r="287" spans="1:15" x14ac:dyDescent="0.3">
      <c r="A287" t="s">
        <v>299</v>
      </c>
      <c r="B287" s="1">
        <v>45012</v>
      </c>
      <c r="C287" t="s">
        <v>2299</v>
      </c>
      <c r="D287" t="s">
        <v>4000</v>
      </c>
      <c r="E287">
        <v>43</v>
      </c>
      <c r="F287" t="str">
        <f t="shared" si="4"/>
        <v>36-45</v>
      </c>
      <c r="G287" t="s">
        <v>4001</v>
      </c>
      <c r="H287" t="s">
        <v>4009</v>
      </c>
      <c r="I287" t="s">
        <v>4014</v>
      </c>
      <c r="J287">
        <v>2</v>
      </c>
      <c r="K287">
        <v>1407</v>
      </c>
      <c r="L287">
        <v>0</v>
      </c>
      <c r="M287">
        <v>2814</v>
      </c>
      <c r="N287">
        <v>0</v>
      </c>
      <c r="O287">
        <v>2814</v>
      </c>
    </row>
    <row r="288" spans="1:15" x14ac:dyDescent="0.3">
      <c r="A288" t="s">
        <v>300</v>
      </c>
      <c r="B288" s="1">
        <v>44650</v>
      </c>
      <c r="C288" t="s">
        <v>2300</v>
      </c>
      <c r="D288" t="s">
        <v>4000</v>
      </c>
      <c r="E288">
        <v>64</v>
      </c>
      <c r="F288" t="str">
        <f t="shared" si="4"/>
        <v>46+</v>
      </c>
      <c r="G288" t="s">
        <v>4003</v>
      </c>
      <c r="H288" t="s">
        <v>4007</v>
      </c>
      <c r="I288" t="s">
        <v>4014</v>
      </c>
      <c r="J288">
        <v>4</v>
      </c>
      <c r="K288">
        <v>6839</v>
      </c>
      <c r="L288">
        <v>0</v>
      </c>
      <c r="M288">
        <v>27356</v>
      </c>
      <c r="N288">
        <v>0</v>
      </c>
      <c r="O288">
        <v>27356</v>
      </c>
    </row>
    <row r="289" spans="1:15" x14ac:dyDescent="0.3">
      <c r="A289" t="s">
        <v>301</v>
      </c>
      <c r="B289" s="1">
        <v>44653</v>
      </c>
      <c r="C289" t="s">
        <v>2301</v>
      </c>
      <c r="D289" t="s">
        <v>4000</v>
      </c>
      <c r="E289">
        <v>20</v>
      </c>
      <c r="F289" t="str">
        <f t="shared" si="4"/>
        <v>18-25</v>
      </c>
      <c r="G289" t="s">
        <v>4004</v>
      </c>
      <c r="H289" t="s">
        <v>4008</v>
      </c>
      <c r="I289" t="s">
        <v>4014</v>
      </c>
      <c r="J289">
        <v>7</v>
      </c>
      <c r="K289">
        <v>7689</v>
      </c>
      <c r="L289">
        <v>10</v>
      </c>
      <c r="M289">
        <v>53823</v>
      </c>
      <c r="N289">
        <v>5382.3</v>
      </c>
      <c r="O289">
        <v>48440.7</v>
      </c>
    </row>
    <row r="290" spans="1:15" x14ac:dyDescent="0.3">
      <c r="A290" t="s">
        <v>302</v>
      </c>
      <c r="B290" s="1">
        <v>45001</v>
      </c>
      <c r="C290" t="s">
        <v>2302</v>
      </c>
      <c r="D290" t="s">
        <v>3999</v>
      </c>
      <c r="E290">
        <v>39</v>
      </c>
      <c r="F290" t="str">
        <f t="shared" si="4"/>
        <v>36-45</v>
      </c>
      <c r="G290" t="s">
        <v>4003</v>
      </c>
      <c r="H290" t="s">
        <v>4010</v>
      </c>
      <c r="I290" t="s">
        <v>4015</v>
      </c>
      <c r="J290">
        <v>1</v>
      </c>
      <c r="K290">
        <v>5335</v>
      </c>
      <c r="L290">
        <v>0</v>
      </c>
      <c r="M290">
        <v>5335</v>
      </c>
      <c r="N290">
        <v>0</v>
      </c>
      <c r="O290">
        <v>5335</v>
      </c>
    </row>
    <row r="291" spans="1:15" x14ac:dyDescent="0.3">
      <c r="A291" t="s">
        <v>303</v>
      </c>
      <c r="B291" s="1">
        <v>44578</v>
      </c>
      <c r="C291" t="s">
        <v>2303</v>
      </c>
      <c r="D291" t="s">
        <v>4000</v>
      </c>
      <c r="E291">
        <v>38</v>
      </c>
      <c r="F291" t="str">
        <f t="shared" si="4"/>
        <v>36-45</v>
      </c>
      <c r="G291" t="s">
        <v>4006</v>
      </c>
      <c r="H291" t="s">
        <v>4011</v>
      </c>
      <c r="I291" t="s">
        <v>4015</v>
      </c>
      <c r="J291">
        <v>3</v>
      </c>
      <c r="K291">
        <v>903</v>
      </c>
      <c r="L291">
        <v>0</v>
      </c>
      <c r="M291">
        <v>2709</v>
      </c>
      <c r="N291">
        <v>0</v>
      </c>
      <c r="O291">
        <v>2709</v>
      </c>
    </row>
    <row r="292" spans="1:15" x14ac:dyDescent="0.3">
      <c r="A292" t="s">
        <v>304</v>
      </c>
      <c r="B292" s="1">
        <v>45056</v>
      </c>
      <c r="C292" t="s">
        <v>2304</v>
      </c>
      <c r="D292" t="s">
        <v>4000</v>
      </c>
      <c r="E292">
        <v>28</v>
      </c>
      <c r="F292" t="str">
        <f t="shared" si="4"/>
        <v>26-35</v>
      </c>
      <c r="G292" t="s">
        <v>4004</v>
      </c>
      <c r="H292" t="s">
        <v>4012</v>
      </c>
      <c r="I292" t="s">
        <v>4015</v>
      </c>
      <c r="J292">
        <v>2</v>
      </c>
      <c r="K292">
        <v>6632</v>
      </c>
      <c r="L292">
        <v>0</v>
      </c>
      <c r="M292">
        <v>13264</v>
      </c>
      <c r="N292">
        <v>0</v>
      </c>
      <c r="O292">
        <v>13264</v>
      </c>
    </row>
    <row r="293" spans="1:15" x14ac:dyDescent="0.3">
      <c r="A293" t="s">
        <v>305</v>
      </c>
      <c r="B293" s="1">
        <v>44942</v>
      </c>
      <c r="C293" t="s">
        <v>2305</v>
      </c>
      <c r="D293" t="s">
        <v>3999</v>
      </c>
      <c r="E293">
        <v>46</v>
      </c>
      <c r="F293" t="str">
        <f t="shared" si="4"/>
        <v>46+</v>
      </c>
      <c r="G293" t="s">
        <v>4002</v>
      </c>
      <c r="H293" t="s">
        <v>4012</v>
      </c>
      <c r="I293" t="s">
        <v>4013</v>
      </c>
      <c r="J293">
        <v>2</v>
      </c>
      <c r="K293">
        <v>2094</v>
      </c>
      <c r="L293">
        <v>0</v>
      </c>
      <c r="M293">
        <v>4188</v>
      </c>
      <c r="N293">
        <v>0</v>
      </c>
      <c r="O293">
        <v>4188</v>
      </c>
    </row>
    <row r="294" spans="1:15" x14ac:dyDescent="0.3">
      <c r="A294" t="s">
        <v>306</v>
      </c>
      <c r="B294" s="1">
        <v>45207</v>
      </c>
      <c r="C294" t="s">
        <v>2306</v>
      </c>
      <c r="D294" t="s">
        <v>4000</v>
      </c>
      <c r="E294">
        <v>26</v>
      </c>
      <c r="F294" t="str">
        <f t="shared" si="4"/>
        <v>26-35</v>
      </c>
      <c r="G294" t="s">
        <v>4005</v>
      </c>
      <c r="H294" t="s">
        <v>4008</v>
      </c>
      <c r="I294" t="s">
        <v>4017</v>
      </c>
      <c r="J294">
        <v>4</v>
      </c>
      <c r="K294">
        <v>4675</v>
      </c>
      <c r="L294">
        <v>15</v>
      </c>
      <c r="M294">
        <v>18700</v>
      </c>
      <c r="N294">
        <v>2805</v>
      </c>
      <c r="O294">
        <v>15895</v>
      </c>
    </row>
    <row r="295" spans="1:15" x14ac:dyDescent="0.3">
      <c r="A295" t="s">
        <v>307</v>
      </c>
      <c r="B295" s="1">
        <v>44666</v>
      </c>
      <c r="C295" t="s">
        <v>2307</v>
      </c>
      <c r="D295" t="s">
        <v>4000</v>
      </c>
      <c r="E295">
        <v>28</v>
      </c>
      <c r="F295" t="str">
        <f t="shared" si="4"/>
        <v>26-35</v>
      </c>
      <c r="G295" t="s">
        <v>4001</v>
      </c>
      <c r="H295" t="s">
        <v>4012</v>
      </c>
      <c r="I295" t="s">
        <v>4013</v>
      </c>
      <c r="J295">
        <v>1</v>
      </c>
      <c r="K295">
        <v>5666</v>
      </c>
      <c r="L295">
        <v>0</v>
      </c>
      <c r="M295">
        <v>5666</v>
      </c>
      <c r="N295">
        <v>0</v>
      </c>
      <c r="O295">
        <v>5666</v>
      </c>
    </row>
    <row r="296" spans="1:15" x14ac:dyDescent="0.3">
      <c r="A296" t="s">
        <v>308</v>
      </c>
      <c r="B296" s="1">
        <v>45167</v>
      </c>
      <c r="C296" t="s">
        <v>2308</v>
      </c>
      <c r="D296" t="s">
        <v>4000</v>
      </c>
      <c r="E296">
        <v>25</v>
      </c>
      <c r="F296" t="str">
        <f t="shared" si="4"/>
        <v>18-25</v>
      </c>
      <c r="G296" t="s">
        <v>4006</v>
      </c>
      <c r="H296" t="s">
        <v>4010</v>
      </c>
      <c r="I296" t="s">
        <v>4016</v>
      </c>
      <c r="J296">
        <v>1</v>
      </c>
      <c r="K296">
        <v>7731</v>
      </c>
      <c r="L296">
        <v>0</v>
      </c>
      <c r="M296">
        <v>7731</v>
      </c>
      <c r="N296">
        <v>0</v>
      </c>
      <c r="O296">
        <v>7731</v>
      </c>
    </row>
    <row r="297" spans="1:15" x14ac:dyDescent="0.3">
      <c r="A297" t="s">
        <v>309</v>
      </c>
      <c r="B297" s="1">
        <v>44635</v>
      </c>
      <c r="C297" t="s">
        <v>2309</v>
      </c>
      <c r="D297" t="s">
        <v>3999</v>
      </c>
      <c r="E297">
        <v>37</v>
      </c>
      <c r="F297" t="str">
        <f t="shared" si="4"/>
        <v>36-45</v>
      </c>
      <c r="G297" t="s">
        <v>4003</v>
      </c>
      <c r="H297" t="s">
        <v>4007</v>
      </c>
      <c r="I297" t="s">
        <v>4017</v>
      </c>
      <c r="J297">
        <v>2</v>
      </c>
      <c r="K297">
        <v>364</v>
      </c>
      <c r="L297">
        <v>10</v>
      </c>
      <c r="M297">
        <v>728</v>
      </c>
      <c r="N297">
        <v>72.8</v>
      </c>
      <c r="O297">
        <v>655.20000000000005</v>
      </c>
    </row>
    <row r="298" spans="1:15" x14ac:dyDescent="0.3">
      <c r="A298" t="s">
        <v>310</v>
      </c>
      <c r="B298" s="1">
        <v>44990</v>
      </c>
      <c r="C298" t="s">
        <v>2310</v>
      </c>
      <c r="D298" t="s">
        <v>4000</v>
      </c>
      <c r="E298">
        <v>41</v>
      </c>
      <c r="F298" t="str">
        <f t="shared" si="4"/>
        <v>36-45</v>
      </c>
      <c r="G298" t="s">
        <v>4002</v>
      </c>
      <c r="H298" t="s">
        <v>4008</v>
      </c>
      <c r="I298" t="s">
        <v>4017</v>
      </c>
      <c r="J298">
        <v>7</v>
      </c>
      <c r="K298">
        <v>3866</v>
      </c>
      <c r="L298">
        <v>15</v>
      </c>
      <c r="M298">
        <v>27062</v>
      </c>
      <c r="N298">
        <v>4059.3</v>
      </c>
      <c r="O298">
        <v>23002.7</v>
      </c>
    </row>
    <row r="299" spans="1:15" x14ac:dyDescent="0.3">
      <c r="A299" t="s">
        <v>311</v>
      </c>
      <c r="B299" s="1">
        <v>45257</v>
      </c>
      <c r="C299" t="s">
        <v>2311</v>
      </c>
      <c r="D299" t="s">
        <v>4000</v>
      </c>
      <c r="E299">
        <v>21</v>
      </c>
      <c r="F299" t="str">
        <f t="shared" si="4"/>
        <v>18-25</v>
      </c>
      <c r="G299" t="s">
        <v>4004</v>
      </c>
      <c r="H299" t="s">
        <v>4009</v>
      </c>
      <c r="I299" t="s">
        <v>4013</v>
      </c>
      <c r="J299">
        <v>6</v>
      </c>
      <c r="K299">
        <v>6724</v>
      </c>
      <c r="L299">
        <v>10</v>
      </c>
      <c r="M299">
        <v>40344</v>
      </c>
      <c r="N299">
        <v>4034.4</v>
      </c>
      <c r="O299">
        <v>36309.599999999999</v>
      </c>
    </row>
    <row r="300" spans="1:15" x14ac:dyDescent="0.3">
      <c r="A300" t="s">
        <v>312</v>
      </c>
      <c r="B300" s="1">
        <v>44857</v>
      </c>
      <c r="C300" t="s">
        <v>2312</v>
      </c>
      <c r="D300" t="s">
        <v>3999</v>
      </c>
      <c r="E300">
        <v>36</v>
      </c>
      <c r="F300" t="str">
        <f t="shared" si="4"/>
        <v>36-45</v>
      </c>
      <c r="G300" t="s">
        <v>4006</v>
      </c>
      <c r="H300" t="s">
        <v>4010</v>
      </c>
      <c r="I300" t="s">
        <v>4015</v>
      </c>
      <c r="J300">
        <v>6</v>
      </c>
      <c r="K300">
        <v>5740</v>
      </c>
      <c r="L300">
        <v>0</v>
      </c>
      <c r="M300">
        <v>34440</v>
      </c>
      <c r="N300">
        <v>0</v>
      </c>
      <c r="O300">
        <v>34440</v>
      </c>
    </row>
    <row r="301" spans="1:15" x14ac:dyDescent="0.3">
      <c r="A301" t="s">
        <v>313</v>
      </c>
      <c r="B301" s="1">
        <v>44768</v>
      </c>
      <c r="C301" t="s">
        <v>2313</v>
      </c>
      <c r="D301" t="s">
        <v>4000</v>
      </c>
      <c r="E301">
        <v>28</v>
      </c>
      <c r="F301" t="str">
        <f t="shared" si="4"/>
        <v>26-35</v>
      </c>
      <c r="G301" t="s">
        <v>4002</v>
      </c>
      <c r="H301" t="s">
        <v>4008</v>
      </c>
      <c r="I301" t="s">
        <v>4014</v>
      </c>
      <c r="J301">
        <v>5</v>
      </c>
      <c r="K301">
        <v>5100</v>
      </c>
      <c r="L301">
        <v>15</v>
      </c>
      <c r="M301">
        <v>25500</v>
      </c>
      <c r="N301">
        <v>3825</v>
      </c>
      <c r="O301">
        <v>21675</v>
      </c>
    </row>
    <row r="302" spans="1:15" x14ac:dyDescent="0.3">
      <c r="A302" t="s">
        <v>314</v>
      </c>
      <c r="B302" s="1">
        <v>44752</v>
      </c>
      <c r="C302" t="s">
        <v>2314</v>
      </c>
      <c r="D302" t="s">
        <v>4000</v>
      </c>
      <c r="E302">
        <v>56</v>
      </c>
      <c r="F302" t="str">
        <f t="shared" si="4"/>
        <v>46+</v>
      </c>
      <c r="G302" t="s">
        <v>4004</v>
      </c>
      <c r="H302" t="s">
        <v>4007</v>
      </c>
      <c r="I302" t="s">
        <v>4015</v>
      </c>
      <c r="J302">
        <v>7</v>
      </c>
      <c r="K302">
        <v>5202</v>
      </c>
      <c r="L302">
        <v>0</v>
      </c>
      <c r="M302">
        <v>36414</v>
      </c>
      <c r="N302">
        <v>0</v>
      </c>
      <c r="O302">
        <v>36414</v>
      </c>
    </row>
    <row r="303" spans="1:15" x14ac:dyDescent="0.3">
      <c r="A303" t="s">
        <v>315</v>
      </c>
      <c r="B303" s="1">
        <v>44948</v>
      </c>
      <c r="C303" t="s">
        <v>2315</v>
      </c>
      <c r="D303" t="s">
        <v>4000</v>
      </c>
      <c r="E303">
        <v>46</v>
      </c>
      <c r="F303" t="str">
        <f t="shared" si="4"/>
        <v>46+</v>
      </c>
      <c r="G303" t="s">
        <v>4001</v>
      </c>
      <c r="H303" t="s">
        <v>4010</v>
      </c>
      <c r="I303" t="s">
        <v>4016</v>
      </c>
      <c r="J303">
        <v>5</v>
      </c>
      <c r="K303">
        <v>5788</v>
      </c>
      <c r="L303">
        <v>15</v>
      </c>
      <c r="M303">
        <v>28940</v>
      </c>
      <c r="N303">
        <v>4341</v>
      </c>
      <c r="O303">
        <v>24599</v>
      </c>
    </row>
    <row r="304" spans="1:15" x14ac:dyDescent="0.3">
      <c r="A304" t="s">
        <v>316</v>
      </c>
      <c r="B304" s="1">
        <v>45111</v>
      </c>
      <c r="C304" t="s">
        <v>2316</v>
      </c>
      <c r="D304" t="s">
        <v>3999</v>
      </c>
      <c r="E304">
        <v>60</v>
      </c>
      <c r="F304" t="str">
        <f t="shared" si="4"/>
        <v>46+</v>
      </c>
      <c r="G304" t="s">
        <v>4004</v>
      </c>
      <c r="H304" t="s">
        <v>4012</v>
      </c>
      <c r="I304" t="s">
        <v>4017</v>
      </c>
      <c r="J304">
        <v>3</v>
      </c>
      <c r="K304">
        <v>6552</v>
      </c>
      <c r="L304">
        <v>5</v>
      </c>
      <c r="M304">
        <v>19656</v>
      </c>
      <c r="N304">
        <v>982.8</v>
      </c>
      <c r="O304">
        <v>18673.2</v>
      </c>
    </row>
    <row r="305" spans="1:15" x14ac:dyDescent="0.3">
      <c r="A305" t="s">
        <v>317</v>
      </c>
      <c r="B305" s="1">
        <v>44904</v>
      </c>
      <c r="C305" t="s">
        <v>2317</v>
      </c>
      <c r="D305" t="s">
        <v>3999</v>
      </c>
      <c r="E305">
        <v>47</v>
      </c>
      <c r="F305" t="str">
        <f t="shared" si="4"/>
        <v>46+</v>
      </c>
      <c r="G305" t="s">
        <v>4005</v>
      </c>
      <c r="H305" t="s">
        <v>4007</v>
      </c>
      <c r="I305" t="s">
        <v>4013</v>
      </c>
      <c r="J305">
        <v>3</v>
      </c>
      <c r="K305">
        <v>4560</v>
      </c>
      <c r="L305">
        <v>0</v>
      </c>
      <c r="M305">
        <v>13680</v>
      </c>
      <c r="N305">
        <v>0</v>
      </c>
      <c r="O305">
        <v>13680</v>
      </c>
    </row>
    <row r="306" spans="1:15" x14ac:dyDescent="0.3">
      <c r="A306" t="s">
        <v>318</v>
      </c>
      <c r="B306" s="1">
        <v>44803</v>
      </c>
      <c r="C306" t="s">
        <v>2318</v>
      </c>
      <c r="D306" t="s">
        <v>3999</v>
      </c>
      <c r="E306">
        <v>54</v>
      </c>
      <c r="F306" t="str">
        <f t="shared" si="4"/>
        <v>46+</v>
      </c>
      <c r="G306" t="s">
        <v>4003</v>
      </c>
      <c r="H306" t="s">
        <v>4008</v>
      </c>
      <c r="I306" t="s">
        <v>4016</v>
      </c>
      <c r="J306">
        <v>2</v>
      </c>
      <c r="K306">
        <v>4664</v>
      </c>
      <c r="L306">
        <v>0</v>
      </c>
      <c r="M306">
        <v>9328</v>
      </c>
      <c r="N306">
        <v>0</v>
      </c>
      <c r="O306">
        <v>9328</v>
      </c>
    </row>
    <row r="307" spans="1:15" x14ac:dyDescent="0.3">
      <c r="A307" t="s">
        <v>319</v>
      </c>
      <c r="B307" s="1">
        <v>44827</v>
      </c>
      <c r="C307" t="s">
        <v>2319</v>
      </c>
      <c r="D307" t="s">
        <v>4000</v>
      </c>
      <c r="E307">
        <v>21</v>
      </c>
      <c r="F307" t="str">
        <f t="shared" si="4"/>
        <v>18-25</v>
      </c>
      <c r="G307" t="s">
        <v>4001</v>
      </c>
      <c r="H307" t="s">
        <v>4008</v>
      </c>
      <c r="I307" t="s">
        <v>4015</v>
      </c>
      <c r="J307">
        <v>2</v>
      </c>
      <c r="K307">
        <v>7335</v>
      </c>
      <c r="L307">
        <v>15</v>
      </c>
      <c r="M307">
        <v>14670</v>
      </c>
      <c r="N307">
        <v>2200.5</v>
      </c>
      <c r="O307">
        <v>12469.5</v>
      </c>
    </row>
    <row r="308" spans="1:15" x14ac:dyDescent="0.3">
      <c r="A308" t="s">
        <v>320</v>
      </c>
      <c r="B308" s="1">
        <v>45237</v>
      </c>
      <c r="C308" t="s">
        <v>2320</v>
      </c>
      <c r="D308" t="s">
        <v>3999</v>
      </c>
      <c r="E308">
        <v>23</v>
      </c>
      <c r="F308" t="str">
        <f t="shared" si="4"/>
        <v>18-25</v>
      </c>
      <c r="G308" t="s">
        <v>4006</v>
      </c>
      <c r="H308" t="s">
        <v>4007</v>
      </c>
      <c r="I308" t="s">
        <v>4016</v>
      </c>
      <c r="J308">
        <v>4</v>
      </c>
      <c r="K308">
        <v>4778</v>
      </c>
      <c r="L308">
        <v>0</v>
      </c>
      <c r="M308">
        <v>19112</v>
      </c>
      <c r="N308">
        <v>0</v>
      </c>
      <c r="O308">
        <v>19112</v>
      </c>
    </row>
    <row r="309" spans="1:15" x14ac:dyDescent="0.3">
      <c r="A309" t="s">
        <v>321</v>
      </c>
      <c r="B309" s="1">
        <v>45089</v>
      </c>
      <c r="C309" t="s">
        <v>2321</v>
      </c>
      <c r="D309" t="s">
        <v>4000</v>
      </c>
      <c r="E309">
        <v>57</v>
      </c>
      <c r="F309" t="str">
        <f t="shared" si="4"/>
        <v>46+</v>
      </c>
      <c r="G309" t="s">
        <v>4001</v>
      </c>
      <c r="H309" t="s">
        <v>4010</v>
      </c>
      <c r="I309" t="s">
        <v>4014</v>
      </c>
      <c r="J309">
        <v>1</v>
      </c>
      <c r="K309">
        <v>5497</v>
      </c>
      <c r="L309">
        <v>0</v>
      </c>
      <c r="M309">
        <v>5497</v>
      </c>
      <c r="N309">
        <v>0</v>
      </c>
      <c r="O309">
        <v>5497</v>
      </c>
    </row>
    <row r="310" spans="1:15" x14ac:dyDescent="0.3">
      <c r="A310" t="s">
        <v>322</v>
      </c>
      <c r="B310" s="1">
        <v>45234</v>
      </c>
      <c r="C310" t="s">
        <v>2322</v>
      </c>
      <c r="D310" t="s">
        <v>4000</v>
      </c>
      <c r="E310">
        <v>23</v>
      </c>
      <c r="F310" t="str">
        <f t="shared" si="4"/>
        <v>18-25</v>
      </c>
      <c r="G310" t="s">
        <v>4006</v>
      </c>
      <c r="H310" t="s">
        <v>4007</v>
      </c>
      <c r="I310" t="s">
        <v>4015</v>
      </c>
      <c r="J310">
        <v>3</v>
      </c>
      <c r="K310">
        <v>850</v>
      </c>
      <c r="L310">
        <v>15</v>
      </c>
      <c r="M310">
        <v>2550</v>
      </c>
      <c r="N310">
        <v>382.5</v>
      </c>
      <c r="O310">
        <v>2167.5</v>
      </c>
    </row>
    <row r="311" spans="1:15" x14ac:dyDescent="0.3">
      <c r="A311" t="s">
        <v>323</v>
      </c>
      <c r="B311" s="1">
        <v>44760</v>
      </c>
      <c r="C311" t="s">
        <v>2323</v>
      </c>
      <c r="D311" t="s">
        <v>3999</v>
      </c>
      <c r="E311">
        <v>58</v>
      </c>
      <c r="F311" t="str">
        <f t="shared" si="4"/>
        <v>46+</v>
      </c>
      <c r="G311" t="s">
        <v>4004</v>
      </c>
      <c r="H311" t="s">
        <v>4007</v>
      </c>
      <c r="I311" t="s">
        <v>4017</v>
      </c>
      <c r="J311">
        <v>1</v>
      </c>
      <c r="K311">
        <v>5429</v>
      </c>
      <c r="L311">
        <v>5</v>
      </c>
      <c r="M311">
        <v>5429</v>
      </c>
      <c r="N311">
        <v>271.45</v>
      </c>
      <c r="O311">
        <v>5157.55</v>
      </c>
    </row>
    <row r="312" spans="1:15" x14ac:dyDescent="0.3">
      <c r="A312" t="s">
        <v>324</v>
      </c>
      <c r="B312" s="1">
        <v>45030</v>
      </c>
      <c r="C312" t="s">
        <v>2324</v>
      </c>
      <c r="D312" t="s">
        <v>4000</v>
      </c>
      <c r="E312">
        <v>34</v>
      </c>
      <c r="F312" t="str">
        <f t="shared" si="4"/>
        <v>26-35</v>
      </c>
      <c r="G312" t="s">
        <v>4003</v>
      </c>
      <c r="H312" t="s">
        <v>4008</v>
      </c>
      <c r="I312" t="s">
        <v>4015</v>
      </c>
      <c r="J312">
        <v>3</v>
      </c>
      <c r="K312">
        <v>2948</v>
      </c>
      <c r="L312">
        <v>15</v>
      </c>
      <c r="M312">
        <v>8844</v>
      </c>
      <c r="N312">
        <v>1326.6</v>
      </c>
      <c r="O312">
        <v>7517.4</v>
      </c>
    </row>
    <row r="313" spans="1:15" x14ac:dyDescent="0.3">
      <c r="A313" t="s">
        <v>325</v>
      </c>
      <c r="B313" s="1">
        <v>44774</v>
      </c>
      <c r="C313" t="s">
        <v>2325</v>
      </c>
      <c r="D313" t="s">
        <v>3999</v>
      </c>
      <c r="E313">
        <v>28</v>
      </c>
      <c r="F313" t="str">
        <f t="shared" si="4"/>
        <v>26-35</v>
      </c>
      <c r="G313" t="s">
        <v>4002</v>
      </c>
      <c r="H313" t="s">
        <v>4008</v>
      </c>
      <c r="I313" t="s">
        <v>4015</v>
      </c>
      <c r="J313">
        <v>2</v>
      </c>
      <c r="K313">
        <v>7838</v>
      </c>
      <c r="L313">
        <v>0</v>
      </c>
      <c r="M313">
        <v>15676</v>
      </c>
      <c r="N313">
        <v>0</v>
      </c>
      <c r="O313">
        <v>15676</v>
      </c>
    </row>
    <row r="314" spans="1:15" x14ac:dyDescent="0.3">
      <c r="A314" t="s">
        <v>326</v>
      </c>
      <c r="B314" s="1">
        <v>45107</v>
      </c>
      <c r="C314" t="s">
        <v>2326</v>
      </c>
      <c r="D314" t="s">
        <v>3999</v>
      </c>
      <c r="E314">
        <v>42</v>
      </c>
      <c r="F314" t="str">
        <f t="shared" si="4"/>
        <v>36-45</v>
      </c>
      <c r="G314" t="s">
        <v>4002</v>
      </c>
      <c r="H314" t="s">
        <v>4011</v>
      </c>
      <c r="I314" t="s">
        <v>4013</v>
      </c>
      <c r="J314">
        <v>3</v>
      </c>
      <c r="K314">
        <v>2020</v>
      </c>
      <c r="L314">
        <v>20</v>
      </c>
      <c r="M314">
        <v>6060</v>
      </c>
      <c r="N314">
        <v>1212</v>
      </c>
      <c r="O314">
        <v>4848</v>
      </c>
    </row>
    <row r="315" spans="1:15" x14ac:dyDescent="0.3">
      <c r="A315" t="s">
        <v>327</v>
      </c>
      <c r="B315" s="1">
        <v>45095</v>
      </c>
      <c r="C315" t="s">
        <v>2327</v>
      </c>
      <c r="D315" t="s">
        <v>4000</v>
      </c>
      <c r="E315">
        <v>36</v>
      </c>
      <c r="F315" t="str">
        <f t="shared" si="4"/>
        <v>36-45</v>
      </c>
      <c r="G315" t="s">
        <v>4006</v>
      </c>
      <c r="H315" t="s">
        <v>4011</v>
      </c>
      <c r="I315" t="s">
        <v>4013</v>
      </c>
      <c r="J315">
        <v>4</v>
      </c>
      <c r="K315">
        <v>2281</v>
      </c>
      <c r="L315">
        <v>5</v>
      </c>
      <c r="M315">
        <v>9124</v>
      </c>
      <c r="N315">
        <v>456.2</v>
      </c>
      <c r="O315">
        <v>8667.7999999999993</v>
      </c>
    </row>
    <row r="316" spans="1:15" x14ac:dyDescent="0.3">
      <c r="A316" t="s">
        <v>328</v>
      </c>
      <c r="B316" s="1">
        <v>44829</v>
      </c>
      <c r="C316" t="s">
        <v>2328</v>
      </c>
      <c r="D316" t="s">
        <v>3999</v>
      </c>
      <c r="E316">
        <v>45</v>
      </c>
      <c r="F316" t="str">
        <f t="shared" si="4"/>
        <v>36-45</v>
      </c>
      <c r="G316" t="s">
        <v>4004</v>
      </c>
      <c r="H316" t="s">
        <v>4008</v>
      </c>
      <c r="I316" t="s">
        <v>4014</v>
      </c>
      <c r="J316">
        <v>1</v>
      </c>
      <c r="K316">
        <v>1498</v>
      </c>
      <c r="L316">
        <v>5</v>
      </c>
      <c r="M316">
        <v>1498</v>
      </c>
      <c r="N316">
        <v>74.900000000000006</v>
      </c>
      <c r="O316">
        <v>1423.1</v>
      </c>
    </row>
    <row r="317" spans="1:15" x14ac:dyDescent="0.3">
      <c r="A317" t="s">
        <v>329</v>
      </c>
      <c r="B317" s="1">
        <v>44865</v>
      </c>
      <c r="C317" t="s">
        <v>2329</v>
      </c>
      <c r="D317" t="s">
        <v>3999</v>
      </c>
      <c r="E317">
        <v>59</v>
      </c>
      <c r="F317" t="str">
        <f t="shared" si="4"/>
        <v>46+</v>
      </c>
      <c r="G317" t="s">
        <v>4002</v>
      </c>
      <c r="H317" t="s">
        <v>4007</v>
      </c>
      <c r="I317" t="s">
        <v>4014</v>
      </c>
      <c r="J317">
        <v>2</v>
      </c>
      <c r="K317">
        <v>4819</v>
      </c>
      <c r="L317">
        <v>0</v>
      </c>
      <c r="M317">
        <v>9638</v>
      </c>
      <c r="N317">
        <v>0</v>
      </c>
      <c r="O317">
        <v>9638</v>
      </c>
    </row>
    <row r="318" spans="1:15" x14ac:dyDescent="0.3">
      <c r="A318" t="s">
        <v>330</v>
      </c>
      <c r="B318" s="1">
        <v>44701</v>
      </c>
      <c r="C318" t="s">
        <v>2330</v>
      </c>
      <c r="D318" t="s">
        <v>4000</v>
      </c>
      <c r="E318">
        <v>56</v>
      </c>
      <c r="F318" t="str">
        <f t="shared" si="4"/>
        <v>46+</v>
      </c>
      <c r="G318" t="s">
        <v>4003</v>
      </c>
      <c r="H318" t="s">
        <v>4007</v>
      </c>
      <c r="I318" t="s">
        <v>4017</v>
      </c>
      <c r="J318">
        <v>3</v>
      </c>
      <c r="K318">
        <v>2174</v>
      </c>
      <c r="L318">
        <v>0</v>
      </c>
      <c r="M318">
        <v>6522</v>
      </c>
      <c r="N318">
        <v>0</v>
      </c>
      <c r="O318">
        <v>6522</v>
      </c>
    </row>
    <row r="319" spans="1:15" x14ac:dyDescent="0.3">
      <c r="A319" t="s">
        <v>331</v>
      </c>
      <c r="B319" s="1">
        <v>44598</v>
      </c>
      <c r="C319" t="s">
        <v>2331</v>
      </c>
      <c r="D319" t="s">
        <v>4000</v>
      </c>
      <c r="E319">
        <v>63</v>
      </c>
      <c r="F319" t="str">
        <f t="shared" si="4"/>
        <v>46+</v>
      </c>
      <c r="G319" t="s">
        <v>4002</v>
      </c>
      <c r="H319" t="s">
        <v>4012</v>
      </c>
      <c r="I319" t="s">
        <v>4014</v>
      </c>
      <c r="J319">
        <v>3</v>
      </c>
      <c r="K319">
        <v>7109</v>
      </c>
      <c r="L319">
        <v>15</v>
      </c>
      <c r="M319">
        <v>21327</v>
      </c>
      <c r="N319">
        <v>3199.05</v>
      </c>
      <c r="O319">
        <v>18127.95</v>
      </c>
    </row>
    <row r="320" spans="1:15" x14ac:dyDescent="0.3">
      <c r="A320" t="s">
        <v>332</v>
      </c>
      <c r="B320" s="1">
        <v>45018</v>
      </c>
      <c r="C320" t="s">
        <v>2332</v>
      </c>
      <c r="D320" t="s">
        <v>4000</v>
      </c>
      <c r="E320">
        <v>38</v>
      </c>
      <c r="F320" t="str">
        <f t="shared" si="4"/>
        <v>36-45</v>
      </c>
      <c r="G320" t="s">
        <v>4004</v>
      </c>
      <c r="H320" t="s">
        <v>4011</v>
      </c>
      <c r="I320" t="s">
        <v>4015</v>
      </c>
      <c r="J320">
        <v>4</v>
      </c>
      <c r="K320">
        <v>5670</v>
      </c>
      <c r="L320">
        <v>0</v>
      </c>
      <c r="M320">
        <v>22680</v>
      </c>
      <c r="N320">
        <v>0</v>
      </c>
      <c r="O320">
        <v>22680</v>
      </c>
    </row>
    <row r="321" spans="1:15" x14ac:dyDescent="0.3">
      <c r="A321" t="s">
        <v>333</v>
      </c>
      <c r="B321" s="1">
        <v>45245</v>
      </c>
      <c r="C321" t="s">
        <v>2333</v>
      </c>
      <c r="D321" t="s">
        <v>3999</v>
      </c>
      <c r="E321">
        <v>18</v>
      </c>
      <c r="F321" t="str">
        <f t="shared" si="4"/>
        <v>18-25</v>
      </c>
      <c r="G321" t="s">
        <v>4004</v>
      </c>
      <c r="H321" t="s">
        <v>4007</v>
      </c>
      <c r="I321" t="s">
        <v>4016</v>
      </c>
      <c r="J321">
        <v>6</v>
      </c>
      <c r="K321">
        <v>7132</v>
      </c>
      <c r="L321">
        <v>0</v>
      </c>
      <c r="M321">
        <v>42792</v>
      </c>
      <c r="N321">
        <v>0</v>
      </c>
      <c r="O321">
        <v>42792</v>
      </c>
    </row>
    <row r="322" spans="1:15" x14ac:dyDescent="0.3">
      <c r="A322" t="s">
        <v>334</v>
      </c>
      <c r="B322" s="1">
        <v>45273</v>
      </c>
      <c r="C322" t="s">
        <v>2334</v>
      </c>
      <c r="D322" t="s">
        <v>3999</v>
      </c>
      <c r="E322">
        <v>61</v>
      </c>
      <c r="F322" t="str">
        <f t="shared" ref="F322:F385" si="5">IF(E322&lt;=25,"18-25",IF(E322&lt;=35,"26-35",IF(E322&lt;=45,"36-45","46+")))</f>
        <v>46+</v>
      </c>
      <c r="G322" t="s">
        <v>4001</v>
      </c>
      <c r="H322" t="s">
        <v>4007</v>
      </c>
      <c r="I322" t="s">
        <v>4015</v>
      </c>
      <c r="J322">
        <v>4</v>
      </c>
      <c r="K322">
        <v>2457</v>
      </c>
      <c r="L322">
        <v>0</v>
      </c>
      <c r="M322">
        <v>9828</v>
      </c>
      <c r="N322">
        <v>0</v>
      </c>
      <c r="O322">
        <v>9828</v>
      </c>
    </row>
    <row r="323" spans="1:15" x14ac:dyDescent="0.3">
      <c r="A323" t="s">
        <v>335</v>
      </c>
      <c r="B323" s="1">
        <v>44967</v>
      </c>
      <c r="C323" t="s">
        <v>2335</v>
      </c>
      <c r="D323" t="s">
        <v>4000</v>
      </c>
      <c r="E323">
        <v>19</v>
      </c>
      <c r="F323" t="str">
        <f t="shared" si="5"/>
        <v>18-25</v>
      </c>
      <c r="G323" t="s">
        <v>4006</v>
      </c>
      <c r="H323" t="s">
        <v>4011</v>
      </c>
      <c r="I323" t="s">
        <v>4014</v>
      </c>
      <c r="J323">
        <v>4</v>
      </c>
      <c r="K323">
        <v>6498</v>
      </c>
      <c r="L323">
        <v>0</v>
      </c>
      <c r="M323">
        <v>25992</v>
      </c>
      <c r="N323">
        <v>0</v>
      </c>
      <c r="O323">
        <v>25992</v>
      </c>
    </row>
    <row r="324" spans="1:15" x14ac:dyDescent="0.3">
      <c r="A324" t="s">
        <v>336</v>
      </c>
      <c r="B324" s="1">
        <v>44688</v>
      </c>
      <c r="C324" t="s">
        <v>2336</v>
      </c>
      <c r="D324" t="s">
        <v>3999</v>
      </c>
      <c r="E324">
        <v>57</v>
      </c>
      <c r="F324" t="str">
        <f t="shared" si="5"/>
        <v>46+</v>
      </c>
      <c r="G324" t="s">
        <v>4003</v>
      </c>
      <c r="H324" t="s">
        <v>4008</v>
      </c>
      <c r="I324" t="s">
        <v>4017</v>
      </c>
      <c r="J324">
        <v>4</v>
      </c>
      <c r="K324">
        <v>445</v>
      </c>
      <c r="L324">
        <v>0</v>
      </c>
      <c r="M324">
        <v>1780</v>
      </c>
      <c r="N324">
        <v>0</v>
      </c>
      <c r="O324">
        <v>1780</v>
      </c>
    </row>
    <row r="325" spans="1:15" x14ac:dyDescent="0.3">
      <c r="A325" t="s">
        <v>337</v>
      </c>
      <c r="B325" s="1">
        <v>44837</v>
      </c>
      <c r="C325" t="s">
        <v>2337</v>
      </c>
      <c r="D325" t="s">
        <v>4000</v>
      </c>
      <c r="E325">
        <v>51</v>
      </c>
      <c r="F325" t="str">
        <f t="shared" si="5"/>
        <v>46+</v>
      </c>
      <c r="G325" t="s">
        <v>4002</v>
      </c>
      <c r="H325" t="s">
        <v>4011</v>
      </c>
      <c r="I325" t="s">
        <v>4013</v>
      </c>
      <c r="J325">
        <v>1</v>
      </c>
      <c r="K325">
        <v>2612</v>
      </c>
      <c r="L325">
        <v>5</v>
      </c>
      <c r="M325">
        <v>2612</v>
      </c>
      <c r="N325">
        <v>130.6</v>
      </c>
      <c r="O325">
        <v>2481.4</v>
      </c>
    </row>
    <row r="326" spans="1:15" x14ac:dyDescent="0.3">
      <c r="A326" t="s">
        <v>338</v>
      </c>
      <c r="B326" s="1">
        <v>44863</v>
      </c>
      <c r="C326" t="s">
        <v>2338</v>
      </c>
      <c r="D326" t="s">
        <v>4000</v>
      </c>
      <c r="E326">
        <v>46</v>
      </c>
      <c r="F326" t="str">
        <f t="shared" si="5"/>
        <v>46+</v>
      </c>
      <c r="G326" t="s">
        <v>4005</v>
      </c>
      <c r="H326" t="s">
        <v>4012</v>
      </c>
      <c r="I326" t="s">
        <v>4013</v>
      </c>
      <c r="J326">
        <v>2</v>
      </c>
      <c r="K326">
        <v>4653</v>
      </c>
      <c r="L326">
        <v>10</v>
      </c>
      <c r="M326">
        <v>9306</v>
      </c>
      <c r="N326">
        <v>930.6</v>
      </c>
      <c r="O326">
        <v>8375.4</v>
      </c>
    </row>
    <row r="327" spans="1:15" x14ac:dyDescent="0.3">
      <c r="A327" t="s">
        <v>339</v>
      </c>
      <c r="B327" s="1">
        <v>44996</v>
      </c>
      <c r="C327" t="s">
        <v>2339</v>
      </c>
      <c r="D327" t="s">
        <v>4000</v>
      </c>
      <c r="E327">
        <v>44</v>
      </c>
      <c r="F327" t="str">
        <f t="shared" si="5"/>
        <v>36-45</v>
      </c>
      <c r="G327" t="s">
        <v>4002</v>
      </c>
      <c r="H327" t="s">
        <v>4007</v>
      </c>
      <c r="I327" t="s">
        <v>4017</v>
      </c>
      <c r="J327">
        <v>2</v>
      </c>
      <c r="K327">
        <v>6812</v>
      </c>
      <c r="L327">
        <v>0</v>
      </c>
      <c r="M327">
        <v>13624</v>
      </c>
      <c r="N327">
        <v>0</v>
      </c>
      <c r="O327">
        <v>13624</v>
      </c>
    </row>
    <row r="328" spans="1:15" x14ac:dyDescent="0.3">
      <c r="A328" t="s">
        <v>340</v>
      </c>
      <c r="B328" s="1">
        <v>44789</v>
      </c>
      <c r="C328" t="s">
        <v>2340</v>
      </c>
      <c r="D328" t="s">
        <v>4000</v>
      </c>
      <c r="E328">
        <v>52</v>
      </c>
      <c r="F328" t="str">
        <f t="shared" si="5"/>
        <v>46+</v>
      </c>
      <c r="G328" t="s">
        <v>4005</v>
      </c>
      <c r="H328" t="s">
        <v>4007</v>
      </c>
      <c r="I328" t="s">
        <v>4015</v>
      </c>
      <c r="J328">
        <v>5</v>
      </c>
      <c r="K328">
        <v>3788</v>
      </c>
      <c r="L328">
        <v>0</v>
      </c>
      <c r="M328">
        <v>18940</v>
      </c>
      <c r="N328">
        <v>0</v>
      </c>
      <c r="O328">
        <v>18940</v>
      </c>
    </row>
    <row r="329" spans="1:15" x14ac:dyDescent="0.3">
      <c r="A329" t="s">
        <v>341</v>
      </c>
      <c r="B329" s="1">
        <v>45107</v>
      </c>
      <c r="C329" t="s">
        <v>2341</v>
      </c>
      <c r="D329" t="s">
        <v>3999</v>
      </c>
      <c r="E329">
        <v>37</v>
      </c>
      <c r="F329" t="str">
        <f t="shared" si="5"/>
        <v>36-45</v>
      </c>
      <c r="G329" t="s">
        <v>4001</v>
      </c>
      <c r="H329" t="s">
        <v>4010</v>
      </c>
      <c r="I329" t="s">
        <v>4016</v>
      </c>
      <c r="J329">
        <v>7</v>
      </c>
      <c r="K329">
        <v>4369</v>
      </c>
      <c r="L329">
        <v>20</v>
      </c>
      <c r="M329">
        <v>30583</v>
      </c>
      <c r="N329">
        <v>6116.6</v>
      </c>
      <c r="O329">
        <v>24466.400000000001</v>
      </c>
    </row>
    <row r="330" spans="1:15" x14ac:dyDescent="0.3">
      <c r="A330" t="s">
        <v>342</v>
      </c>
      <c r="B330" s="1">
        <v>45281</v>
      </c>
      <c r="C330" t="s">
        <v>2342</v>
      </c>
      <c r="D330" t="s">
        <v>3999</v>
      </c>
      <c r="E330">
        <v>33</v>
      </c>
      <c r="F330" t="str">
        <f t="shared" si="5"/>
        <v>26-35</v>
      </c>
      <c r="G330" t="s">
        <v>4004</v>
      </c>
      <c r="H330" t="s">
        <v>4012</v>
      </c>
      <c r="I330" t="s">
        <v>4015</v>
      </c>
      <c r="J330">
        <v>4</v>
      </c>
      <c r="K330">
        <v>2513</v>
      </c>
      <c r="L330">
        <v>20</v>
      </c>
      <c r="M330">
        <v>10052</v>
      </c>
      <c r="N330">
        <v>2010.4</v>
      </c>
      <c r="O330">
        <v>8041.6</v>
      </c>
    </row>
    <row r="331" spans="1:15" x14ac:dyDescent="0.3">
      <c r="A331" t="s">
        <v>343</v>
      </c>
      <c r="B331" s="1">
        <v>45005</v>
      </c>
      <c r="C331" t="s">
        <v>2343</v>
      </c>
      <c r="D331" t="s">
        <v>4000</v>
      </c>
      <c r="E331">
        <v>21</v>
      </c>
      <c r="F331" t="str">
        <f t="shared" si="5"/>
        <v>18-25</v>
      </c>
      <c r="G331" t="s">
        <v>4004</v>
      </c>
      <c r="H331" t="s">
        <v>4011</v>
      </c>
      <c r="I331" t="s">
        <v>4015</v>
      </c>
      <c r="J331">
        <v>4</v>
      </c>
      <c r="K331">
        <v>5579</v>
      </c>
      <c r="L331">
        <v>10</v>
      </c>
      <c r="M331">
        <v>22316</v>
      </c>
      <c r="N331">
        <v>2231.6</v>
      </c>
      <c r="O331">
        <v>20084.400000000001</v>
      </c>
    </row>
    <row r="332" spans="1:15" x14ac:dyDescent="0.3">
      <c r="A332" t="s">
        <v>344</v>
      </c>
      <c r="B332" s="1">
        <v>45155</v>
      </c>
      <c r="C332" t="s">
        <v>2344</v>
      </c>
      <c r="D332" t="s">
        <v>4000</v>
      </c>
      <c r="E332">
        <v>38</v>
      </c>
      <c r="F332" t="str">
        <f t="shared" si="5"/>
        <v>36-45</v>
      </c>
      <c r="G332" t="s">
        <v>4002</v>
      </c>
      <c r="H332" t="s">
        <v>4007</v>
      </c>
      <c r="I332" t="s">
        <v>4013</v>
      </c>
      <c r="J332">
        <v>6</v>
      </c>
      <c r="K332">
        <v>197</v>
      </c>
      <c r="L332">
        <v>15</v>
      </c>
      <c r="M332">
        <v>1182</v>
      </c>
      <c r="N332">
        <v>177.3</v>
      </c>
      <c r="O332">
        <v>1004.7</v>
      </c>
    </row>
    <row r="333" spans="1:15" x14ac:dyDescent="0.3">
      <c r="A333" t="s">
        <v>345</v>
      </c>
      <c r="B333" s="1">
        <v>44665</v>
      </c>
      <c r="C333" t="s">
        <v>2345</v>
      </c>
      <c r="D333" t="s">
        <v>3999</v>
      </c>
      <c r="E333">
        <v>50</v>
      </c>
      <c r="F333" t="str">
        <f t="shared" si="5"/>
        <v>46+</v>
      </c>
      <c r="G333" t="s">
        <v>4001</v>
      </c>
      <c r="H333" t="s">
        <v>4008</v>
      </c>
      <c r="I333" t="s">
        <v>4014</v>
      </c>
      <c r="J333">
        <v>1</v>
      </c>
      <c r="K333">
        <v>5827</v>
      </c>
      <c r="L333">
        <v>0</v>
      </c>
      <c r="M333">
        <v>5827</v>
      </c>
      <c r="N333">
        <v>0</v>
      </c>
      <c r="O333">
        <v>5827</v>
      </c>
    </row>
    <row r="334" spans="1:15" x14ac:dyDescent="0.3">
      <c r="A334" t="s">
        <v>346</v>
      </c>
      <c r="B334" s="1">
        <v>45146</v>
      </c>
      <c r="C334" t="s">
        <v>2346</v>
      </c>
      <c r="D334" t="s">
        <v>4000</v>
      </c>
      <c r="E334">
        <v>23</v>
      </c>
      <c r="F334" t="str">
        <f t="shared" si="5"/>
        <v>18-25</v>
      </c>
      <c r="G334" t="s">
        <v>4004</v>
      </c>
      <c r="H334" t="s">
        <v>4012</v>
      </c>
      <c r="I334" t="s">
        <v>4015</v>
      </c>
      <c r="J334">
        <v>6</v>
      </c>
      <c r="K334">
        <v>2351</v>
      </c>
      <c r="L334">
        <v>10</v>
      </c>
      <c r="M334">
        <v>14106</v>
      </c>
      <c r="N334">
        <v>1410.6</v>
      </c>
      <c r="O334">
        <v>12695.4</v>
      </c>
    </row>
    <row r="335" spans="1:15" x14ac:dyDescent="0.3">
      <c r="A335" t="s">
        <v>347</v>
      </c>
      <c r="B335" s="1">
        <v>44714</v>
      </c>
      <c r="C335" t="s">
        <v>2347</v>
      </c>
      <c r="D335" t="s">
        <v>3999</v>
      </c>
      <c r="E335">
        <v>60</v>
      </c>
      <c r="F335" t="str">
        <f t="shared" si="5"/>
        <v>46+</v>
      </c>
      <c r="G335" t="s">
        <v>4002</v>
      </c>
      <c r="H335" t="s">
        <v>4008</v>
      </c>
      <c r="I335" t="s">
        <v>4015</v>
      </c>
      <c r="J335">
        <v>5</v>
      </c>
      <c r="K335">
        <v>6019</v>
      </c>
      <c r="L335">
        <v>10</v>
      </c>
      <c r="M335">
        <v>30095</v>
      </c>
      <c r="N335">
        <v>3009.5</v>
      </c>
      <c r="O335">
        <v>27085.5</v>
      </c>
    </row>
    <row r="336" spans="1:15" x14ac:dyDescent="0.3">
      <c r="A336" t="s">
        <v>348</v>
      </c>
      <c r="B336" s="1">
        <v>44830</v>
      </c>
      <c r="C336" t="s">
        <v>2348</v>
      </c>
      <c r="D336" t="s">
        <v>3999</v>
      </c>
      <c r="E336">
        <v>23</v>
      </c>
      <c r="F336" t="str">
        <f t="shared" si="5"/>
        <v>18-25</v>
      </c>
      <c r="G336" t="s">
        <v>4006</v>
      </c>
      <c r="H336" t="s">
        <v>4010</v>
      </c>
      <c r="I336" t="s">
        <v>4015</v>
      </c>
      <c r="J336">
        <v>4</v>
      </c>
      <c r="K336">
        <v>1180</v>
      </c>
      <c r="L336">
        <v>5</v>
      </c>
      <c r="M336">
        <v>4720</v>
      </c>
      <c r="N336">
        <v>236</v>
      </c>
      <c r="O336">
        <v>4484</v>
      </c>
    </row>
    <row r="337" spans="1:15" x14ac:dyDescent="0.3">
      <c r="A337" t="s">
        <v>349</v>
      </c>
      <c r="B337" s="1">
        <v>45251</v>
      </c>
      <c r="C337" t="s">
        <v>2349</v>
      </c>
      <c r="D337" t="s">
        <v>3999</v>
      </c>
      <c r="E337">
        <v>61</v>
      </c>
      <c r="F337" t="str">
        <f t="shared" si="5"/>
        <v>46+</v>
      </c>
      <c r="G337" t="s">
        <v>4005</v>
      </c>
      <c r="H337" t="s">
        <v>4010</v>
      </c>
      <c r="I337" t="s">
        <v>4017</v>
      </c>
      <c r="J337">
        <v>5</v>
      </c>
      <c r="K337">
        <v>588</v>
      </c>
      <c r="L337">
        <v>0</v>
      </c>
      <c r="M337">
        <v>2940</v>
      </c>
      <c r="N337">
        <v>0</v>
      </c>
      <c r="O337">
        <v>2940</v>
      </c>
    </row>
    <row r="338" spans="1:15" x14ac:dyDescent="0.3">
      <c r="A338" t="s">
        <v>350</v>
      </c>
      <c r="B338" s="1">
        <v>44788</v>
      </c>
      <c r="C338" t="s">
        <v>2350</v>
      </c>
      <c r="D338" t="s">
        <v>3999</v>
      </c>
      <c r="E338">
        <v>44</v>
      </c>
      <c r="F338" t="str">
        <f t="shared" si="5"/>
        <v>36-45</v>
      </c>
      <c r="G338" t="s">
        <v>4002</v>
      </c>
      <c r="H338" t="s">
        <v>4012</v>
      </c>
      <c r="I338" t="s">
        <v>4014</v>
      </c>
      <c r="J338">
        <v>6</v>
      </c>
      <c r="K338">
        <v>5766</v>
      </c>
      <c r="L338">
        <v>0</v>
      </c>
      <c r="M338">
        <v>34596</v>
      </c>
      <c r="N338">
        <v>0</v>
      </c>
      <c r="O338">
        <v>34596</v>
      </c>
    </row>
    <row r="339" spans="1:15" x14ac:dyDescent="0.3">
      <c r="A339" t="s">
        <v>351</v>
      </c>
      <c r="B339" s="1">
        <v>44757</v>
      </c>
      <c r="C339" t="s">
        <v>2351</v>
      </c>
      <c r="D339" t="s">
        <v>3999</v>
      </c>
      <c r="E339">
        <v>19</v>
      </c>
      <c r="F339" t="str">
        <f t="shared" si="5"/>
        <v>18-25</v>
      </c>
      <c r="G339" t="s">
        <v>4005</v>
      </c>
      <c r="H339" t="s">
        <v>4007</v>
      </c>
      <c r="I339" t="s">
        <v>4015</v>
      </c>
      <c r="J339">
        <v>3</v>
      </c>
      <c r="K339">
        <v>5610</v>
      </c>
      <c r="L339">
        <v>15</v>
      </c>
      <c r="M339">
        <v>16830</v>
      </c>
      <c r="N339">
        <v>2524.5</v>
      </c>
      <c r="O339">
        <v>14305.5</v>
      </c>
    </row>
    <row r="340" spans="1:15" x14ac:dyDescent="0.3">
      <c r="A340" t="s">
        <v>352</v>
      </c>
      <c r="B340" s="1">
        <v>44686</v>
      </c>
      <c r="C340" t="s">
        <v>2352</v>
      </c>
      <c r="D340" t="s">
        <v>4000</v>
      </c>
      <c r="E340">
        <v>40</v>
      </c>
      <c r="F340" t="str">
        <f t="shared" si="5"/>
        <v>36-45</v>
      </c>
      <c r="G340" t="s">
        <v>4005</v>
      </c>
      <c r="H340" t="s">
        <v>4011</v>
      </c>
      <c r="I340" t="s">
        <v>4017</v>
      </c>
      <c r="J340">
        <v>7</v>
      </c>
      <c r="K340">
        <v>4554</v>
      </c>
      <c r="L340">
        <v>0</v>
      </c>
      <c r="M340">
        <v>31878</v>
      </c>
      <c r="N340">
        <v>0</v>
      </c>
      <c r="O340">
        <v>31878</v>
      </c>
    </row>
    <row r="341" spans="1:15" x14ac:dyDescent="0.3">
      <c r="A341" t="s">
        <v>353</v>
      </c>
      <c r="B341" s="1">
        <v>45170</v>
      </c>
      <c r="C341" t="s">
        <v>2353</v>
      </c>
      <c r="D341" t="s">
        <v>3999</v>
      </c>
      <c r="E341">
        <v>37</v>
      </c>
      <c r="F341" t="str">
        <f t="shared" si="5"/>
        <v>36-45</v>
      </c>
      <c r="G341" t="s">
        <v>4005</v>
      </c>
      <c r="H341" t="s">
        <v>4008</v>
      </c>
      <c r="I341" t="s">
        <v>4017</v>
      </c>
      <c r="J341">
        <v>7</v>
      </c>
      <c r="K341">
        <v>1228</v>
      </c>
      <c r="L341">
        <v>5</v>
      </c>
      <c r="M341">
        <v>8596</v>
      </c>
      <c r="N341">
        <v>429.8</v>
      </c>
      <c r="O341">
        <v>8166.2</v>
      </c>
    </row>
    <row r="342" spans="1:15" x14ac:dyDescent="0.3">
      <c r="A342" t="s">
        <v>354</v>
      </c>
      <c r="B342" s="1">
        <v>44899</v>
      </c>
      <c r="C342" t="s">
        <v>2354</v>
      </c>
      <c r="D342" t="s">
        <v>3999</v>
      </c>
      <c r="E342">
        <v>58</v>
      </c>
      <c r="F342" t="str">
        <f t="shared" si="5"/>
        <v>46+</v>
      </c>
      <c r="G342" t="s">
        <v>4001</v>
      </c>
      <c r="H342" t="s">
        <v>4012</v>
      </c>
      <c r="I342" t="s">
        <v>4015</v>
      </c>
      <c r="J342">
        <v>2</v>
      </c>
      <c r="K342">
        <v>7279</v>
      </c>
      <c r="L342">
        <v>5</v>
      </c>
      <c r="M342">
        <v>14558</v>
      </c>
      <c r="N342">
        <v>727.9</v>
      </c>
      <c r="O342">
        <v>13830.1</v>
      </c>
    </row>
    <row r="343" spans="1:15" x14ac:dyDescent="0.3">
      <c r="A343" t="s">
        <v>355</v>
      </c>
      <c r="B343" s="1">
        <v>45277</v>
      </c>
      <c r="C343" t="s">
        <v>2355</v>
      </c>
      <c r="D343" t="s">
        <v>3999</v>
      </c>
      <c r="E343">
        <v>26</v>
      </c>
      <c r="F343" t="str">
        <f t="shared" si="5"/>
        <v>26-35</v>
      </c>
      <c r="G343" t="s">
        <v>4005</v>
      </c>
      <c r="H343" t="s">
        <v>4008</v>
      </c>
      <c r="I343" t="s">
        <v>4017</v>
      </c>
      <c r="J343">
        <v>4</v>
      </c>
      <c r="K343">
        <v>4123</v>
      </c>
      <c r="L343">
        <v>0</v>
      </c>
      <c r="M343">
        <v>16492</v>
      </c>
      <c r="N343">
        <v>0</v>
      </c>
      <c r="O343">
        <v>16492</v>
      </c>
    </row>
    <row r="344" spans="1:15" x14ac:dyDescent="0.3">
      <c r="A344" t="s">
        <v>356</v>
      </c>
      <c r="B344" s="1">
        <v>44691</v>
      </c>
      <c r="C344" t="s">
        <v>2356</v>
      </c>
      <c r="D344" t="s">
        <v>4000</v>
      </c>
      <c r="E344">
        <v>24</v>
      </c>
      <c r="F344" t="str">
        <f t="shared" si="5"/>
        <v>18-25</v>
      </c>
      <c r="G344" t="s">
        <v>4005</v>
      </c>
      <c r="H344" t="s">
        <v>4009</v>
      </c>
      <c r="I344" t="s">
        <v>4015</v>
      </c>
      <c r="J344">
        <v>4</v>
      </c>
      <c r="K344">
        <v>7149</v>
      </c>
      <c r="L344">
        <v>0</v>
      </c>
      <c r="M344">
        <v>28596</v>
      </c>
      <c r="N344">
        <v>0</v>
      </c>
      <c r="O344">
        <v>28596</v>
      </c>
    </row>
    <row r="345" spans="1:15" x14ac:dyDescent="0.3">
      <c r="A345" t="s">
        <v>357</v>
      </c>
      <c r="B345" s="1">
        <v>45058</v>
      </c>
      <c r="C345" t="s">
        <v>2357</v>
      </c>
      <c r="D345" t="s">
        <v>4000</v>
      </c>
      <c r="E345">
        <v>32</v>
      </c>
      <c r="F345" t="str">
        <f t="shared" si="5"/>
        <v>26-35</v>
      </c>
      <c r="G345" t="s">
        <v>4005</v>
      </c>
      <c r="H345" t="s">
        <v>4008</v>
      </c>
      <c r="I345" t="s">
        <v>4013</v>
      </c>
      <c r="J345">
        <v>2</v>
      </c>
      <c r="K345">
        <v>2373</v>
      </c>
      <c r="L345">
        <v>5</v>
      </c>
      <c r="M345">
        <v>4746</v>
      </c>
      <c r="N345">
        <v>237.3</v>
      </c>
      <c r="O345">
        <v>4508.7</v>
      </c>
    </row>
    <row r="346" spans="1:15" x14ac:dyDescent="0.3">
      <c r="A346" t="s">
        <v>358</v>
      </c>
      <c r="B346" s="1">
        <v>45285</v>
      </c>
      <c r="C346" t="s">
        <v>2358</v>
      </c>
      <c r="D346" t="s">
        <v>3999</v>
      </c>
      <c r="E346">
        <v>32</v>
      </c>
      <c r="F346" t="str">
        <f t="shared" si="5"/>
        <v>26-35</v>
      </c>
      <c r="G346" t="s">
        <v>4006</v>
      </c>
      <c r="H346" t="s">
        <v>4009</v>
      </c>
      <c r="I346" t="s">
        <v>4017</v>
      </c>
      <c r="J346">
        <v>7</v>
      </c>
      <c r="K346">
        <v>5347</v>
      </c>
      <c r="L346">
        <v>0</v>
      </c>
      <c r="M346">
        <v>37429</v>
      </c>
      <c r="N346">
        <v>0</v>
      </c>
      <c r="O346">
        <v>37429</v>
      </c>
    </row>
    <row r="347" spans="1:15" x14ac:dyDescent="0.3">
      <c r="A347" t="s">
        <v>359</v>
      </c>
      <c r="B347" s="1">
        <v>45117</v>
      </c>
      <c r="C347" t="s">
        <v>2359</v>
      </c>
      <c r="D347" t="s">
        <v>3999</v>
      </c>
      <c r="E347">
        <v>58</v>
      </c>
      <c r="F347" t="str">
        <f t="shared" si="5"/>
        <v>46+</v>
      </c>
      <c r="G347" t="s">
        <v>4001</v>
      </c>
      <c r="H347" t="s">
        <v>4007</v>
      </c>
      <c r="I347" t="s">
        <v>4014</v>
      </c>
      <c r="J347">
        <v>6</v>
      </c>
      <c r="K347">
        <v>6906</v>
      </c>
      <c r="L347">
        <v>15</v>
      </c>
      <c r="M347">
        <v>41436</v>
      </c>
      <c r="N347">
        <v>6215.4</v>
      </c>
      <c r="O347">
        <v>35220.6</v>
      </c>
    </row>
    <row r="348" spans="1:15" x14ac:dyDescent="0.3">
      <c r="A348" t="s">
        <v>360</v>
      </c>
      <c r="B348" s="1">
        <v>44740</v>
      </c>
      <c r="C348" t="s">
        <v>2360</v>
      </c>
      <c r="D348" t="s">
        <v>4000</v>
      </c>
      <c r="E348">
        <v>64</v>
      </c>
      <c r="F348" t="str">
        <f t="shared" si="5"/>
        <v>46+</v>
      </c>
      <c r="G348" t="s">
        <v>4001</v>
      </c>
      <c r="H348" t="s">
        <v>4008</v>
      </c>
      <c r="I348" t="s">
        <v>4017</v>
      </c>
      <c r="J348">
        <v>5</v>
      </c>
      <c r="K348">
        <v>501</v>
      </c>
      <c r="L348">
        <v>0</v>
      </c>
      <c r="M348">
        <v>2505</v>
      </c>
      <c r="N348">
        <v>0</v>
      </c>
      <c r="O348">
        <v>2505</v>
      </c>
    </row>
    <row r="349" spans="1:15" x14ac:dyDescent="0.3">
      <c r="A349" t="s">
        <v>361</v>
      </c>
      <c r="B349" s="1">
        <v>44756</v>
      </c>
      <c r="C349" t="s">
        <v>2361</v>
      </c>
      <c r="D349" t="s">
        <v>3999</v>
      </c>
      <c r="E349">
        <v>55</v>
      </c>
      <c r="F349" t="str">
        <f t="shared" si="5"/>
        <v>46+</v>
      </c>
      <c r="G349" t="s">
        <v>4006</v>
      </c>
      <c r="H349" t="s">
        <v>4009</v>
      </c>
      <c r="I349" t="s">
        <v>4014</v>
      </c>
      <c r="J349">
        <v>5</v>
      </c>
      <c r="K349">
        <v>3995</v>
      </c>
      <c r="L349">
        <v>10</v>
      </c>
      <c r="M349">
        <v>19975</v>
      </c>
      <c r="N349">
        <v>1997.5</v>
      </c>
      <c r="O349">
        <v>17977.5</v>
      </c>
    </row>
    <row r="350" spans="1:15" x14ac:dyDescent="0.3">
      <c r="A350" t="s">
        <v>362</v>
      </c>
      <c r="B350" s="1">
        <v>44673</v>
      </c>
      <c r="C350" t="s">
        <v>2362</v>
      </c>
      <c r="D350" t="s">
        <v>4000</v>
      </c>
      <c r="E350">
        <v>44</v>
      </c>
      <c r="F350" t="str">
        <f t="shared" si="5"/>
        <v>36-45</v>
      </c>
      <c r="G350" t="s">
        <v>4004</v>
      </c>
      <c r="H350" t="s">
        <v>4007</v>
      </c>
      <c r="I350" t="s">
        <v>4016</v>
      </c>
      <c r="J350">
        <v>7</v>
      </c>
      <c r="K350">
        <v>5730</v>
      </c>
      <c r="L350">
        <v>0</v>
      </c>
      <c r="M350">
        <v>40110</v>
      </c>
      <c r="N350">
        <v>0</v>
      </c>
      <c r="O350">
        <v>40110</v>
      </c>
    </row>
    <row r="351" spans="1:15" x14ac:dyDescent="0.3">
      <c r="A351" t="s">
        <v>363</v>
      </c>
      <c r="B351" s="1">
        <v>44698</v>
      </c>
      <c r="C351" t="s">
        <v>2363</v>
      </c>
      <c r="D351" t="s">
        <v>4000</v>
      </c>
      <c r="E351">
        <v>21</v>
      </c>
      <c r="F351" t="str">
        <f t="shared" si="5"/>
        <v>18-25</v>
      </c>
      <c r="G351" t="s">
        <v>4002</v>
      </c>
      <c r="H351" t="s">
        <v>4010</v>
      </c>
      <c r="I351" t="s">
        <v>4016</v>
      </c>
      <c r="J351">
        <v>7</v>
      </c>
      <c r="K351">
        <v>3719</v>
      </c>
      <c r="L351">
        <v>5</v>
      </c>
      <c r="M351">
        <v>26033</v>
      </c>
      <c r="N351">
        <v>1301.6500000000001</v>
      </c>
      <c r="O351">
        <v>24731.35</v>
      </c>
    </row>
    <row r="352" spans="1:15" x14ac:dyDescent="0.3">
      <c r="A352" t="s">
        <v>364</v>
      </c>
      <c r="B352" s="1">
        <v>45136</v>
      </c>
      <c r="C352" t="s">
        <v>2364</v>
      </c>
      <c r="D352" t="s">
        <v>3999</v>
      </c>
      <c r="E352">
        <v>38</v>
      </c>
      <c r="F352" t="str">
        <f t="shared" si="5"/>
        <v>36-45</v>
      </c>
      <c r="G352" t="s">
        <v>4003</v>
      </c>
      <c r="H352" t="s">
        <v>4007</v>
      </c>
      <c r="I352" t="s">
        <v>4013</v>
      </c>
      <c r="J352">
        <v>7</v>
      </c>
      <c r="K352">
        <v>4978</v>
      </c>
      <c r="L352">
        <v>15</v>
      </c>
      <c r="M352">
        <v>34846</v>
      </c>
      <c r="N352">
        <v>5226.8999999999996</v>
      </c>
      <c r="O352">
        <v>29619.1</v>
      </c>
    </row>
    <row r="353" spans="1:15" x14ac:dyDescent="0.3">
      <c r="A353" t="s">
        <v>365</v>
      </c>
      <c r="B353" s="1">
        <v>44646</v>
      </c>
      <c r="C353" t="s">
        <v>2365</v>
      </c>
      <c r="D353" t="s">
        <v>3999</v>
      </c>
      <c r="E353">
        <v>46</v>
      </c>
      <c r="F353" t="str">
        <f t="shared" si="5"/>
        <v>46+</v>
      </c>
      <c r="G353" t="s">
        <v>4005</v>
      </c>
      <c r="H353" t="s">
        <v>4008</v>
      </c>
      <c r="I353" t="s">
        <v>4016</v>
      </c>
      <c r="J353">
        <v>7</v>
      </c>
      <c r="K353">
        <v>2742</v>
      </c>
      <c r="L353">
        <v>20</v>
      </c>
      <c r="M353">
        <v>19194</v>
      </c>
      <c r="N353">
        <v>3838.8</v>
      </c>
      <c r="O353">
        <v>15355.2</v>
      </c>
    </row>
    <row r="354" spans="1:15" x14ac:dyDescent="0.3">
      <c r="A354" t="s">
        <v>366</v>
      </c>
      <c r="B354" s="1">
        <v>44875</v>
      </c>
      <c r="C354" t="s">
        <v>2366</v>
      </c>
      <c r="D354" t="s">
        <v>4000</v>
      </c>
      <c r="E354">
        <v>26</v>
      </c>
      <c r="F354" t="str">
        <f t="shared" si="5"/>
        <v>26-35</v>
      </c>
      <c r="G354" t="s">
        <v>4006</v>
      </c>
      <c r="H354" t="s">
        <v>4008</v>
      </c>
      <c r="I354" t="s">
        <v>4013</v>
      </c>
      <c r="J354">
        <v>5</v>
      </c>
      <c r="K354">
        <v>2074</v>
      </c>
      <c r="L354">
        <v>15</v>
      </c>
      <c r="M354">
        <v>10370</v>
      </c>
      <c r="N354">
        <v>1555.5</v>
      </c>
      <c r="O354">
        <v>8814.5</v>
      </c>
    </row>
    <row r="355" spans="1:15" x14ac:dyDescent="0.3">
      <c r="A355" t="s">
        <v>367</v>
      </c>
      <c r="B355" s="1">
        <v>44945</v>
      </c>
      <c r="C355" t="s">
        <v>2367</v>
      </c>
      <c r="D355" t="s">
        <v>4000</v>
      </c>
      <c r="E355">
        <v>26</v>
      </c>
      <c r="F355" t="str">
        <f t="shared" si="5"/>
        <v>26-35</v>
      </c>
      <c r="G355" t="s">
        <v>4001</v>
      </c>
      <c r="H355" t="s">
        <v>4007</v>
      </c>
      <c r="I355" t="s">
        <v>4017</v>
      </c>
      <c r="J355">
        <v>2</v>
      </c>
      <c r="K355">
        <v>6347</v>
      </c>
      <c r="L355">
        <v>5</v>
      </c>
      <c r="M355">
        <v>12694</v>
      </c>
      <c r="N355">
        <v>634.70000000000005</v>
      </c>
      <c r="O355">
        <v>12059.3</v>
      </c>
    </row>
    <row r="356" spans="1:15" x14ac:dyDescent="0.3">
      <c r="A356" t="s">
        <v>368</v>
      </c>
      <c r="B356" s="1">
        <v>45020</v>
      </c>
      <c r="C356" t="s">
        <v>2368</v>
      </c>
      <c r="D356" t="s">
        <v>4000</v>
      </c>
      <c r="E356">
        <v>43</v>
      </c>
      <c r="F356" t="str">
        <f t="shared" si="5"/>
        <v>36-45</v>
      </c>
      <c r="G356" t="s">
        <v>4006</v>
      </c>
      <c r="H356" t="s">
        <v>4011</v>
      </c>
      <c r="I356" t="s">
        <v>4017</v>
      </c>
      <c r="J356">
        <v>4</v>
      </c>
      <c r="K356">
        <v>7087</v>
      </c>
      <c r="L356">
        <v>10</v>
      </c>
      <c r="M356">
        <v>28348</v>
      </c>
      <c r="N356">
        <v>2834.8</v>
      </c>
      <c r="O356">
        <v>25513.200000000001</v>
      </c>
    </row>
    <row r="357" spans="1:15" x14ac:dyDescent="0.3">
      <c r="A357" t="s">
        <v>369</v>
      </c>
      <c r="B357" s="1">
        <v>44722</v>
      </c>
      <c r="C357" t="s">
        <v>2369</v>
      </c>
      <c r="D357" t="s">
        <v>3999</v>
      </c>
      <c r="E357">
        <v>24</v>
      </c>
      <c r="F357" t="str">
        <f t="shared" si="5"/>
        <v>18-25</v>
      </c>
      <c r="G357" t="s">
        <v>4004</v>
      </c>
      <c r="H357" t="s">
        <v>4008</v>
      </c>
      <c r="I357" t="s">
        <v>4015</v>
      </c>
      <c r="J357">
        <v>4</v>
      </c>
      <c r="K357">
        <v>6296</v>
      </c>
      <c r="L357">
        <v>10</v>
      </c>
      <c r="M357">
        <v>25184</v>
      </c>
      <c r="N357">
        <v>2518.4</v>
      </c>
      <c r="O357">
        <v>22665.599999999999</v>
      </c>
    </row>
    <row r="358" spans="1:15" x14ac:dyDescent="0.3">
      <c r="A358" t="s">
        <v>370</v>
      </c>
      <c r="B358" s="1">
        <v>44816</v>
      </c>
      <c r="C358" t="s">
        <v>2370</v>
      </c>
      <c r="D358" t="s">
        <v>4000</v>
      </c>
      <c r="E358">
        <v>51</v>
      </c>
      <c r="F358" t="str">
        <f t="shared" si="5"/>
        <v>46+</v>
      </c>
      <c r="G358" t="s">
        <v>4004</v>
      </c>
      <c r="H358" t="s">
        <v>4007</v>
      </c>
      <c r="I358" t="s">
        <v>4013</v>
      </c>
      <c r="J358">
        <v>2</v>
      </c>
      <c r="K358">
        <v>4430</v>
      </c>
      <c r="L358">
        <v>0</v>
      </c>
      <c r="M358">
        <v>8860</v>
      </c>
      <c r="N358">
        <v>0</v>
      </c>
      <c r="O358">
        <v>8860</v>
      </c>
    </row>
    <row r="359" spans="1:15" x14ac:dyDescent="0.3">
      <c r="A359" t="s">
        <v>371</v>
      </c>
      <c r="B359" s="1">
        <v>45269</v>
      </c>
      <c r="C359" t="s">
        <v>2371</v>
      </c>
      <c r="D359" t="s">
        <v>4000</v>
      </c>
      <c r="E359">
        <v>26</v>
      </c>
      <c r="F359" t="str">
        <f t="shared" si="5"/>
        <v>26-35</v>
      </c>
      <c r="G359" t="s">
        <v>4004</v>
      </c>
      <c r="H359" t="s">
        <v>4007</v>
      </c>
      <c r="I359" t="s">
        <v>4015</v>
      </c>
      <c r="J359">
        <v>7</v>
      </c>
      <c r="K359">
        <v>7808</v>
      </c>
      <c r="L359">
        <v>10</v>
      </c>
      <c r="M359">
        <v>54656</v>
      </c>
      <c r="N359">
        <v>5465.6</v>
      </c>
      <c r="O359">
        <v>49190.400000000001</v>
      </c>
    </row>
    <row r="360" spans="1:15" x14ac:dyDescent="0.3">
      <c r="A360" t="s">
        <v>372</v>
      </c>
      <c r="B360" s="1">
        <v>44590</v>
      </c>
      <c r="C360" t="s">
        <v>2372</v>
      </c>
      <c r="D360" t="s">
        <v>3999</v>
      </c>
      <c r="E360">
        <v>25</v>
      </c>
      <c r="F360" t="str">
        <f t="shared" si="5"/>
        <v>18-25</v>
      </c>
      <c r="G360" t="s">
        <v>4006</v>
      </c>
      <c r="H360" t="s">
        <v>4010</v>
      </c>
      <c r="I360" t="s">
        <v>4014</v>
      </c>
      <c r="J360">
        <v>1</v>
      </c>
      <c r="K360">
        <v>2997</v>
      </c>
      <c r="L360">
        <v>10</v>
      </c>
      <c r="M360">
        <v>2997</v>
      </c>
      <c r="N360">
        <v>299.7</v>
      </c>
      <c r="O360">
        <v>2697.3</v>
      </c>
    </row>
    <row r="361" spans="1:15" x14ac:dyDescent="0.3">
      <c r="A361" t="s">
        <v>373</v>
      </c>
      <c r="B361" s="1">
        <v>45255</v>
      </c>
      <c r="C361" t="s">
        <v>2373</v>
      </c>
      <c r="D361" t="s">
        <v>4000</v>
      </c>
      <c r="E361">
        <v>37</v>
      </c>
      <c r="F361" t="str">
        <f t="shared" si="5"/>
        <v>36-45</v>
      </c>
      <c r="G361" t="s">
        <v>4003</v>
      </c>
      <c r="H361" t="s">
        <v>4008</v>
      </c>
      <c r="I361" t="s">
        <v>4013</v>
      </c>
      <c r="J361">
        <v>6</v>
      </c>
      <c r="K361">
        <v>2252</v>
      </c>
      <c r="L361">
        <v>0</v>
      </c>
      <c r="M361">
        <v>13512</v>
      </c>
      <c r="N361">
        <v>0</v>
      </c>
      <c r="O361">
        <v>13512</v>
      </c>
    </row>
    <row r="362" spans="1:15" x14ac:dyDescent="0.3">
      <c r="A362" t="s">
        <v>374</v>
      </c>
      <c r="B362" s="1">
        <v>44641</v>
      </c>
      <c r="C362" t="s">
        <v>2374</v>
      </c>
      <c r="D362" t="s">
        <v>3999</v>
      </c>
      <c r="E362">
        <v>54</v>
      </c>
      <c r="F362" t="str">
        <f t="shared" si="5"/>
        <v>46+</v>
      </c>
      <c r="G362" t="s">
        <v>4006</v>
      </c>
      <c r="H362" t="s">
        <v>4008</v>
      </c>
      <c r="I362" t="s">
        <v>4017</v>
      </c>
      <c r="J362">
        <v>6</v>
      </c>
      <c r="K362">
        <v>7093</v>
      </c>
      <c r="L362">
        <v>0</v>
      </c>
      <c r="M362">
        <v>42558</v>
      </c>
      <c r="N362">
        <v>0</v>
      </c>
      <c r="O362">
        <v>42558</v>
      </c>
    </row>
    <row r="363" spans="1:15" x14ac:dyDescent="0.3">
      <c r="A363" t="s">
        <v>375</v>
      </c>
      <c r="B363" s="1">
        <v>44991</v>
      </c>
      <c r="C363" t="s">
        <v>2375</v>
      </c>
      <c r="D363" t="s">
        <v>3999</v>
      </c>
      <c r="E363">
        <v>57</v>
      </c>
      <c r="F363" t="str">
        <f t="shared" si="5"/>
        <v>46+</v>
      </c>
      <c r="G363" t="s">
        <v>4005</v>
      </c>
      <c r="H363" t="s">
        <v>4012</v>
      </c>
      <c r="I363" t="s">
        <v>4016</v>
      </c>
      <c r="J363">
        <v>7</v>
      </c>
      <c r="K363">
        <v>3850</v>
      </c>
      <c r="L363">
        <v>0</v>
      </c>
      <c r="M363">
        <v>26950</v>
      </c>
      <c r="N363">
        <v>0</v>
      </c>
      <c r="O363">
        <v>26950</v>
      </c>
    </row>
    <row r="364" spans="1:15" x14ac:dyDescent="0.3">
      <c r="A364" t="s">
        <v>376</v>
      </c>
      <c r="B364" s="1">
        <v>45176</v>
      </c>
      <c r="C364" t="s">
        <v>2376</v>
      </c>
      <c r="D364" t="s">
        <v>3999</v>
      </c>
      <c r="E364">
        <v>47</v>
      </c>
      <c r="F364" t="str">
        <f t="shared" si="5"/>
        <v>46+</v>
      </c>
      <c r="G364" t="s">
        <v>4004</v>
      </c>
      <c r="H364" t="s">
        <v>4011</v>
      </c>
      <c r="I364" t="s">
        <v>4013</v>
      </c>
      <c r="J364">
        <v>5</v>
      </c>
      <c r="K364">
        <v>5007</v>
      </c>
      <c r="L364">
        <v>5</v>
      </c>
      <c r="M364">
        <v>25035</v>
      </c>
      <c r="N364">
        <v>1251.75</v>
      </c>
      <c r="O364">
        <v>23783.25</v>
      </c>
    </row>
    <row r="365" spans="1:15" x14ac:dyDescent="0.3">
      <c r="A365" t="s">
        <v>377</v>
      </c>
      <c r="B365" s="1">
        <v>44891</v>
      </c>
      <c r="C365" t="s">
        <v>2377</v>
      </c>
      <c r="D365" t="s">
        <v>3999</v>
      </c>
      <c r="E365">
        <v>58</v>
      </c>
      <c r="F365" t="str">
        <f t="shared" si="5"/>
        <v>46+</v>
      </c>
      <c r="G365" t="s">
        <v>4003</v>
      </c>
      <c r="H365" t="s">
        <v>4007</v>
      </c>
      <c r="I365" t="s">
        <v>4014</v>
      </c>
      <c r="J365">
        <v>5</v>
      </c>
      <c r="K365">
        <v>3794</v>
      </c>
      <c r="L365">
        <v>15</v>
      </c>
      <c r="M365">
        <v>18970</v>
      </c>
      <c r="N365">
        <v>2845.5</v>
      </c>
      <c r="O365">
        <v>16124.5</v>
      </c>
    </row>
    <row r="366" spans="1:15" x14ac:dyDescent="0.3">
      <c r="A366" t="s">
        <v>378</v>
      </c>
      <c r="B366" s="1">
        <v>44603</v>
      </c>
      <c r="C366" t="s">
        <v>2378</v>
      </c>
      <c r="D366" t="s">
        <v>3999</v>
      </c>
      <c r="E366">
        <v>47</v>
      </c>
      <c r="F366" t="str">
        <f t="shared" si="5"/>
        <v>46+</v>
      </c>
      <c r="G366" t="s">
        <v>4005</v>
      </c>
      <c r="H366" t="s">
        <v>4007</v>
      </c>
      <c r="I366" t="s">
        <v>4017</v>
      </c>
      <c r="J366">
        <v>4</v>
      </c>
      <c r="K366">
        <v>3208</v>
      </c>
      <c r="L366">
        <v>0</v>
      </c>
      <c r="M366">
        <v>12832</v>
      </c>
      <c r="N366">
        <v>0</v>
      </c>
      <c r="O366">
        <v>12832</v>
      </c>
    </row>
    <row r="367" spans="1:15" x14ac:dyDescent="0.3">
      <c r="A367" t="s">
        <v>379</v>
      </c>
      <c r="B367" s="1">
        <v>44854</v>
      </c>
      <c r="C367" t="s">
        <v>2379</v>
      </c>
      <c r="D367" t="s">
        <v>4000</v>
      </c>
      <c r="E367">
        <v>18</v>
      </c>
      <c r="F367" t="str">
        <f t="shared" si="5"/>
        <v>18-25</v>
      </c>
      <c r="G367" t="s">
        <v>4005</v>
      </c>
      <c r="H367" t="s">
        <v>4007</v>
      </c>
      <c r="I367" t="s">
        <v>4015</v>
      </c>
      <c r="J367">
        <v>6</v>
      </c>
      <c r="K367">
        <v>4414</v>
      </c>
      <c r="L367">
        <v>10</v>
      </c>
      <c r="M367">
        <v>26484</v>
      </c>
      <c r="N367">
        <v>2648.4</v>
      </c>
      <c r="O367">
        <v>23835.599999999999</v>
      </c>
    </row>
    <row r="368" spans="1:15" x14ac:dyDescent="0.3">
      <c r="A368" t="s">
        <v>380</v>
      </c>
      <c r="B368" s="1">
        <v>44986</v>
      </c>
      <c r="C368" t="s">
        <v>2380</v>
      </c>
      <c r="D368" t="s">
        <v>3999</v>
      </c>
      <c r="E368">
        <v>26</v>
      </c>
      <c r="F368" t="str">
        <f t="shared" si="5"/>
        <v>26-35</v>
      </c>
      <c r="G368" t="s">
        <v>4006</v>
      </c>
      <c r="H368" t="s">
        <v>4012</v>
      </c>
      <c r="I368" t="s">
        <v>4015</v>
      </c>
      <c r="J368">
        <v>7</v>
      </c>
      <c r="K368">
        <v>3430</v>
      </c>
      <c r="L368">
        <v>5</v>
      </c>
      <c r="M368">
        <v>24010</v>
      </c>
      <c r="N368">
        <v>1200.5</v>
      </c>
      <c r="O368">
        <v>22809.5</v>
      </c>
    </row>
    <row r="369" spans="1:15" x14ac:dyDescent="0.3">
      <c r="A369" t="s">
        <v>381</v>
      </c>
      <c r="B369" s="1">
        <v>44916</v>
      </c>
      <c r="C369" t="s">
        <v>2381</v>
      </c>
      <c r="D369" t="s">
        <v>3999</v>
      </c>
      <c r="E369">
        <v>48</v>
      </c>
      <c r="F369" t="str">
        <f t="shared" si="5"/>
        <v>46+</v>
      </c>
      <c r="G369" t="s">
        <v>4001</v>
      </c>
      <c r="H369" t="s">
        <v>4012</v>
      </c>
      <c r="I369" t="s">
        <v>4017</v>
      </c>
      <c r="J369">
        <v>2</v>
      </c>
      <c r="K369">
        <v>7092</v>
      </c>
      <c r="L369">
        <v>5</v>
      </c>
      <c r="M369">
        <v>14184</v>
      </c>
      <c r="N369">
        <v>709.2</v>
      </c>
      <c r="O369">
        <v>13474.8</v>
      </c>
    </row>
    <row r="370" spans="1:15" x14ac:dyDescent="0.3">
      <c r="A370" t="s">
        <v>382</v>
      </c>
      <c r="B370" s="1">
        <v>45238</v>
      </c>
      <c r="C370" t="s">
        <v>2382</v>
      </c>
      <c r="D370" t="s">
        <v>4000</v>
      </c>
      <c r="E370">
        <v>26</v>
      </c>
      <c r="F370" t="str">
        <f t="shared" si="5"/>
        <v>26-35</v>
      </c>
      <c r="G370" t="s">
        <v>4005</v>
      </c>
      <c r="H370" t="s">
        <v>4010</v>
      </c>
      <c r="I370" t="s">
        <v>4016</v>
      </c>
      <c r="J370">
        <v>7</v>
      </c>
      <c r="K370">
        <v>967</v>
      </c>
      <c r="L370">
        <v>5</v>
      </c>
      <c r="M370">
        <v>6769</v>
      </c>
      <c r="N370">
        <v>338.45</v>
      </c>
      <c r="O370">
        <v>6430.55</v>
      </c>
    </row>
    <row r="371" spans="1:15" x14ac:dyDescent="0.3">
      <c r="A371" t="s">
        <v>383</v>
      </c>
      <c r="B371" s="1">
        <v>45271</v>
      </c>
      <c r="C371" t="s">
        <v>2383</v>
      </c>
      <c r="D371" t="s">
        <v>3999</v>
      </c>
      <c r="E371">
        <v>29</v>
      </c>
      <c r="F371" t="str">
        <f t="shared" si="5"/>
        <v>26-35</v>
      </c>
      <c r="G371" t="s">
        <v>4004</v>
      </c>
      <c r="H371" t="s">
        <v>4007</v>
      </c>
      <c r="I371" t="s">
        <v>4013</v>
      </c>
      <c r="J371">
        <v>5</v>
      </c>
      <c r="K371">
        <v>5194</v>
      </c>
      <c r="L371">
        <v>0</v>
      </c>
      <c r="M371">
        <v>25970</v>
      </c>
      <c r="N371">
        <v>0</v>
      </c>
      <c r="O371">
        <v>25970</v>
      </c>
    </row>
    <row r="372" spans="1:15" x14ac:dyDescent="0.3">
      <c r="A372" t="s">
        <v>384</v>
      </c>
      <c r="B372" s="1">
        <v>44621</v>
      </c>
      <c r="C372" t="s">
        <v>2384</v>
      </c>
      <c r="D372" t="s">
        <v>4000</v>
      </c>
      <c r="E372">
        <v>58</v>
      </c>
      <c r="F372" t="str">
        <f t="shared" si="5"/>
        <v>46+</v>
      </c>
      <c r="G372" t="s">
        <v>4005</v>
      </c>
      <c r="H372" t="s">
        <v>4007</v>
      </c>
      <c r="I372" t="s">
        <v>4015</v>
      </c>
      <c r="J372">
        <v>5</v>
      </c>
      <c r="K372">
        <v>1260</v>
      </c>
      <c r="L372">
        <v>20</v>
      </c>
      <c r="M372">
        <v>6300</v>
      </c>
      <c r="N372">
        <v>1260</v>
      </c>
      <c r="O372">
        <v>5040</v>
      </c>
    </row>
    <row r="373" spans="1:15" x14ac:dyDescent="0.3">
      <c r="A373" t="s">
        <v>385</v>
      </c>
      <c r="B373" s="1">
        <v>44897</v>
      </c>
      <c r="C373" t="s">
        <v>2385</v>
      </c>
      <c r="D373" t="s">
        <v>3999</v>
      </c>
      <c r="E373">
        <v>55</v>
      </c>
      <c r="F373" t="str">
        <f t="shared" si="5"/>
        <v>46+</v>
      </c>
      <c r="G373" t="s">
        <v>4003</v>
      </c>
      <c r="H373" t="s">
        <v>4009</v>
      </c>
      <c r="I373" t="s">
        <v>4017</v>
      </c>
      <c r="J373">
        <v>4</v>
      </c>
      <c r="K373">
        <v>7173</v>
      </c>
      <c r="L373">
        <v>0</v>
      </c>
      <c r="M373">
        <v>28692</v>
      </c>
      <c r="N373">
        <v>0</v>
      </c>
      <c r="O373">
        <v>28692</v>
      </c>
    </row>
    <row r="374" spans="1:15" x14ac:dyDescent="0.3">
      <c r="A374" t="s">
        <v>386</v>
      </c>
      <c r="B374" s="1">
        <v>44693</v>
      </c>
      <c r="C374" t="s">
        <v>2386</v>
      </c>
      <c r="D374" t="s">
        <v>3999</v>
      </c>
      <c r="E374">
        <v>61</v>
      </c>
      <c r="F374" t="str">
        <f t="shared" si="5"/>
        <v>46+</v>
      </c>
      <c r="G374" t="s">
        <v>4006</v>
      </c>
      <c r="H374" t="s">
        <v>4012</v>
      </c>
      <c r="I374" t="s">
        <v>4015</v>
      </c>
      <c r="J374">
        <v>1</v>
      </c>
      <c r="K374">
        <v>7501</v>
      </c>
      <c r="L374">
        <v>0</v>
      </c>
      <c r="M374">
        <v>7501</v>
      </c>
      <c r="N374">
        <v>0</v>
      </c>
      <c r="O374">
        <v>7501</v>
      </c>
    </row>
    <row r="375" spans="1:15" x14ac:dyDescent="0.3">
      <c r="A375" t="s">
        <v>387</v>
      </c>
      <c r="B375" s="1">
        <v>44727</v>
      </c>
      <c r="C375" t="s">
        <v>2387</v>
      </c>
      <c r="D375" t="s">
        <v>3999</v>
      </c>
      <c r="E375">
        <v>43</v>
      </c>
      <c r="F375" t="str">
        <f t="shared" si="5"/>
        <v>36-45</v>
      </c>
      <c r="G375" t="s">
        <v>4006</v>
      </c>
      <c r="H375" t="s">
        <v>4012</v>
      </c>
      <c r="I375" t="s">
        <v>4015</v>
      </c>
      <c r="J375">
        <v>1</v>
      </c>
      <c r="K375">
        <v>5965</v>
      </c>
      <c r="L375">
        <v>0</v>
      </c>
      <c r="M375">
        <v>5965</v>
      </c>
      <c r="N375">
        <v>0</v>
      </c>
      <c r="O375">
        <v>5965</v>
      </c>
    </row>
    <row r="376" spans="1:15" x14ac:dyDescent="0.3">
      <c r="A376" t="s">
        <v>388</v>
      </c>
      <c r="B376" s="1">
        <v>44932</v>
      </c>
      <c r="C376" t="s">
        <v>2388</v>
      </c>
      <c r="D376" t="s">
        <v>3999</v>
      </c>
      <c r="E376">
        <v>31</v>
      </c>
      <c r="F376" t="str">
        <f t="shared" si="5"/>
        <v>26-35</v>
      </c>
      <c r="G376" t="s">
        <v>4006</v>
      </c>
      <c r="H376" t="s">
        <v>4009</v>
      </c>
      <c r="I376" t="s">
        <v>4013</v>
      </c>
      <c r="J376">
        <v>4</v>
      </c>
      <c r="K376">
        <v>1987</v>
      </c>
      <c r="L376">
        <v>15</v>
      </c>
      <c r="M376">
        <v>7948</v>
      </c>
      <c r="N376">
        <v>1192.2</v>
      </c>
      <c r="O376">
        <v>6755.8</v>
      </c>
    </row>
    <row r="377" spans="1:15" x14ac:dyDescent="0.3">
      <c r="A377" t="s">
        <v>389</v>
      </c>
      <c r="B377" s="1">
        <v>44648</v>
      </c>
      <c r="C377" t="s">
        <v>2389</v>
      </c>
      <c r="D377" t="s">
        <v>3999</v>
      </c>
      <c r="E377">
        <v>54</v>
      </c>
      <c r="F377" t="str">
        <f t="shared" si="5"/>
        <v>46+</v>
      </c>
      <c r="G377" t="s">
        <v>4001</v>
      </c>
      <c r="H377" t="s">
        <v>4008</v>
      </c>
      <c r="I377" t="s">
        <v>4015</v>
      </c>
      <c r="J377">
        <v>7</v>
      </c>
      <c r="K377">
        <v>2973</v>
      </c>
      <c r="L377">
        <v>0</v>
      </c>
      <c r="M377">
        <v>20811</v>
      </c>
      <c r="N377">
        <v>0</v>
      </c>
      <c r="O377">
        <v>20811</v>
      </c>
    </row>
    <row r="378" spans="1:15" x14ac:dyDescent="0.3">
      <c r="A378" t="s">
        <v>390</v>
      </c>
      <c r="B378" s="1">
        <v>45248</v>
      </c>
      <c r="C378" t="s">
        <v>2390</v>
      </c>
      <c r="D378" t="s">
        <v>3999</v>
      </c>
      <c r="E378">
        <v>32</v>
      </c>
      <c r="F378" t="str">
        <f t="shared" si="5"/>
        <v>26-35</v>
      </c>
      <c r="G378" t="s">
        <v>4003</v>
      </c>
      <c r="H378" t="s">
        <v>4007</v>
      </c>
      <c r="I378" t="s">
        <v>4014</v>
      </c>
      <c r="J378">
        <v>1</v>
      </c>
      <c r="K378">
        <v>5156</v>
      </c>
      <c r="L378">
        <v>5</v>
      </c>
      <c r="M378">
        <v>5156</v>
      </c>
      <c r="N378">
        <v>257.8</v>
      </c>
      <c r="O378">
        <v>4898.2</v>
      </c>
    </row>
    <row r="379" spans="1:15" x14ac:dyDescent="0.3">
      <c r="A379" t="s">
        <v>391</v>
      </c>
      <c r="B379" s="1">
        <v>44576</v>
      </c>
      <c r="C379" t="s">
        <v>2391</v>
      </c>
      <c r="D379" t="s">
        <v>3999</v>
      </c>
      <c r="E379">
        <v>36</v>
      </c>
      <c r="F379" t="str">
        <f t="shared" si="5"/>
        <v>36-45</v>
      </c>
      <c r="G379" t="s">
        <v>4001</v>
      </c>
      <c r="H379" t="s">
        <v>4008</v>
      </c>
      <c r="I379" t="s">
        <v>4014</v>
      </c>
      <c r="J379">
        <v>6</v>
      </c>
      <c r="K379">
        <v>271</v>
      </c>
      <c r="L379">
        <v>15</v>
      </c>
      <c r="M379">
        <v>1626</v>
      </c>
      <c r="N379">
        <v>243.9</v>
      </c>
      <c r="O379">
        <v>1382.1</v>
      </c>
    </row>
    <row r="380" spans="1:15" x14ac:dyDescent="0.3">
      <c r="A380" t="s">
        <v>392</v>
      </c>
      <c r="B380" s="1">
        <v>45221</v>
      </c>
      <c r="C380" t="s">
        <v>2392</v>
      </c>
      <c r="D380" t="s">
        <v>4000</v>
      </c>
      <c r="E380">
        <v>43</v>
      </c>
      <c r="F380" t="str">
        <f t="shared" si="5"/>
        <v>36-45</v>
      </c>
      <c r="G380" t="s">
        <v>4001</v>
      </c>
      <c r="H380" t="s">
        <v>4007</v>
      </c>
      <c r="I380" t="s">
        <v>4013</v>
      </c>
      <c r="J380">
        <v>3</v>
      </c>
      <c r="K380">
        <v>2500</v>
      </c>
      <c r="L380">
        <v>0</v>
      </c>
      <c r="M380">
        <v>7500</v>
      </c>
      <c r="N380">
        <v>0</v>
      </c>
      <c r="O380">
        <v>7500</v>
      </c>
    </row>
    <row r="381" spans="1:15" x14ac:dyDescent="0.3">
      <c r="A381" t="s">
        <v>393</v>
      </c>
      <c r="B381" s="1">
        <v>44740</v>
      </c>
      <c r="C381" t="s">
        <v>2393</v>
      </c>
      <c r="D381" t="s">
        <v>3999</v>
      </c>
      <c r="E381">
        <v>33</v>
      </c>
      <c r="F381" t="str">
        <f t="shared" si="5"/>
        <v>26-35</v>
      </c>
      <c r="G381" t="s">
        <v>4002</v>
      </c>
      <c r="H381" t="s">
        <v>4011</v>
      </c>
      <c r="I381" t="s">
        <v>4014</v>
      </c>
      <c r="J381">
        <v>3</v>
      </c>
      <c r="K381">
        <v>4234</v>
      </c>
      <c r="L381">
        <v>10</v>
      </c>
      <c r="M381">
        <v>12702</v>
      </c>
      <c r="N381">
        <v>1270.2</v>
      </c>
      <c r="O381">
        <v>11431.8</v>
      </c>
    </row>
    <row r="382" spans="1:15" x14ac:dyDescent="0.3">
      <c r="A382" t="s">
        <v>394</v>
      </c>
      <c r="B382" s="1">
        <v>44926</v>
      </c>
      <c r="C382" t="s">
        <v>2394</v>
      </c>
      <c r="D382" t="s">
        <v>3999</v>
      </c>
      <c r="E382">
        <v>20</v>
      </c>
      <c r="F382" t="str">
        <f t="shared" si="5"/>
        <v>18-25</v>
      </c>
      <c r="G382" t="s">
        <v>4003</v>
      </c>
      <c r="H382" t="s">
        <v>4011</v>
      </c>
      <c r="I382" t="s">
        <v>4017</v>
      </c>
      <c r="J382">
        <v>4</v>
      </c>
      <c r="K382">
        <v>1380</v>
      </c>
      <c r="L382">
        <v>0</v>
      </c>
      <c r="M382">
        <v>5520</v>
      </c>
      <c r="N382">
        <v>0</v>
      </c>
      <c r="O382">
        <v>5520</v>
      </c>
    </row>
    <row r="383" spans="1:15" x14ac:dyDescent="0.3">
      <c r="A383" t="s">
        <v>395</v>
      </c>
      <c r="B383" s="1">
        <v>44855</v>
      </c>
      <c r="C383" t="s">
        <v>2395</v>
      </c>
      <c r="D383" t="s">
        <v>3999</v>
      </c>
      <c r="E383">
        <v>45</v>
      </c>
      <c r="F383" t="str">
        <f t="shared" si="5"/>
        <v>36-45</v>
      </c>
      <c r="G383" t="s">
        <v>4003</v>
      </c>
      <c r="H383" t="s">
        <v>4009</v>
      </c>
      <c r="I383" t="s">
        <v>4017</v>
      </c>
      <c r="J383">
        <v>1</v>
      </c>
      <c r="K383">
        <v>1889</v>
      </c>
      <c r="L383">
        <v>10</v>
      </c>
      <c r="M383">
        <v>1889</v>
      </c>
      <c r="N383">
        <v>188.9</v>
      </c>
      <c r="O383">
        <v>1700.1</v>
      </c>
    </row>
    <row r="384" spans="1:15" x14ac:dyDescent="0.3">
      <c r="A384" t="s">
        <v>396</v>
      </c>
      <c r="B384" s="1">
        <v>44875</v>
      </c>
      <c r="C384" t="s">
        <v>2396</v>
      </c>
      <c r="D384" t="s">
        <v>3999</v>
      </c>
      <c r="E384">
        <v>26</v>
      </c>
      <c r="F384" t="str">
        <f t="shared" si="5"/>
        <v>26-35</v>
      </c>
      <c r="G384" t="s">
        <v>4004</v>
      </c>
      <c r="H384" t="s">
        <v>4011</v>
      </c>
      <c r="I384" t="s">
        <v>4017</v>
      </c>
      <c r="J384">
        <v>5</v>
      </c>
      <c r="K384">
        <v>616</v>
      </c>
      <c r="L384">
        <v>20</v>
      </c>
      <c r="M384">
        <v>3080</v>
      </c>
      <c r="N384">
        <v>616</v>
      </c>
      <c r="O384">
        <v>2464</v>
      </c>
    </row>
    <row r="385" spans="1:15" x14ac:dyDescent="0.3">
      <c r="A385" t="s">
        <v>397</v>
      </c>
      <c r="B385" s="1">
        <v>45056</v>
      </c>
      <c r="C385" t="s">
        <v>2397</v>
      </c>
      <c r="D385" t="s">
        <v>3999</v>
      </c>
      <c r="E385">
        <v>21</v>
      </c>
      <c r="F385" t="str">
        <f t="shared" si="5"/>
        <v>18-25</v>
      </c>
      <c r="G385" t="s">
        <v>4003</v>
      </c>
      <c r="H385" t="s">
        <v>4009</v>
      </c>
      <c r="I385" t="s">
        <v>4013</v>
      </c>
      <c r="J385">
        <v>4</v>
      </c>
      <c r="K385">
        <v>534</v>
      </c>
      <c r="L385">
        <v>15</v>
      </c>
      <c r="M385">
        <v>2136</v>
      </c>
      <c r="N385">
        <v>320.39999999999998</v>
      </c>
      <c r="O385">
        <v>1815.6</v>
      </c>
    </row>
    <row r="386" spans="1:15" x14ac:dyDescent="0.3">
      <c r="A386" t="s">
        <v>398</v>
      </c>
      <c r="B386" s="1">
        <v>44905</v>
      </c>
      <c r="C386" t="s">
        <v>2398</v>
      </c>
      <c r="D386" t="s">
        <v>4000</v>
      </c>
      <c r="E386">
        <v>32</v>
      </c>
      <c r="F386" t="str">
        <f t="shared" ref="F386:F449" si="6">IF(E386&lt;=25,"18-25",IF(E386&lt;=35,"26-35",IF(E386&lt;=45,"36-45","46+")))</f>
        <v>26-35</v>
      </c>
      <c r="G386" t="s">
        <v>4003</v>
      </c>
      <c r="H386" t="s">
        <v>4009</v>
      </c>
      <c r="I386" t="s">
        <v>4017</v>
      </c>
      <c r="J386">
        <v>6</v>
      </c>
      <c r="K386">
        <v>1732</v>
      </c>
      <c r="L386">
        <v>10</v>
      </c>
      <c r="M386">
        <v>10392</v>
      </c>
      <c r="N386">
        <v>1039.2</v>
      </c>
      <c r="O386">
        <v>9352.7999999999993</v>
      </c>
    </row>
    <row r="387" spans="1:15" x14ac:dyDescent="0.3">
      <c r="A387" t="s">
        <v>399</v>
      </c>
      <c r="B387" s="1">
        <v>45143</v>
      </c>
      <c r="C387" t="s">
        <v>2399</v>
      </c>
      <c r="D387" t="s">
        <v>3999</v>
      </c>
      <c r="E387">
        <v>18</v>
      </c>
      <c r="F387" t="str">
        <f t="shared" si="6"/>
        <v>18-25</v>
      </c>
      <c r="G387" t="s">
        <v>4005</v>
      </c>
      <c r="H387" t="s">
        <v>4010</v>
      </c>
      <c r="I387" t="s">
        <v>4014</v>
      </c>
      <c r="J387">
        <v>4</v>
      </c>
      <c r="K387">
        <v>948</v>
      </c>
      <c r="L387">
        <v>15</v>
      </c>
      <c r="M387">
        <v>3792</v>
      </c>
      <c r="N387">
        <v>568.79999999999995</v>
      </c>
      <c r="O387">
        <v>3223.2</v>
      </c>
    </row>
    <row r="388" spans="1:15" x14ac:dyDescent="0.3">
      <c r="A388" t="s">
        <v>400</v>
      </c>
      <c r="B388" s="1">
        <v>45290</v>
      </c>
      <c r="C388" t="s">
        <v>2400</v>
      </c>
      <c r="D388" t="s">
        <v>3999</v>
      </c>
      <c r="E388">
        <v>31</v>
      </c>
      <c r="F388" t="str">
        <f t="shared" si="6"/>
        <v>26-35</v>
      </c>
      <c r="G388" t="s">
        <v>4004</v>
      </c>
      <c r="H388" t="s">
        <v>4008</v>
      </c>
      <c r="I388" t="s">
        <v>4014</v>
      </c>
      <c r="J388">
        <v>2</v>
      </c>
      <c r="K388">
        <v>2724</v>
      </c>
      <c r="L388">
        <v>5</v>
      </c>
      <c r="M388">
        <v>5448</v>
      </c>
      <c r="N388">
        <v>272.39999999999998</v>
      </c>
      <c r="O388">
        <v>5175.6000000000004</v>
      </c>
    </row>
    <row r="389" spans="1:15" x14ac:dyDescent="0.3">
      <c r="A389" t="s">
        <v>401</v>
      </c>
      <c r="B389" s="1">
        <v>44829</v>
      </c>
      <c r="C389" t="s">
        <v>2401</v>
      </c>
      <c r="D389" t="s">
        <v>3999</v>
      </c>
      <c r="E389">
        <v>52</v>
      </c>
      <c r="F389" t="str">
        <f t="shared" si="6"/>
        <v>46+</v>
      </c>
      <c r="G389" t="s">
        <v>4002</v>
      </c>
      <c r="H389" t="s">
        <v>4011</v>
      </c>
      <c r="I389" t="s">
        <v>4013</v>
      </c>
      <c r="J389">
        <v>5</v>
      </c>
      <c r="K389">
        <v>1200</v>
      </c>
      <c r="L389">
        <v>0</v>
      </c>
      <c r="M389">
        <v>6000</v>
      </c>
      <c r="N389">
        <v>0</v>
      </c>
      <c r="O389">
        <v>6000</v>
      </c>
    </row>
    <row r="390" spans="1:15" x14ac:dyDescent="0.3">
      <c r="A390" t="s">
        <v>402</v>
      </c>
      <c r="B390" s="1">
        <v>45100</v>
      </c>
      <c r="C390" t="s">
        <v>2402</v>
      </c>
      <c r="D390" t="s">
        <v>3999</v>
      </c>
      <c r="E390">
        <v>25</v>
      </c>
      <c r="F390" t="str">
        <f t="shared" si="6"/>
        <v>18-25</v>
      </c>
      <c r="G390" t="s">
        <v>4003</v>
      </c>
      <c r="H390" t="s">
        <v>4009</v>
      </c>
      <c r="I390" t="s">
        <v>4013</v>
      </c>
      <c r="J390">
        <v>6</v>
      </c>
      <c r="K390">
        <v>5966</v>
      </c>
      <c r="L390">
        <v>0</v>
      </c>
      <c r="M390">
        <v>35796</v>
      </c>
      <c r="N390">
        <v>0</v>
      </c>
      <c r="O390">
        <v>35796</v>
      </c>
    </row>
    <row r="391" spans="1:15" x14ac:dyDescent="0.3">
      <c r="A391" t="s">
        <v>403</v>
      </c>
      <c r="B391" s="1">
        <v>45063</v>
      </c>
      <c r="C391" t="s">
        <v>2403</v>
      </c>
      <c r="D391" t="s">
        <v>3999</v>
      </c>
      <c r="E391">
        <v>23</v>
      </c>
      <c r="F391" t="str">
        <f t="shared" si="6"/>
        <v>18-25</v>
      </c>
      <c r="G391" t="s">
        <v>4006</v>
      </c>
      <c r="H391" t="s">
        <v>4010</v>
      </c>
      <c r="I391" t="s">
        <v>4015</v>
      </c>
      <c r="J391">
        <v>7</v>
      </c>
      <c r="K391">
        <v>892</v>
      </c>
      <c r="L391">
        <v>10</v>
      </c>
      <c r="M391">
        <v>6244</v>
      </c>
      <c r="N391">
        <v>624.4</v>
      </c>
      <c r="O391">
        <v>5619.6</v>
      </c>
    </row>
    <row r="392" spans="1:15" x14ac:dyDescent="0.3">
      <c r="A392" t="s">
        <v>404</v>
      </c>
      <c r="B392" s="1">
        <v>44852</v>
      </c>
      <c r="C392" t="s">
        <v>2404</v>
      </c>
      <c r="D392" t="s">
        <v>3999</v>
      </c>
      <c r="E392">
        <v>53</v>
      </c>
      <c r="F392" t="str">
        <f t="shared" si="6"/>
        <v>46+</v>
      </c>
      <c r="G392" t="s">
        <v>4003</v>
      </c>
      <c r="H392" t="s">
        <v>4012</v>
      </c>
      <c r="I392" t="s">
        <v>4014</v>
      </c>
      <c r="J392">
        <v>5</v>
      </c>
      <c r="K392">
        <v>706</v>
      </c>
      <c r="L392">
        <v>5</v>
      </c>
      <c r="M392">
        <v>3530</v>
      </c>
      <c r="N392">
        <v>176.5</v>
      </c>
      <c r="O392">
        <v>3353.5</v>
      </c>
    </row>
    <row r="393" spans="1:15" x14ac:dyDescent="0.3">
      <c r="A393" t="s">
        <v>405</v>
      </c>
      <c r="B393" s="1">
        <v>45154</v>
      </c>
      <c r="C393" t="s">
        <v>2405</v>
      </c>
      <c r="D393" t="s">
        <v>3999</v>
      </c>
      <c r="E393">
        <v>31</v>
      </c>
      <c r="F393" t="str">
        <f t="shared" si="6"/>
        <v>26-35</v>
      </c>
      <c r="G393" t="s">
        <v>4001</v>
      </c>
      <c r="H393" t="s">
        <v>4012</v>
      </c>
      <c r="I393" t="s">
        <v>4015</v>
      </c>
      <c r="J393">
        <v>4</v>
      </c>
      <c r="K393">
        <v>2742</v>
      </c>
      <c r="L393">
        <v>0</v>
      </c>
      <c r="M393">
        <v>10968</v>
      </c>
      <c r="N393">
        <v>0</v>
      </c>
      <c r="O393">
        <v>10968</v>
      </c>
    </row>
    <row r="394" spans="1:15" x14ac:dyDescent="0.3">
      <c r="A394" t="s">
        <v>406</v>
      </c>
      <c r="B394" s="1">
        <v>44757</v>
      </c>
      <c r="C394" t="s">
        <v>2406</v>
      </c>
      <c r="D394" t="s">
        <v>3999</v>
      </c>
      <c r="E394">
        <v>55</v>
      </c>
      <c r="F394" t="str">
        <f t="shared" si="6"/>
        <v>46+</v>
      </c>
      <c r="G394" t="s">
        <v>4002</v>
      </c>
      <c r="H394" t="s">
        <v>4009</v>
      </c>
      <c r="I394" t="s">
        <v>4016</v>
      </c>
      <c r="J394">
        <v>4</v>
      </c>
      <c r="K394">
        <v>7074</v>
      </c>
      <c r="L394">
        <v>0</v>
      </c>
      <c r="M394">
        <v>28296</v>
      </c>
      <c r="N394">
        <v>0</v>
      </c>
      <c r="O394">
        <v>28296</v>
      </c>
    </row>
    <row r="395" spans="1:15" x14ac:dyDescent="0.3">
      <c r="A395" t="s">
        <v>407</v>
      </c>
      <c r="B395" s="1">
        <v>45078</v>
      </c>
      <c r="C395" t="s">
        <v>2407</v>
      </c>
      <c r="D395" t="s">
        <v>4000</v>
      </c>
      <c r="E395">
        <v>19</v>
      </c>
      <c r="F395" t="str">
        <f t="shared" si="6"/>
        <v>18-25</v>
      </c>
      <c r="G395" t="s">
        <v>4002</v>
      </c>
      <c r="H395" t="s">
        <v>4007</v>
      </c>
      <c r="I395" t="s">
        <v>4014</v>
      </c>
      <c r="J395">
        <v>1</v>
      </c>
      <c r="K395">
        <v>6066</v>
      </c>
      <c r="L395">
        <v>0</v>
      </c>
      <c r="M395">
        <v>6066</v>
      </c>
      <c r="N395">
        <v>0</v>
      </c>
      <c r="O395">
        <v>6066</v>
      </c>
    </row>
    <row r="396" spans="1:15" x14ac:dyDescent="0.3">
      <c r="A396" t="s">
        <v>408</v>
      </c>
      <c r="B396" s="1">
        <v>45178</v>
      </c>
      <c r="C396" t="s">
        <v>2408</v>
      </c>
      <c r="D396" t="s">
        <v>4000</v>
      </c>
      <c r="E396">
        <v>52</v>
      </c>
      <c r="F396" t="str">
        <f t="shared" si="6"/>
        <v>46+</v>
      </c>
      <c r="G396" t="s">
        <v>4005</v>
      </c>
      <c r="H396" t="s">
        <v>4008</v>
      </c>
      <c r="I396" t="s">
        <v>4016</v>
      </c>
      <c r="J396">
        <v>5</v>
      </c>
      <c r="K396">
        <v>298</v>
      </c>
      <c r="L396">
        <v>10</v>
      </c>
      <c r="M396">
        <v>1490</v>
      </c>
      <c r="N396">
        <v>149</v>
      </c>
      <c r="O396">
        <v>1341</v>
      </c>
    </row>
    <row r="397" spans="1:15" x14ac:dyDescent="0.3">
      <c r="A397" t="s">
        <v>409</v>
      </c>
      <c r="B397" s="1">
        <v>44697</v>
      </c>
      <c r="C397" t="s">
        <v>2409</v>
      </c>
      <c r="D397" t="s">
        <v>3999</v>
      </c>
      <c r="E397">
        <v>62</v>
      </c>
      <c r="F397" t="str">
        <f t="shared" si="6"/>
        <v>46+</v>
      </c>
      <c r="G397" t="s">
        <v>4001</v>
      </c>
      <c r="H397" t="s">
        <v>4008</v>
      </c>
      <c r="I397" t="s">
        <v>4017</v>
      </c>
      <c r="J397">
        <v>4</v>
      </c>
      <c r="K397">
        <v>287</v>
      </c>
      <c r="L397">
        <v>5</v>
      </c>
      <c r="M397">
        <v>1148</v>
      </c>
      <c r="N397">
        <v>57.4</v>
      </c>
      <c r="O397">
        <v>1090.5999999999999</v>
      </c>
    </row>
    <row r="398" spans="1:15" x14ac:dyDescent="0.3">
      <c r="A398" t="s">
        <v>410</v>
      </c>
      <c r="B398" s="1">
        <v>44796</v>
      </c>
      <c r="C398" t="s">
        <v>2410</v>
      </c>
      <c r="D398" t="s">
        <v>3999</v>
      </c>
      <c r="E398">
        <v>19</v>
      </c>
      <c r="F398" t="str">
        <f t="shared" si="6"/>
        <v>18-25</v>
      </c>
      <c r="G398" t="s">
        <v>4003</v>
      </c>
      <c r="H398" t="s">
        <v>4008</v>
      </c>
      <c r="I398" t="s">
        <v>4015</v>
      </c>
      <c r="J398">
        <v>4</v>
      </c>
      <c r="K398">
        <v>5013</v>
      </c>
      <c r="L398">
        <v>15</v>
      </c>
      <c r="M398">
        <v>20052</v>
      </c>
      <c r="N398">
        <v>3007.8</v>
      </c>
      <c r="O398">
        <v>17044.2</v>
      </c>
    </row>
    <row r="399" spans="1:15" x14ac:dyDescent="0.3">
      <c r="A399" t="s">
        <v>411</v>
      </c>
      <c r="B399" s="1">
        <v>45186</v>
      </c>
      <c r="C399" t="s">
        <v>2411</v>
      </c>
      <c r="D399" t="s">
        <v>3999</v>
      </c>
      <c r="E399">
        <v>41</v>
      </c>
      <c r="F399" t="str">
        <f t="shared" si="6"/>
        <v>36-45</v>
      </c>
      <c r="G399" t="s">
        <v>4003</v>
      </c>
      <c r="H399" t="s">
        <v>4008</v>
      </c>
      <c r="I399" t="s">
        <v>4013</v>
      </c>
      <c r="J399">
        <v>2</v>
      </c>
      <c r="K399">
        <v>5645</v>
      </c>
      <c r="L399">
        <v>15</v>
      </c>
      <c r="M399">
        <v>11290</v>
      </c>
      <c r="N399">
        <v>1693.5</v>
      </c>
      <c r="O399">
        <v>9596.5</v>
      </c>
    </row>
    <row r="400" spans="1:15" x14ac:dyDescent="0.3">
      <c r="A400" t="s">
        <v>412</v>
      </c>
      <c r="B400" s="1">
        <v>44820</v>
      </c>
      <c r="C400" t="s">
        <v>2412</v>
      </c>
      <c r="D400" t="s">
        <v>3999</v>
      </c>
      <c r="E400">
        <v>44</v>
      </c>
      <c r="F400" t="str">
        <f t="shared" si="6"/>
        <v>36-45</v>
      </c>
      <c r="G400" t="s">
        <v>4004</v>
      </c>
      <c r="H400" t="s">
        <v>4009</v>
      </c>
      <c r="I400" t="s">
        <v>4017</v>
      </c>
      <c r="J400">
        <v>1</v>
      </c>
      <c r="K400">
        <v>1020</v>
      </c>
      <c r="L400">
        <v>0</v>
      </c>
      <c r="M400">
        <v>1020</v>
      </c>
      <c r="N400">
        <v>0</v>
      </c>
      <c r="O400">
        <v>1020</v>
      </c>
    </row>
    <row r="401" spans="1:15" x14ac:dyDescent="0.3">
      <c r="A401" t="s">
        <v>413</v>
      </c>
      <c r="B401" s="1">
        <v>44634</v>
      </c>
      <c r="C401" t="s">
        <v>2413</v>
      </c>
      <c r="D401" t="s">
        <v>4000</v>
      </c>
      <c r="E401">
        <v>46</v>
      </c>
      <c r="F401" t="str">
        <f t="shared" si="6"/>
        <v>46+</v>
      </c>
      <c r="G401" t="s">
        <v>4001</v>
      </c>
      <c r="H401" t="s">
        <v>4009</v>
      </c>
      <c r="I401" t="s">
        <v>4014</v>
      </c>
      <c r="J401">
        <v>1</v>
      </c>
      <c r="K401">
        <v>6421</v>
      </c>
      <c r="L401">
        <v>15</v>
      </c>
      <c r="M401">
        <v>6421</v>
      </c>
      <c r="N401">
        <v>963.15</v>
      </c>
      <c r="O401">
        <v>5457.85</v>
      </c>
    </row>
    <row r="402" spans="1:15" x14ac:dyDescent="0.3">
      <c r="A402" t="s">
        <v>414</v>
      </c>
      <c r="B402" s="1">
        <v>45078</v>
      </c>
      <c r="C402" t="s">
        <v>2414</v>
      </c>
      <c r="D402" t="s">
        <v>4000</v>
      </c>
      <c r="E402">
        <v>33</v>
      </c>
      <c r="F402" t="str">
        <f t="shared" si="6"/>
        <v>26-35</v>
      </c>
      <c r="G402" t="s">
        <v>4005</v>
      </c>
      <c r="H402" t="s">
        <v>4007</v>
      </c>
      <c r="I402" t="s">
        <v>4017</v>
      </c>
      <c r="J402">
        <v>2</v>
      </c>
      <c r="K402">
        <v>5550</v>
      </c>
      <c r="L402">
        <v>5</v>
      </c>
      <c r="M402">
        <v>11100</v>
      </c>
      <c r="N402">
        <v>555</v>
      </c>
      <c r="O402">
        <v>10545</v>
      </c>
    </row>
    <row r="403" spans="1:15" x14ac:dyDescent="0.3">
      <c r="A403" t="s">
        <v>415</v>
      </c>
      <c r="B403" s="1">
        <v>45074</v>
      </c>
      <c r="C403" t="s">
        <v>2415</v>
      </c>
      <c r="D403" t="s">
        <v>4000</v>
      </c>
      <c r="E403">
        <v>21</v>
      </c>
      <c r="F403" t="str">
        <f t="shared" si="6"/>
        <v>18-25</v>
      </c>
      <c r="G403" t="s">
        <v>4001</v>
      </c>
      <c r="H403" t="s">
        <v>4007</v>
      </c>
      <c r="I403" t="s">
        <v>4013</v>
      </c>
      <c r="J403">
        <v>4</v>
      </c>
      <c r="K403">
        <v>2543</v>
      </c>
      <c r="L403">
        <v>0</v>
      </c>
      <c r="M403">
        <v>10172</v>
      </c>
      <c r="N403">
        <v>0</v>
      </c>
      <c r="O403">
        <v>10172</v>
      </c>
    </row>
    <row r="404" spans="1:15" x14ac:dyDescent="0.3">
      <c r="A404" t="s">
        <v>416</v>
      </c>
      <c r="B404" s="1">
        <v>45254</v>
      </c>
      <c r="C404" t="s">
        <v>2416</v>
      </c>
      <c r="D404" t="s">
        <v>4000</v>
      </c>
      <c r="E404">
        <v>63</v>
      </c>
      <c r="F404" t="str">
        <f t="shared" si="6"/>
        <v>46+</v>
      </c>
      <c r="G404" t="s">
        <v>4005</v>
      </c>
      <c r="H404" t="s">
        <v>4011</v>
      </c>
      <c r="I404" t="s">
        <v>4016</v>
      </c>
      <c r="J404">
        <v>4</v>
      </c>
      <c r="K404">
        <v>7182</v>
      </c>
      <c r="L404">
        <v>5</v>
      </c>
      <c r="M404">
        <v>28728</v>
      </c>
      <c r="N404">
        <v>1436.4</v>
      </c>
      <c r="O404">
        <v>27291.599999999999</v>
      </c>
    </row>
    <row r="405" spans="1:15" x14ac:dyDescent="0.3">
      <c r="A405" t="s">
        <v>417</v>
      </c>
      <c r="B405" s="1">
        <v>45187</v>
      </c>
      <c r="C405" t="s">
        <v>2417</v>
      </c>
      <c r="D405" t="s">
        <v>4000</v>
      </c>
      <c r="E405">
        <v>64</v>
      </c>
      <c r="F405" t="str">
        <f t="shared" si="6"/>
        <v>46+</v>
      </c>
      <c r="G405" t="s">
        <v>4005</v>
      </c>
      <c r="H405" t="s">
        <v>4009</v>
      </c>
      <c r="I405" t="s">
        <v>4013</v>
      </c>
      <c r="J405">
        <v>3</v>
      </c>
      <c r="K405">
        <v>956</v>
      </c>
      <c r="L405">
        <v>20</v>
      </c>
      <c r="M405">
        <v>2868</v>
      </c>
      <c r="N405">
        <v>573.6</v>
      </c>
      <c r="O405">
        <v>2294.4</v>
      </c>
    </row>
    <row r="406" spans="1:15" x14ac:dyDescent="0.3">
      <c r="A406" t="s">
        <v>418</v>
      </c>
      <c r="B406" s="1">
        <v>45094</v>
      </c>
      <c r="C406" t="s">
        <v>2418</v>
      </c>
      <c r="D406" t="s">
        <v>3999</v>
      </c>
      <c r="E406">
        <v>62</v>
      </c>
      <c r="F406" t="str">
        <f t="shared" si="6"/>
        <v>46+</v>
      </c>
      <c r="G406" t="s">
        <v>4006</v>
      </c>
      <c r="H406" t="s">
        <v>4007</v>
      </c>
      <c r="I406" t="s">
        <v>4017</v>
      </c>
      <c r="J406">
        <v>1</v>
      </c>
      <c r="K406">
        <v>2340</v>
      </c>
      <c r="L406">
        <v>15</v>
      </c>
      <c r="M406">
        <v>2340</v>
      </c>
      <c r="N406">
        <v>351</v>
      </c>
      <c r="O406">
        <v>1989</v>
      </c>
    </row>
    <row r="407" spans="1:15" x14ac:dyDescent="0.3">
      <c r="A407" t="s">
        <v>419</v>
      </c>
      <c r="B407" s="1">
        <v>45198</v>
      </c>
      <c r="C407" t="s">
        <v>2419</v>
      </c>
      <c r="D407" t="s">
        <v>3999</v>
      </c>
      <c r="E407">
        <v>19</v>
      </c>
      <c r="F407" t="str">
        <f t="shared" si="6"/>
        <v>18-25</v>
      </c>
      <c r="G407" t="s">
        <v>4004</v>
      </c>
      <c r="H407" t="s">
        <v>4009</v>
      </c>
      <c r="I407" t="s">
        <v>4015</v>
      </c>
      <c r="J407">
        <v>5</v>
      </c>
      <c r="K407">
        <v>2457</v>
      </c>
      <c r="L407">
        <v>10</v>
      </c>
      <c r="M407">
        <v>12285</v>
      </c>
      <c r="N407">
        <v>1228.5</v>
      </c>
      <c r="O407">
        <v>11056.5</v>
      </c>
    </row>
    <row r="408" spans="1:15" x14ac:dyDescent="0.3">
      <c r="A408" t="s">
        <v>420</v>
      </c>
      <c r="B408" s="1">
        <v>45039</v>
      </c>
      <c r="C408" t="s">
        <v>2420</v>
      </c>
      <c r="D408" t="s">
        <v>3999</v>
      </c>
      <c r="E408">
        <v>57</v>
      </c>
      <c r="F408" t="str">
        <f t="shared" si="6"/>
        <v>46+</v>
      </c>
      <c r="G408" t="s">
        <v>4001</v>
      </c>
      <c r="H408" t="s">
        <v>4009</v>
      </c>
      <c r="I408" t="s">
        <v>4014</v>
      </c>
      <c r="J408">
        <v>7</v>
      </c>
      <c r="K408">
        <v>2813</v>
      </c>
      <c r="L408">
        <v>15</v>
      </c>
      <c r="M408">
        <v>19691</v>
      </c>
      <c r="N408">
        <v>2953.65</v>
      </c>
      <c r="O408">
        <v>16737.349999999999</v>
      </c>
    </row>
    <row r="409" spans="1:15" x14ac:dyDescent="0.3">
      <c r="A409" t="s">
        <v>421</v>
      </c>
      <c r="B409" s="1">
        <v>45105</v>
      </c>
      <c r="C409" t="s">
        <v>2421</v>
      </c>
      <c r="D409" t="s">
        <v>4000</v>
      </c>
      <c r="E409">
        <v>43</v>
      </c>
      <c r="F409" t="str">
        <f t="shared" si="6"/>
        <v>36-45</v>
      </c>
      <c r="G409" t="s">
        <v>4004</v>
      </c>
      <c r="H409" t="s">
        <v>4009</v>
      </c>
      <c r="I409" t="s">
        <v>4014</v>
      </c>
      <c r="J409">
        <v>6</v>
      </c>
      <c r="K409">
        <v>4756</v>
      </c>
      <c r="L409">
        <v>5</v>
      </c>
      <c r="M409">
        <v>28536</v>
      </c>
      <c r="N409">
        <v>1426.8</v>
      </c>
      <c r="O409">
        <v>27109.200000000001</v>
      </c>
    </row>
    <row r="410" spans="1:15" x14ac:dyDescent="0.3">
      <c r="A410" t="s">
        <v>422</v>
      </c>
      <c r="B410" s="1">
        <v>44930</v>
      </c>
      <c r="C410" t="s">
        <v>2422</v>
      </c>
      <c r="D410" t="s">
        <v>4000</v>
      </c>
      <c r="E410">
        <v>52</v>
      </c>
      <c r="F410" t="str">
        <f t="shared" si="6"/>
        <v>46+</v>
      </c>
      <c r="G410" t="s">
        <v>4003</v>
      </c>
      <c r="H410" t="s">
        <v>4007</v>
      </c>
      <c r="I410" t="s">
        <v>4017</v>
      </c>
      <c r="J410">
        <v>6</v>
      </c>
      <c r="K410">
        <v>2923</v>
      </c>
      <c r="L410">
        <v>15</v>
      </c>
      <c r="M410">
        <v>17538</v>
      </c>
      <c r="N410">
        <v>2630.7</v>
      </c>
      <c r="O410">
        <v>14907.3</v>
      </c>
    </row>
    <row r="411" spans="1:15" x14ac:dyDescent="0.3">
      <c r="A411" t="s">
        <v>423</v>
      </c>
      <c r="B411" s="1">
        <v>45123</v>
      </c>
      <c r="C411" t="s">
        <v>2423</v>
      </c>
      <c r="D411" t="s">
        <v>4000</v>
      </c>
      <c r="E411">
        <v>39</v>
      </c>
      <c r="F411" t="str">
        <f t="shared" si="6"/>
        <v>36-45</v>
      </c>
      <c r="G411" t="s">
        <v>4005</v>
      </c>
      <c r="H411" t="s">
        <v>4011</v>
      </c>
      <c r="I411" t="s">
        <v>4017</v>
      </c>
      <c r="J411">
        <v>2</v>
      </c>
      <c r="K411">
        <v>7393</v>
      </c>
      <c r="L411">
        <v>0</v>
      </c>
      <c r="M411">
        <v>14786</v>
      </c>
      <c r="N411">
        <v>0</v>
      </c>
      <c r="O411">
        <v>14786</v>
      </c>
    </row>
    <row r="412" spans="1:15" x14ac:dyDescent="0.3">
      <c r="A412" t="s">
        <v>424</v>
      </c>
      <c r="B412" s="1">
        <v>44930</v>
      </c>
      <c r="C412" t="s">
        <v>2424</v>
      </c>
      <c r="D412" t="s">
        <v>3999</v>
      </c>
      <c r="E412">
        <v>37</v>
      </c>
      <c r="F412" t="str">
        <f t="shared" si="6"/>
        <v>36-45</v>
      </c>
      <c r="G412" t="s">
        <v>4004</v>
      </c>
      <c r="H412" t="s">
        <v>4007</v>
      </c>
      <c r="I412" t="s">
        <v>4014</v>
      </c>
      <c r="J412">
        <v>7</v>
      </c>
      <c r="K412">
        <v>3117</v>
      </c>
      <c r="L412">
        <v>0</v>
      </c>
      <c r="M412">
        <v>21819</v>
      </c>
      <c r="N412">
        <v>0</v>
      </c>
      <c r="O412">
        <v>21819</v>
      </c>
    </row>
    <row r="413" spans="1:15" x14ac:dyDescent="0.3">
      <c r="A413" t="s">
        <v>425</v>
      </c>
      <c r="B413" s="1">
        <v>44796</v>
      </c>
      <c r="C413" t="s">
        <v>2425</v>
      </c>
      <c r="D413" t="s">
        <v>3999</v>
      </c>
      <c r="E413">
        <v>30</v>
      </c>
      <c r="F413" t="str">
        <f t="shared" si="6"/>
        <v>26-35</v>
      </c>
      <c r="G413" t="s">
        <v>4005</v>
      </c>
      <c r="H413" t="s">
        <v>4010</v>
      </c>
      <c r="I413" t="s">
        <v>4017</v>
      </c>
      <c r="J413">
        <v>4</v>
      </c>
      <c r="K413">
        <v>6754</v>
      </c>
      <c r="L413">
        <v>0</v>
      </c>
      <c r="M413">
        <v>27016</v>
      </c>
      <c r="N413">
        <v>0</v>
      </c>
      <c r="O413">
        <v>27016</v>
      </c>
    </row>
    <row r="414" spans="1:15" x14ac:dyDescent="0.3">
      <c r="A414" t="s">
        <v>426</v>
      </c>
      <c r="B414" s="1">
        <v>44712</v>
      </c>
      <c r="C414" t="s">
        <v>2426</v>
      </c>
      <c r="D414" t="s">
        <v>3999</v>
      </c>
      <c r="E414">
        <v>41</v>
      </c>
      <c r="F414" t="str">
        <f t="shared" si="6"/>
        <v>36-45</v>
      </c>
      <c r="G414" t="s">
        <v>4004</v>
      </c>
      <c r="H414" t="s">
        <v>4007</v>
      </c>
      <c r="I414" t="s">
        <v>4015</v>
      </c>
      <c r="J414">
        <v>6</v>
      </c>
      <c r="K414">
        <v>6534</v>
      </c>
      <c r="L414">
        <v>15</v>
      </c>
      <c r="M414">
        <v>39204</v>
      </c>
      <c r="N414">
        <v>5880.6</v>
      </c>
      <c r="O414">
        <v>33323.4</v>
      </c>
    </row>
    <row r="415" spans="1:15" x14ac:dyDescent="0.3">
      <c r="A415" t="s">
        <v>427</v>
      </c>
      <c r="B415" s="1">
        <v>45232</v>
      </c>
      <c r="C415" t="s">
        <v>2427</v>
      </c>
      <c r="D415" t="s">
        <v>4000</v>
      </c>
      <c r="E415">
        <v>54</v>
      </c>
      <c r="F415" t="str">
        <f t="shared" si="6"/>
        <v>46+</v>
      </c>
      <c r="G415" t="s">
        <v>4001</v>
      </c>
      <c r="H415" t="s">
        <v>4007</v>
      </c>
      <c r="I415" t="s">
        <v>4014</v>
      </c>
      <c r="J415">
        <v>1</v>
      </c>
      <c r="K415">
        <v>6919</v>
      </c>
      <c r="L415">
        <v>5</v>
      </c>
      <c r="M415">
        <v>6919</v>
      </c>
      <c r="N415">
        <v>345.95</v>
      </c>
      <c r="O415">
        <v>6573.05</v>
      </c>
    </row>
    <row r="416" spans="1:15" x14ac:dyDescent="0.3">
      <c r="A416" t="s">
        <v>428</v>
      </c>
      <c r="B416" s="1">
        <v>44676</v>
      </c>
      <c r="C416" t="s">
        <v>2428</v>
      </c>
      <c r="D416" t="s">
        <v>3999</v>
      </c>
      <c r="E416">
        <v>35</v>
      </c>
      <c r="F416" t="str">
        <f t="shared" si="6"/>
        <v>26-35</v>
      </c>
      <c r="G416" t="s">
        <v>4001</v>
      </c>
      <c r="H416" t="s">
        <v>4007</v>
      </c>
      <c r="I416" t="s">
        <v>4016</v>
      </c>
      <c r="J416">
        <v>3</v>
      </c>
      <c r="K416">
        <v>3833</v>
      </c>
      <c r="L416">
        <v>20</v>
      </c>
      <c r="M416">
        <v>11499</v>
      </c>
      <c r="N416">
        <v>2299.8000000000002</v>
      </c>
      <c r="O416">
        <v>9199.2000000000007</v>
      </c>
    </row>
    <row r="417" spans="1:15" x14ac:dyDescent="0.3">
      <c r="A417" t="s">
        <v>429</v>
      </c>
      <c r="B417" s="1">
        <v>44724</v>
      </c>
      <c r="C417" t="s">
        <v>2429</v>
      </c>
      <c r="D417" t="s">
        <v>3999</v>
      </c>
      <c r="E417">
        <v>59</v>
      </c>
      <c r="F417" t="str">
        <f t="shared" si="6"/>
        <v>46+</v>
      </c>
      <c r="G417" t="s">
        <v>4003</v>
      </c>
      <c r="H417" t="s">
        <v>4011</v>
      </c>
      <c r="I417" t="s">
        <v>4017</v>
      </c>
      <c r="J417">
        <v>1</v>
      </c>
      <c r="K417">
        <v>5332</v>
      </c>
      <c r="L417">
        <v>0</v>
      </c>
      <c r="M417">
        <v>5332</v>
      </c>
      <c r="N417">
        <v>0</v>
      </c>
      <c r="O417">
        <v>5332</v>
      </c>
    </row>
    <row r="418" spans="1:15" x14ac:dyDescent="0.3">
      <c r="A418" t="s">
        <v>430</v>
      </c>
      <c r="B418" s="1">
        <v>44646</v>
      </c>
      <c r="C418" t="s">
        <v>2430</v>
      </c>
      <c r="D418" t="s">
        <v>3999</v>
      </c>
      <c r="E418">
        <v>55</v>
      </c>
      <c r="F418" t="str">
        <f t="shared" si="6"/>
        <v>46+</v>
      </c>
      <c r="G418" t="s">
        <v>4003</v>
      </c>
      <c r="H418" t="s">
        <v>4008</v>
      </c>
      <c r="I418" t="s">
        <v>4017</v>
      </c>
      <c r="J418">
        <v>2</v>
      </c>
      <c r="K418">
        <v>7891</v>
      </c>
      <c r="L418">
        <v>0</v>
      </c>
      <c r="M418">
        <v>15782</v>
      </c>
      <c r="N418">
        <v>0</v>
      </c>
      <c r="O418">
        <v>15782</v>
      </c>
    </row>
    <row r="419" spans="1:15" x14ac:dyDescent="0.3">
      <c r="A419" t="s">
        <v>431</v>
      </c>
      <c r="B419" s="1">
        <v>44641</v>
      </c>
      <c r="C419" t="s">
        <v>2431</v>
      </c>
      <c r="D419" t="s">
        <v>4000</v>
      </c>
      <c r="E419">
        <v>58</v>
      </c>
      <c r="F419" t="str">
        <f t="shared" si="6"/>
        <v>46+</v>
      </c>
      <c r="G419" t="s">
        <v>4005</v>
      </c>
      <c r="H419" t="s">
        <v>4009</v>
      </c>
      <c r="I419" t="s">
        <v>4015</v>
      </c>
      <c r="J419">
        <v>2</v>
      </c>
      <c r="K419">
        <v>2798</v>
      </c>
      <c r="L419">
        <v>0</v>
      </c>
      <c r="M419">
        <v>5596</v>
      </c>
      <c r="N419">
        <v>0</v>
      </c>
      <c r="O419">
        <v>5596</v>
      </c>
    </row>
    <row r="420" spans="1:15" x14ac:dyDescent="0.3">
      <c r="A420" t="s">
        <v>432</v>
      </c>
      <c r="B420" s="1">
        <v>44966</v>
      </c>
      <c r="C420" t="s">
        <v>2432</v>
      </c>
      <c r="D420" t="s">
        <v>3999</v>
      </c>
      <c r="E420">
        <v>48</v>
      </c>
      <c r="F420" t="str">
        <f t="shared" si="6"/>
        <v>46+</v>
      </c>
      <c r="G420" t="s">
        <v>4001</v>
      </c>
      <c r="H420" t="s">
        <v>4009</v>
      </c>
      <c r="I420" t="s">
        <v>4015</v>
      </c>
      <c r="J420">
        <v>3</v>
      </c>
      <c r="K420">
        <v>2059</v>
      </c>
      <c r="L420">
        <v>0</v>
      </c>
      <c r="M420">
        <v>6177</v>
      </c>
      <c r="N420">
        <v>0</v>
      </c>
      <c r="O420">
        <v>6177</v>
      </c>
    </row>
    <row r="421" spans="1:15" x14ac:dyDescent="0.3">
      <c r="A421" t="s">
        <v>433</v>
      </c>
      <c r="B421" s="1">
        <v>44963</v>
      </c>
      <c r="C421" t="s">
        <v>2433</v>
      </c>
      <c r="D421" t="s">
        <v>3999</v>
      </c>
      <c r="E421">
        <v>31</v>
      </c>
      <c r="F421" t="str">
        <f t="shared" si="6"/>
        <v>26-35</v>
      </c>
      <c r="G421" t="s">
        <v>4001</v>
      </c>
      <c r="H421" t="s">
        <v>4010</v>
      </c>
      <c r="I421" t="s">
        <v>4016</v>
      </c>
      <c r="J421">
        <v>6</v>
      </c>
      <c r="K421">
        <v>5323</v>
      </c>
      <c r="L421">
        <v>15</v>
      </c>
      <c r="M421">
        <v>31938</v>
      </c>
      <c r="N421">
        <v>4790.7</v>
      </c>
      <c r="O421">
        <v>27147.3</v>
      </c>
    </row>
    <row r="422" spans="1:15" x14ac:dyDescent="0.3">
      <c r="A422" t="s">
        <v>434</v>
      </c>
      <c r="B422" s="1">
        <v>44956</v>
      </c>
      <c r="C422" t="s">
        <v>2434</v>
      </c>
      <c r="D422" t="s">
        <v>3999</v>
      </c>
      <c r="E422">
        <v>20</v>
      </c>
      <c r="F422" t="str">
        <f t="shared" si="6"/>
        <v>18-25</v>
      </c>
      <c r="G422" t="s">
        <v>4006</v>
      </c>
      <c r="H422" t="s">
        <v>4007</v>
      </c>
      <c r="I422" t="s">
        <v>4013</v>
      </c>
      <c r="J422">
        <v>3</v>
      </c>
      <c r="K422">
        <v>4370</v>
      </c>
      <c r="L422">
        <v>0</v>
      </c>
      <c r="M422">
        <v>13110</v>
      </c>
      <c r="N422">
        <v>0</v>
      </c>
      <c r="O422">
        <v>13110</v>
      </c>
    </row>
    <row r="423" spans="1:15" x14ac:dyDescent="0.3">
      <c r="A423" t="s">
        <v>435</v>
      </c>
      <c r="B423" s="1">
        <v>44562</v>
      </c>
      <c r="C423" t="s">
        <v>2435</v>
      </c>
      <c r="D423" t="s">
        <v>4000</v>
      </c>
      <c r="E423">
        <v>42</v>
      </c>
      <c r="F423" t="str">
        <f t="shared" si="6"/>
        <v>36-45</v>
      </c>
      <c r="G423" t="s">
        <v>4004</v>
      </c>
      <c r="H423" t="s">
        <v>4008</v>
      </c>
      <c r="I423" t="s">
        <v>4016</v>
      </c>
      <c r="J423">
        <v>1</v>
      </c>
      <c r="K423">
        <v>585</v>
      </c>
      <c r="L423">
        <v>0</v>
      </c>
      <c r="M423">
        <v>585</v>
      </c>
      <c r="N423">
        <v>0</v>
      </c>
      <c r="O423">
        <v>585</v>
      </c>
    </row>
    <row r="424" spans="1:15" x14ac:dyDescent="0.3">
      <c r="A424" t="s">
        <v>436</v>
      </c>
      <c r="B424" s="1">
        <v>44788</v>
      </c>
      <c r="C424" t="s">
        <v>2436</v>
      </c>
      <c r="D424" t="s">
        <v>3999</v>
      </c>
      <c r="E424">
        <v>51</v>
      </c>
      <c r="F424" t="str">
        <f t="shared" si="6"/>
        <v>46+</v>
      </c>
      <c r="G424" t="s">
        <v>4002</v>
      </c>
      <c r="H424" t="s">
        <v>4011</v>
      </c>
      <c r="I424" t="s">
        <v>4017</v>
      </c>
      <c r="J424">
        <v>3</v>
      </c>
      <c r="K424">
        <v>6760</v>
      </c>
      <c r="L424">
        <v>20</v>
      </c>
      <c r="M424">
        <v>20280</v>
      </c>
      <c r="N424">
        <v>4056</v>
      </c>
      <c r="O424">
        <v>16224</v>
      </c>
    </row>
    <row r="425" spans="1:15" x14ac:dyDescent="0.3">
      <c r="A425" t="s">
        <v>437</v>
      </c>
      <c r="B425" s="1">
        <v>45237</v>
      </c>
      <c r="C425" t="s">
        <v>2437</v>
      </c>
      <c r="D425" t="s">
        <v>3999</v>
      </c>
      <c r="E425">
        <v>21</v>
      </c>
      <c r="F425" t="str">
        <f t="shared" si="6"/>
        <v>18-25</v>
      </c>
      <c r="G425" t="s">
        <v>4005</v>
      </c>
      <c r="H425" t="s">
        <v>4012</v>
      </c>
      <c r="I425" t="s">
        <v>4016</v>
      </c>
      <c r="J425">
        <v>2</v>
      </c>
      <c r="K425">
        <v>5646</v>
      </c>
      <c r="L425">
        <v>15</v>
      </c>
      <c r="M425">
        <v>11292</v>
      </c>
      <c r="N425">
        <v>1693.8</v>
      </c>
      <c r="O425">
        <v>9598.2000000000007</v>
      </c>
    </row>
    <row r="426" spans="1:15" x14ac:dyDescent="0.3">
      <c r="A426" t="s">
        <v>438</v>
      </c>
      <c r="B426" s="1">
        <v>44681</v>
      </c>
      <c r="C426" t="s">
        <v>2438</v>
      </c>
      <c r="D426" t="s">
        <v>4000</v>
      </c>
      <c r="E426">
        <v>33</v>
      </c>
      <c r="F426" t="str">
        <f t="shared" si="6"/>
        <v>26-35</v>
      </c>
      <c r="G426" t="s">
        <v>4002</v>
      </c>
      <c r="H426" t="s">
        <v>4007</v>
      </c>
      <c r="I426" t="s">
        <v>4014</v>
      </c>
      <c r="J426">
        <v>5</v>
      </c>
      <c r="K426">
        <v>5502</v>
      </c>
      <c r="L426">
        <v>5</v>
      </c>
      <c r="M426">
        <v>27510</v>
      </c>
      <c r="N426">
        <v>1375.5</v>
      </c>
      <c r="O426">
        <v>26134.5</v>
      </c>
    </row>
    <row r="427" spans="1:15" x14ac:dyDescent="0.3">
      <c r="A427" t="s">
        <v>439</v>
      </c>
      <c r="B427" s="1">
        <v>44680</v>
      </c>
      <c r="C427" t="s">
        <v>2439</v>
      </c>
      <c r="D427" t="s">
        <v>3999</v>
      </c>
      <c r="E427">
        <v>58</v>
      </c>
      <c r="F427" t="str">
        <f t="shared" si="6"/>
        <v>46+</v>
      </c>
      <c r="G427" t="s">
        <v>4003</v>
      </c>
      <c r="H427" t="s">
        <v>4012</v>
      </c>
      <c r="I427" t="s">
        <v>4014</v>
      </c>
      <c r="J427">
        <v>5</v>
      </c>
      <c r="K427">
        <v>2861</v>
      </c>
      <c r="L427">
        <v>5</v>
      </c>
      <c r="M427">
        <v>14305</v>
      </c>
      <c r="N427">
        <v>715.25</v>
      </c>
      <c r="O427">
        <v>13589.75</v>
      </c>
    </row>
    <row r="428" spans="1:15" x14ac:dyDescent="0.3">
      <c r="A428" t="s">
        <v>440</v>
      </c>
      <c r="B428" s="1">
        <v>44718</v>
      </c>
      <c r="C428" t="s">
        <v>2440</v>
      </c>
      <c r="D428" t="s">
        <v>4000</v>
      </c>
      <c r="E428">
        <v>19</v>
      </c>
      <c r="F428" t="str">
        <f t="shared" si="6"/>
        <v>18-25</v>
      </c>
      <c r="G428" t="s">
        <v>4005</v>
      </c>
      <c r="H428" t="s">
        <v>4010</v>
      </c>
      <c r="I428" t="s">
        <v>4014</v>
      </c>
      <c r="J428">
        <v>5</v>
      </c>
      <c r="K428">
        <v>4986</v>
      </c>
      <c r="L428">
        <v>15</v>
      </c>
      <c r="M428">
        <v>24930</v>
      </c>
      <c r="N428">
        <v>3739.5</v>
      </c>
      <c r="O428">
        <v>21190.5</v>
      </c>
    </row>
    <row r="429" spans="1:15" x14ac:dyDescent="0.3">
      <c r="A429" t="s">
        <v>441</v>
      </c>
      <c r="B429" s="1">
        <v>44987</v>
      </c>
      <c r="C429" t="s">
        <v>2441</v>
      </c>
      <c r="D429" t="s">
        <v>4000</v>
      </c>
      <c r="E429">
        <v>55</v>
      </c>
      <c r="F429" t="str">
        <f t="shared" si="6"/>
        <v>46+</v>
      </c>
      <c r="G429" t="s">
        <v>4003</v>
      </c>
      <c r="H429" t="s">
        <v>4008</v>
      </c>
      <c r="I429" t="s">
        <v>4017</v>
      </c>
      <c r="J429">
        <v>3</v>
      </c>
      <c r="K429">
        <v>5418</v>
      </c>
      <c r="L429">
        <v>0</v>
      </c>
      <c r="M429">
        <v>16254</v>
      </c>
      <c r="N429">
        <v>0</v>
      </c>
      <c r="O429">
        <v>16254</v>
      </c>
    </row>
    <row r="430" spans="1:15" x14ac:dyDescent="0.3">
      <c r="A430" t="s">
        <v>442</v>
      </c>
      <c r="B430" s="1">
        <v>44735</v>
      </c>
      <c r="C430" t="s">
        <v>2442</v>
      </c>
      <c r="D430" t="s">
        <v>3999</v>
      </c>
      <c r="E430">
        <v>39</v>
      </c>
      <c r="F430" t="str">
        <f t="shared" si="6"/>
        <v>36-45</v>
      </c>
      <c r="G430" t="s">
        <v>4003</v>
      </c>
      <c r="H430" t="s">
        <v>4009</v>
      </c>
      <c r="I430" t="s">
        <v>4017</v>
      </c>
      <c r="J430">
        <v>3</v>
      </c>
      <c r="K430">
        <v>324</v>
      </c>
      <c r="L430">
        <v>0</v>
      </c>
      <c r="M430">
        <v>972</v>
      </c>
      <c r="N430">
        <v>0</v>
      </c>
      <c r="O430">
        <v>972</v>
      </c>
    </row>
    <row r="431" spans="1:15" x14ac:dyDescent="0.3">
      <c r="A431" t="s">
        <v>443</v>
      </c>
      <c r="B431" s="1">
        <v>45006</v>
      </c>
      <c r="C431" t="s">
        <v>2443</v>
      </c>
      <c r="D431" t="s">
        <v>3999</v>
      </c>
      <c r="E431">
        <v>64</v>
      </c>
      <c r="F431" t="str">
        <f t="shared" si="6"/>
        <v>46+</v>
      </c>
      <c r="G431" t="s">
        <v>4002</v>
      </c>
      <c r="H431" t="s">
        <v>4012</v>
      </c>
      <c r="I431" t="s">
        <v>4015</v>
      </c>
      <c r="J431">
        <v>2</v>
      </c>
      <c r="K431">
        <v>6098</v>
      </c>
      <c r="L431">
        <v>0</v>
      </c>
      <c r="M431">
        <v>12196</v>
      </c>
      <c r="N431">
        <v>0</v>
      </c>
      <c r="O431">
        <v>12196</v>
      </c>
    </row>
    <row r="432" spans="1:15" x14ac:dyDescent="0.3">
      <c r="A432" t="s">
        <v>444</v>
      </c>
      <c r="B432" s="1">
        <v>44776</v>
      </c>
      <c r="C432" t="s">
        <v>2444</v>
      </c>
      <c r="D432" t="s">
        <v>4000</v>
      </c>
      <c r="E432">
        <v>18</v>
      </c>
      <c r="F432" t="str">
        <f t="shared" si="6"/>
        <v>18-25</v>
      </c>
      <c r="G432" t="s">
        <v>4005</v>
      </c>
      <c r="H432" t="s">
        <v>4008</v>
      </c>
      <c r="I432" t="s">
        <v>4014</v>
      </c>
      <c r="J432">
        <v>5</v>
      </c>
      <c r="K432">
        <v>4685</v>
      </c>
      <c r="L432">
        <v>0</v>
      </c>
      <c r="M432">
        <v>23425</v>
      </c>
      <c r="N432">
        <v>0</v>
      </c>
      <c r="O432">
        <v>23425</v>
      </c>
    </row>
    <row r="433" spans="1:15" x14ac:dyDescent="0.3">
      <c r="A433" t="s">
        <v>445</v>
      </c>
      <c r="B433" s="1">
        <v>44649</v>
      </c>
      <c r="C433" t="s">
        <v>2445</v>
      </c>
      <c r="D433" t="s">
        <v>4000</v>
      </c>
      <c r="E433">
        <v>31</v>
      </c>
      <c r="F433" t="str">
        <f t="shared" si="6"/>
        <v>26-35</v>
      </c>
      <c r="G433" t="s">
        <v>4003</v>
      </c>
      <c r="H433" t="s">
        <v>4008</v>
      </c>
      <c r="I433" t="s">
        <v>4013</v>
      </c>
      <c r="J433">
        <v>6</v>
      </c>
      <c r="K433">
        <v>4567</v>
      </c>
      <c r="L433">
        <v>0</v>
      </c>
      <c r="M433">
        <v>27402</v>
      </c>
      <c r="N433">
        <v>0</v>
      </c>
      <c r="O433">
        <v>27402</v>
      </c>
    </row>
    <row r="434" spans="1:15" x14ac:dyDescent="0.3">
      <c r="A434" t="s">
        <v>446</v>
      </c>
      <c r="B434" s="1">
        <v>45038</v>
      </c>
      <c r="C434" t="s">
        <v>2446</v>
      </c>
      <c r="D434" t="s">
        <v>4000</v>
      </c>
      <c r="E434">
        <v>35</v>
      </c>
      <c r="F434" t="str">
        <f t="shared" si="6"/>
        <v>26-35</v>
      </c>
      <c r="G434" t="s">
        <v>4005</v>
      </c>
      <c r="H434" t="s">
        <v>4012</v>
      </c>
      <c r="I434" t="s">
        <v>4013</v>
      </c>
      <c r="J434">
        <v>4</v>
      </c>
      <c r="K434">
        <v>2757</v>
      </c>
      <c r="L434">
        <v>0</v>
      </c>
      <c r="M434">
        <v>11028</v>
      </c>
      <c r="N434">
        <v>0</v>
      </c>
      <c r="O434">
        <v>11028</v>
      </c>
    </row>
    <row r="435" spans="1:15" x14ac:dyDescent="0.3">
      <c r="A435" t="s">
        <v>447</v>
      </c>
      <c r="B435" s="1">
        <v>44805</v>
      </c>
      <c r="C435" t="s">
        <v>2447</v>
      </c>
      <c r="D435" t="s">
        <v>4000</v>
      </c>
      <c r="E435">
        <v>52</v>
      </c>
      <c r="F435" t="str">
        <f t="shared" si="6"/>
        <v>46+</v>
      </c>
      <c r="G435" t="s">
        <v>4002</v>
      </c>
      <c r="H435" t="s">
        <v>4010</v>
      </c>
      <c r="I435" t="s">
        <v>4016</v>
      </c>
      <c r="J435">
        <v>2</v>
      </c>
      <c r="K435">
        <v>5064</v>
      </c>
      <c r="L435">
        <v>0</v>
      </c>
      <c r="M435">
        <v>10128</v>
      </c>
      <c r="N435">
        <v>0</v>
      </c>
      <c r="O435">
        <v>10128</v>
      </c>
    </row>
    <row r="436" spans="1:15" x14ac:dyDescent="0.3">
      <c r="A436" t="s">
        <v>448</v>
      </c>
      <c r="B436" s="1">
        <v>44938</v>
      </c>
      <c r="C436" t="s">
        <v>2448</v>
      </c>
      <c r="D436" t="s">
        <v>4000</v>
      </c>
      <c r="E436">
        <v>21</v>
      </c>
      <c r="F436" t="str">
        <f t="shared" si="6"/>
        <v>18-25</v>
      </c>
      <c r="G436" t="s">
        <v>4004</v>
      </c>
      <c r="H436" t="s">
        <v>4009</v>
      </c>
      <c r="I436" t="s">
        <v>4017</v>
      </c>
      <c r="J436">
        <v>3</v>
      </c>
      <c r="K436">
        <v>4312</v>
      </c>
      <c r="L436">
        <v>5</v>
      </c>
      <c r="M436">
        <v>12936</v>
      </c>
      <c r="N436">
        <v>646.79999999999995</v>
      </c>
      <c r="O436">
        <v>12289.2</v>
      </c>
    </row>
    <row r="437" spans="1:15" x14ac:dyDescent="0.3">
      <c r="A437" t="s">
        <v>449</v>
      </c>
      <c r="B437" s="1">
        <v>44573</v>
      </c>
      <c r="C437" t="s">
        <v>2449</v>
      </c>
      <c r="D437" t="s">
        <v>4000</v>
      </c>
      <c r="E437">
        <v>62</v>
      </c>
      <c r="F437" t="str">
        <f t="shared" si="6"/>
        <v>46+</v>
      </c>
      <c r="G437" t="s">
        <v>4006</v>
      </c>
      <c r="H437" t="s">
        <v>4008</v>
      </c>
      <c r="I437" t="s">
        <v>4015</v>
      </c>
      <c r="J437">
        <v>7</v>
      </c>
      <c r="K437">
        <v>5887</v>
      </c>
      <c r="L437">
        <v>0</v>
      </c>
      <c r="M437">
        <v>41209</v>
      </c>
      <c r="N437">
        <v>0</v>
      </c>
      <c r="O437">
        <v>41209</v>
      </c>
    </row>
    <row r="438" spans="1:15" x14ac:dyDescent="0.3">
      <c r="A438" t="s">
        <v>450</v>
      </c>
      <c r="B438" s="1">
        <v>44968</v>
      </c>
      <c r="C438" t="s">
        <v>2450</v>
      </c>
      <c r="D438" t="s">
        <v>3999</v>
      </c>
      <c r="E438">
        <v>20</v>
      </c>
      <c r="F438" t="str">
        <f t="shared" si="6"/>
        <v>18-25</v>
      </c>
      <c r="G438" t="s">
        <v>4001</v>
      </c>
      <c r="H438" t="s">
        <v>4012</v>
      </c>
      <c r="I438" t="s">
        <v>4013</v>
      </c>
      <c r="J438">
        <v>1</v>
      </c>
      <c r="K438">
        <v>2853</v>
      </c>
      <c r="L438">
        <v>5</v>
      </c>
      <c r="M438">
        <v>2853</v>
      </c>
      <c r="N438">
        <v>142.65</v>
      </c>
      <c r="O438">
        <v>2710.35</v>
      </c>
    </row>
    <row r="439" spans="1:15" x14ac:dyDescent="0.3">
      <c r="A439" t="s">
        <v>451</v>
      </c>
      <c r="B439" s="1">
        <v>44655</v>
      </c>
      <c r="C439" t="s">
        <v>2451</v>
      </c>
      <c r="D439" t="s">
        <v>3999</v>
      </c>
      <c r="E439">
        <v>51</v>
      </c>
      <c r="F439" t="str">
        <f t="shared" si="6"/>
        <v>46+</v>
      </c>
      <c r="G439" t="s">
        <v>4001</v>
      </c>
      <c r="H439" t="s">
        <v>4008</v>
      </c>
      <c r="I439" t="s">
        <v>4013</v>
      </c>
      <c r="J439">
        <v>4</v>
      </c>
      <c r="K439">
        <v>3099</v>
      </c>
      <c r="L439">
        <v>10</v>
      </c>
      <c r="M439">
        <v>12396</v>
      </c>
      <c r="N439">
        <v>1239.5999999999999</v>
      </c>
      <c r="O439">
        <v>11156.4</v>
      </c>
    </row>
    <row r="440" spans="1:15" x14ac:dyDescent="0.3">
      <c r="A440" t="s">
        <v>452</v>
      </c>
      <c r="B440" s="1">
        <v>44921</v>
      </c>
      <c r="C440" t="s">
        <v>2452</v>
      </c>
      <c r="D440" t="s">
        <v>4000</v>
      </c>
      <c r="E440">
        <v>59</v>
      </c>
      <c r="F440" t="str">
        <f t="shared" si="6"/>
        <v>46+</v>
      </c>
      <c r="G440" t="s">
        <v>4004</v>
      </c>
      <c r="H440" t="s">
        <v>4007</v>
      </c>
      <c r="I440" t="s">
        <v>4016</v>
      </c>
      <c r="J440">
        <v>1</v>
      </c>
      <c r="K440">
        <v>1600</v>
      </c>
      <c r="L440">
        <v>10</v>
      </c>
      <c r="M440">
        <v>1600</v>
      </c>
      <c r="N440">
        <v>160</v>
      </c>
      <c r="O440">
        <v>1440</v>
      </c>
    </row>
    <row r="441" spans="1:15" x14ac:dyDescent="0.3">
      <c r="A441" t="s">
        <v>453</v>
      </c>
      <c r="B441" s="1">
        <v>44872</v>
      </c>
      <c r="C441" t="s">
        <v>2453</v>
      </c>
      <c r="D441" t="s">
        <v>3999</v>
      </c>
      <c r="E441">
        <v>43</v>
      </c>
      <c r="F441" t="str">
        <f t="shared" si="6"/>
        <v>36-45</v>
      </c>
      <c r="G441" t="s">
        <v>4001</v>
      </c>
      <c r="H441" t="s">
        <v>4009</v>
      </c>
      <c r="I441" t="s">
        <v>4013</v>
      </c>
      <c r="J441">
        <v>2</v>
      </c>
      <c r="K441">
        <v>6249</v>
      </c>
      <c r="L441">
        <v>20</v>
      </c>
      <c r="M441">
        <v>12498</v>
      </c>
      <c r="N441">
        <v>2499.6</v>
      </c>
      <c r="O441">
        <v>9998.4</v>
      </c>
    </row>
    <row r="442" spans="1:15" x14ac:dyDescent="0.3">
      <c r="A442" t="s">
        <v>454</v>
      </c>
      <c r="B442" s="1">
        <v>45244</v>
      </c>
      <c r="C442" t="s">
        <v>2454</v>
      </c>
      <c r="D442" t="s">
        <v>4000</v>
      </c>
      <c r="E442">
        <v>35</v>
      </c>
      <c r="F442" t="str">
        <f t="shared" si="6"/>
        <v>26-35</v>
      </c>
      <c r="G442" t="s">
        <v>4005</v>
      </c>
      <c r="H442" t="s">
        <v>4007</v>
      </c>
      <c r="I442" t="s">
        <v>4014</v>
      </c>
      <c r="J442">
        <v>6</v>
      </c>
      <c r="K442">
        <v>4691</v>
      </c>
      <c r="L442">
        <v>10</v>
      </c>
      <c r="M442">
        <v>28146</v>
      </c>
      <c r="N442">
        <v>2814.6</v>
      </c>
      <c r="O442">
        <v>25331.4</v>
      </c>
    </row>
    <row r="443" spans="1:15" x14ac:dyDescent="0.3">
      <c r="A443" t="s">
        <v>455</v>
      </c>
      <c r="B443" s="1">
        <v>44954</v>
      </c>
      <c r="C443" t="s">
        <v>2455</v>
      </c>
      <c r="D443" t="s">
        <v>3999</v>
      </c>
      <c r="E443">
        <v>20</v>
      </c>
      <c r="F443" t="str">
        <f t="shared" si="6"/>
        <v>18-25</v>
      </c>
      <c r="G443" t="s">
        <v>4004</v>
      </c>
      <c r="H443" t="s">
        <v>4012</v>
      </c>
      <c r="I443" t="s">
        <v>4015</v>
      </c>
      <c r="J443">
        <v>2</v>
      </c>
      <c r="K443">
        <v>4858</v>
      </c>
      <c r="L443">
        <v>0</v>
      </c>
      <c r="M443">
        <v>9716</v>
      </c>
      <c r="N443">
        <v>0</v>
      </c>
      <c r="O443">
        <v>9716</v>
      </c>
    </row>
    <row r="444" spans="1:15" x14ac:dyDescent="0.3">
      <c r="A444" t="s">
        <v>456</v>
      </c>
      <c r="B444" s="1">
        <v>45240</v>
      </c>
      <c r="C444" t="s">
        <v>2456</v>
      </c>
      <c r="D444" t="s">
        <v>3999</v>
      </c>
      <c r="E444">
        <v>42</v>
      </c>
      <c r="F444" t="str">
        <f t="shared" si="6"/>
        <v>36-45</v>
      </c>
      <c r="G444" t="s">
        <v>4005</v>
      </c>
      <c r="H444" t="s">
        <v>4008</v>
      </c>
      <c r="I444" t="s">
        <v>4017</v>
      </c>
      <c r="J444">
        <v>4</v>
      </c>
      <c r="K444">
        <v>1643</v>
      </c>
      <c r="L444">
        <v>5</v>
      </c>
      <c r="M444">
        <v>6572</v>
      </c>
      <c r="N444">
        <v>328.6</v>
      </c>
      <c r="O444">
        <v>6243.4</v>
      </c>
    </row>
    <row r="445" spans="1:15" x14ac:dyDescent="0.3">
      <c r="A445" t="s">
        <v>457</v>
      </c>
      <c r="B445" s="1">
        <v>44652</v>
      </c>
      <c r="C445" t="s">
        <v>2457</v>
      </c>
      <c r="D445" t="s">
        <v>4000</v>
      </c>
      <c r="E445">
        <v>26</v>
      </c>
      <c r="F445" t="str">
        <f t="shared" si="6"/>
        <v>26-35</v>
      </c>
      <c r="G445" t="s">
        <v>4006</v>
      </c>
      <c r="H445" t="s">
        <v>4009</v>
      </c>
      <c r="I445" t="s">
        <v>4013</v>
      </c>
      <c r="J445">
        <v>4</v>
      </c>
      <c r="K445">
        <v>4417</v>
      </c>
      <c r="L445">
        <v>15</v>
      </c>
      <c r="M445">
        <v>17668</v>
      </c>
      <c r="N445">
        <v>2650.2</v>
      </c>
      <c r="O445">
        <v>15017.8</v>
      </c>
    </row>
    <row r="446" spans="1:15" x14ac:dyDescent="0.3">
      <c r="A446" t="s">
        <v>458</v>
      </c>
      <c r="B446" s="1">
        <v>44707</v>
      </c>
      <c r="C446" t="s">
        <v>2458</v>
      </c>
      <c r="D446" t="s">
        <v>4000</v>
      </c>
      <c r="E446">
        <v>57</v>
      </c>
      <c r="F446" t="str">
        <f t="shared" si="6"/>
        <v>46+</v>
      </c>
      <c r="G446" t="s">
        <v>4002</v>
      </c>
      <c r="H446" t="s">
        <v>4008</v>
      </c>
      <c r="I446" t="s">
        <v>4017</v>
      </c>
      <c r="J446">
        <v>7</v>
      </c>
      <c r="K446">
        <v>2592</v>
      </c>
      <c r="L446">
        <v>10</v>
      </c>
      <c r="M446">
        <v>18144</v>
      </c>
      <c r="N446">
        <v>1814.4</v>
      </c>
      <c r="O446">
        <v>16329.6</v>
      </c>
    </row>
    <row r="447" spans="1:15" x14ac:dyDescent="0.3">
      <c r="A447" t="s">
        <v>459</v>
      </c>
      <c r="B447" s="1">
        <v>44706</v>
      </c>
      <c r="C447" t="s">
        <v>2459</v>
      </c>
      <c r="D447" t="s">
        <v>4000</v>
      </c>
      <c r="E447">
        <v>64</v>
      </c>
      <c r="F447" t="str">
        <f t="shared" si="6"/>
        <v>46+</v>
      </c>
      <c r="G447" t="s">
        <v>4006</v>
      </c>
      <c r="H447" t="s">
        <v>4012</v>
      </c>
      <c r="I447" t="s">
        <v>4013</v>
      </c>
      <c r="J447">
        <v>5</v>
      </c>
      <c r="K447">
        <v>2460</v>
      </c>
      <c r="L447">
        <v>15</v>
      </c>
      <c r="M447">
        <v>12300</v>
      </c>
      <c r="N447">
        <v>1845</v>
      </c>
      <c r="O447">
        <v>10455</v>
      </c>
    </row>
    <row r="448" spans="1:15" x14ac:dyDescent="0.3">
      <c r="A448" t="s">
        <v>460</v>
      </c>
      <c r="B448" s="1">
        <v>45145</v>
      </c>
      <c r="C448" t="s">
        <v>2460</v>
      </c>
      <c r="D448" t="s">
        <v>3999</v>
      </c>
      <c r="E448">
        <v>22</v>
      </c>
      <c r="F448" t="str">
        <f t="shared" si="6"/>
        <v>18-25</v>
      </c>
      <c r="G448" t="s">
        <v>4002</v>
      </c>
      <c r="H448" t="s">
        <v>4010</v>
      </c>
      <c r="I448" t="s">
        <v>4013</v>
      </c>
      <c r="J448">
        <v>6</v>
      </c>
      <c r="K448">
        <v>4847</v>
      </c>
      <c r="L448">
        <v>5</v>
      </c>
      <c r="M448">
        <v>29082</v>
      </c>
      <c r="N448">
        <v>1454.1</v>
      </c>
      <c r="O448">
        <v>27627.9</v>
      </c>
    </row>
    <row r="449" spans="1:15" x14ac:dyDescent="0.3">
      <c r="A449" t="s">
        <v>461</v>
      </c>
      <c r="B449" s="1">
        <v>45192</v>
      </c>
      <c r="C449" t="s">
        <v>2461</v>
      </c>
      <c r="D449" t="s">
        <v>3999</v>
      </c>
      <c r="E449">
        <v>33</v>
      </c>
      <c r="F449" t="str">
        <f t="shared" si="6"/>
        <v>26-35</v>
      </c>
      <c r="G449" t="s">
        <v>4002</v>
      </c>
      <c r="H449" t="s">
        <v>4008</v>
      </c>
      <c r="I449" t="s">
        <v>4017</v>
      </c>
      <c r="J449">
        <v>6</v>
      </c>
      <c r="K449">
        <v>4927</v>
      </c>
      <c r="L449">
        <v>0</v>
      </c>
      <c r="M449">
        <v>29562</v>
      </c>
      <c r="N449">
        <v>0</v>
      </c>
      <c r="O449">
        <v>29562</v>
      </c>
    </row>
    <row r="450" spans="1:15" x14ac:dyDescent="0.3">
      <c r="A450" t="s">
        <v>462</v>
      </c>
      <c r="B450" s="1">
        <v>44618</v>
      </c>
      <c r="C450" t="s">
        <v>2462</v>
      </c>
      <c r="D450" t="s">
        <v>4000</v>
      </c>
      <c r="E450">
        <v>46</v>
      </c>
      <c r="F450" t="str">
        <f t="shared" ref="F450:F513" si="7">IF(E450&lt;=25,"18-25",IF(E450&lt;=35,"26-35",IF(E450&lt;=45,"36-45","46+")))</f>
        <v>46+</v>
      </c>
      <c r="G450" t="s">
        <v>4004</v>
      </c>
      <c r="H450" t="s">
        <v>4009</v>
      </c>
      <c r="I450" t="s">
        <v>4015</v>
      </c>
      <c r="J450">
        <v>1</v>
      </c>
      <c r="K450">
        <v>4483</v>
      </c>
      <c r="L450">
        <v>0</v>
      </c>
      <c r="M450">
        <v>4483</v>
      </c>
      <c r="N450">
        <v>0</v>
      </c>
      <c r="O450">
        <v>4483</v>
      </c>
    </row>
    <row r="451" spans="1:15" x14ac:dyDescent="0.3">
      <c r="A451" t="s">
        <v>463</v>
      </c>
      <c r="B451" s="1">
        <v>44807</v>
      </c>
      <c r="C451" t="s">
        <v>2463</v>
      </c>
      <c r="D451" t="s">
        <v>3999</v>
      </c>
      <c r="E451">
        <v>22</v>
      </c>
      <c r="F451" t="str">
        <f t="shared" si="7"/>
        <v>18-25</v>
      </c>
      <c r="G451" t="s">
        <v>4003</v>
      </c>
      <c r="H451" t="s">
        <v>4011</v>
      </c>
      <c r="I451" t="s">
        <v>4016</v>
      </c>
      <c r="J451">
        <v>4</v>
      </c>
      <c r="K451">
        <v>4872</v>
      </c>
      <c r="L451">
        <v>0</v>
      </c>
      <c r="M451">
        <v>19488</v>
      </c>
      <c r="N451">
        <v>0</v>
      </c>
      <c r="O451">
        <v>19488</v>
      </c>
    </row>
    <row r="452" spans="1:15" x14ac:dyDescent="0.3">
      <c r="A452" t="s">
        <v>464</v>
      </c>
      <c r="B452" s="1">
        <v>44736</v>
      </c>
      <c r="C452" t="s">
        <v>2464</v>
      </c>
      <c r="D452" t="s">
        <v>4000</v>
      </c>
      <c r="E452">
        <v>62</v>
      </c>
      <c r="F452" t="str">
        <f t="shared" si="7"/>
        <v>46+</v>
      </c>
      <c r="G452" t="s">
        <v>4003</v>
      </c>
      <c r="H452" t="s">
        <v>4009</v>
      </c>
      <c r="I452" t="s">
        <v>4016</v>
      </c>
      <c r="J452">
        <v>1</v>
      </c>
      <c r="K452">
        <v>4191</v>
      </c>
      <c r="L452">
        <v>5</v>
      </c>
      <c r="M452">
        <v>4191</v>
      </c>
      <c r="N452">
        <v>209.55</v>
      </c>
      <c r="O452">
        <v>3981.45</v>
      </c>
    </row>
    <row r="453" spans="1:15" x14ac:dyDescent="0.3">
      <c r="A453" t="s">
        <v>465</v>
      </c>
      <c r="B453" s="1">
        <v>44629</v>
      </c>
      <c r="C453" t="s">
        <v>2465</v>
      </c>
      <c r="D453" t="s">
        <v>4000</v>
      </c>
      <c r="E453">
        <v>42</v>
      </c>
      <c r="F453" t="str">
        <f t="shared" si="7"/>
        <v>36-45</v>
      </c>
      <c r="G453" t="s">
        <v>4006</v>
      </c>
      <c r="H453" t="s">
        <v>4007</v>
      </c>
      <c r="I453" t="s">
        <v>4015</v>
      </c>
      <c r="J453">
        <v>4</v>
      </c>
      <c r="K453">
        <v>4272</v>
      </c>
      <c r="L453">
        <v>0</v>
      </c>
      <c r="M453">
        <v>17088</v>
      </c>
      <c r="N453">
        <v>0</v>
      </c>
      <c r="O453">
        <v>17088</v>
      </c>
    </row>
    <row r="454" spans="1:15" x14ac:dyDescent="0.3">
      <c r="A454" t="s">
        <v>466</v>
      </c>
      <c r="B454" s="1">
        <v>44802</v>
      </c>
      <c r="C454" t="s">
        <v>2466</v>
      </c>
      <c r="D454" t="s">
        <v>3999</v>
      </c>
      <c r="E454">
        <v>51</v>
      </c>
      <c r="F454" t="str">
        <f t="shared" si="7"/>
        <v>46+</v>
      </c>
      <c r="G454" t="s">
        <v>4004</v>
      </c>
      <c r="H454" t="s">
        <v>4009</v>
      </c>
      <c r="I454" t="s">
        <v>4013</v>
      </c>
      <c r="J454">
        <v>4</v>
      </c>
      <c r="K454">
        <v>7576</v>
      </c>
      <c r="L454">
        <v>0</v>
      </c>
      <c r="M454">
        <v>30304</v>
      </c>
      <c r="N454">
        <v>0</v>
      </c>
      <c r="O454">
        <v>30304</v>
      </c>
    </row>
    <row r="455" spans="1:15" x14ac:dyDescent="0.3">
      <c r="A455" t="s">
        <v>467</v>
      </c>
      <c r="B455" s="1">
        <v>45289</v>
      </c>
      <c r="C455" t="s">
        <v>2467</v>
      </c>
      <c r="D455" t="s">
        <v>4000</v>
      </c>
      <c r="E455">
        <v>62</v>
      </c>
      <c r="F455" t="str">
        <f t="shared" si="7"/>
        <v>46+</v>
      </c>
      <c r="G455" t="s">
        <v>4006</v>
      </c>
      <c r="H455" t="s">
        <v>4008</v>
      </c>
      <c r="I455" t="s">
        <v>4016</v>
      </c>
      <c r="J455">
        <v>4</v>
      </c>
      <c r="K455">
        <v>674</v>
      </c>
      <c r="L455">
        <v>10</v>
      </c>
      <c r="M455">
        <v>2696</v>
      </c>
      <c r="N455">
        <v>269.60000000000002</v>
      </c>
      <c r="O455">
        <v>2426.4</v>
      </c>
    </row>
    <row r="456" spans="1:15" x14ac:dyDescent="0.3">
      <c r="A456" t="s">
        <v>468</v>
      </c>
      <c r="B456" s="1">
        <v>45246</v>
      </c>
      <c r="C456" t="s">
        <v>2468</v>
      </c>
      <c r="D456" t="s">
        <v>3999</v>
      </c>
      <c r="E456">
        <v>41</v>
      </c>
      <c r="F456" t="str">
        <f t="shared" si="7"/>
        <v>36-45</v>
      </c>
      <c r="G456" t="s">
        <v>4003</v>
      </c>
      <c r="H456" t="s">
        <v>4007</v>
      </c>
      <c r="I456" t="s">
        <v>4015</v>
      </c>
      <c r="J456">
        <v>6</v>
      </c>
      <c r="K456">
        <v>3141</v>
      </c>
      <c r="L456">
        <v>10</v>
      </c>
      <c r="M456">
        <v>18846</v>
      </c>
      <c r="N456">
        <v>1884.6</v>
      </c>
      <c r="O456">
        <v>16961.400000000001</v>
      </c>
    </row>
    <row r="457" spans="1:15" x14ac:dyDescent="0.3">
      <c r="A457" t="s">
        <v>469</v>
      </c>
      <c r="B457" s="1">
        <v>44854</v>
      </c>
      <c r="C457" t="s">
        <v>2469</v>
      </c>
      <c r="D457" t="s">
        <v>4000</v>
      </c>
      <c r="E457">
        <v>26</v>
      </c>
      <c r="F457" t="str">
        <f t="shared" si="7"/>
        <v>26-35</v>
      </c>
      <c r="G457" t="s">
        <v>4003</v>
      </c>
      <c r="H457" t="s">
        <v>4007</v>
      </c>
      <c r="I457" t="s">
        <v>4016</v>
      </c>
      <c r="J457">
        <v>5</v>
      </c>
      <c r="K457">
        <v>3323</v>
      </c>
      <c r="L457">
        <v>15</v>
      </c>
      <c r="M457">
        <v>16615</v>
      </c>
      <c r="N457">
        <v>2492.25</v>
      </c>
      <c r="O457">
        <v>14122.75</v>
      </c>
    </row>
    <row r="458" spans="1:15" x14ac:dyDescent="0.3">
      <c r="A458" t="s">
        <v>470</v>
      </c>
      <c r="B458" s="1">
        <v>44593</v>
      </c>
      <c r="C458" t="s">
        <v>2470</v>
      </c>
      <c r="D458" t="s">
        <v>4000</v>
      </c>
      <c r="E458">
        <v>20</v>
      </c>
      <c r="F458" t="str">
        <f t="shared" si="7"/>
        <v>18-25</v>
      </c>
      <c r="G458" t="s">
        <v>4002</v>
      </c>
      <c r="H458" t="s">
        <v>4007</v>
      </c>
      <c r="I458" t="s">
        <v>4014</v>
      </c>
      <c r="J458">
        <v>1</v>
      </c>
      <c r="K458">
        <v>4884</v>
      </c>
      <c r="L458">
        <v>0</v>
      </c>
      <c r="M458">
        <v>4884</v>
      </c>
      <c r="N458">
        <v>0</v>
      </c>
      <c r="O458">
        <v>4884</v>
      </c>
    </row>
    <row r="459" spans="1:15" x14ac:dyDescent="0.3">
      <c r="A459" t="s">
        <v>471</v>
      </c>
      <c r="B459" s="1">
        <v>44866</v>
      </c>
      <c r="C459" t="s">
        <v>2471</v>
      </c>
      <c r="D459" t="s">
        <v>3999</v>
      </c>
      <c r="E459">
        <v>32</v>
      </c>
      <c r="F459" t="str">
        <f t="shared" si="7"/>
        <v>26-35</v>
      </c>
      <c r="G459" t="s">
        <v>4003</v>
      </c>
      <c r="H459" t="s">
        <v>4007</v>
      </c>
      <c r="I459" t="s">
        <v>4015</v>
      </c>
      <c r="J459">
        <v>2</v>
      </c>
      <c r="K459">
        <v>6327</v>
      </c>
      <c r="L459">
        <v>15</v>
      </c>
      <c r="M459">
        <v>12654</v>
      </c>
      <c r="N459">
        <v>1898.1</v>
      </c>
      <c r="O459">
        <v>10755.9</v>
      </c>
    </row>
    <row r="460" spans="1:15" x14ac:dyDescent="0.3">
      <c r="A460" t="s">
        <v>472</v>
      </c>
      <c r="B460" s="1">
        <v>45114</v>
      </c>
      <c r="C460" t="s">
        <v>2472</v>
      </c>
      <c r="D460" t="s">
        <v>3999</v>
      </c>
      <c r="E460">
        <v>44</v>
      </c>
      <c r="F460" t="str">
        <f t="shared" si="7"/>
        <v>36-45</v>
      </c>
      <c r="G460" t="s">
        <v>4001</v>
      </c>
      <c r="H460" t="s">
        <v>4008</v>
      </c>
      <c r="I460" t="s">
        <v>4015</v>
      </c>
      <c r="J460">
        <v>2</v>
      </c>
      <c r="K460">
        <v>761</v>
      </c>
      <c r="L460">
        <v>0</v>
      </c>
      <c r="M460">
        <v>1522</v>
      </c>
      <c r="N460">
        <v>0</v>
      </c>
      <c r="O460">
        <v>1522</v>
      </c>
    </row>
    <row r="461" spans="1:15" x14ac:dyDescent="0.3">
      <c r="A461" t="s">
        <v>473</v>
      </c>
      <c r="B461" s="1">
        <v>45196</v>
      </c>
      <c r="C461" t="s">
        <v>2473</v>
      </c>
      <c r="D461" t="s">
        <v>4000</v>
      </c>
      <c r="E461">
        <v>33</v>
      </c>
      <c r="F461" t="str">
        <f t="shared" si="7"/>
        <v>26-35</v>
      </c>
      <c r="G461" t="s">
        <v>4002</v>
      </c>
      <c r="H461" t="s">
        <v>4008</v>
      </c>
      <c r="I461" t="s">
        <v>4015</v>
      </c>
      <c r="J461">
        <v>6</v>
      </c>
      <c r="K461">
        <v>3216</v>
      </c>
      <c r="L461">
        <v>5</v>
      </c>
      <c r="M461">
        <v>19296</v>
      </c>
      <c r="N461">
        <v>964.8</v>
      </c>
      <c r="O461">
        <v>18331.2</v>
      </c>
    </row>
    <row r="462" spans="1:15" x14ac:dyDescent="0.3">
      <c r="A462" t="s">
        <v>474</v>
      </c>
      <c r="B462" s="1">
        <v>44749</v>
      </c>
      <c r="C462" t="s">
        <v>2474</v>
      </c>
      <c r="D462" t="s">
        <v>4000</v>
      </c>
      <c r="E462">
        <v>63</v>
      </c>
      <c r="F462" t="str">
        <f t="shared" si="7"/>
        <v>46+</v>
      </c>
      <c r="G462" t="s">
        <v>4003</v>
      </c>
      <c r="H462" t="s">
        <v>4010</v>
      </c>
      <c r="I462" t="s">
        <v>4015</v>
      </c>
      <c r="J462">
        <v>2</v>
      </c>
      <c r="K462">
        <v>4770</v>
      </c>
      <c r="L462">
        <v>5</v>
      </c>
      <c r="M462">
        <v>9540</v>
      </c>
      <c r="N462">
        <v>477</v>
      </c>
      <c r="O462">
        <v>9063</v>
      </c>
    </row>
    <row r="463" spans="1:15" x14ac:dyDescent="0.3">
      <c r="A463" t="s">
        <v>475</v>
      </c>
      <c r="B463" s="1">
        <v>44817</v>
      </c>
      <c r="C463" t="s">
        <v>2475</v>
      </c>
      <c r="D463" t="s">
        <v>4000</v>
      </c>
      <c r="E463">
        <v>33</v>
      </c>
      <c r="F463" t="str">
        <f t="shared" si="7"/>
        <v>26-35</v>
      </c>
      <c r="G463" t="s">
        <v>4005</v>
      </c>
      <c r="H463" t="s">
        <v>4007</v>
      </c>
      <c r="I463" t="s">
        <v>4014</v>
      </c>
      <c r="J463">
        <v>4</v>
      </c>
      <c r="K463">
        <v>2695</v>
      </c>
      <c r="L463">
        <v>0</v>
      </c>
      <c r="M463">
        <v>10780</v>
      </c>
      <c r="N463">
        <v>0</v>
      </c>
      <c r="O463">
        <v>10780</v>
      </c>
    </row>
    <row r="464" spans="1:15" x14ac:dyDescent="0.3">
      <c r="A464" t="s">
        <v>476</v>
      </c>
      <c r="B464" s="1">
        <v>44882</v>
      </c>
      <c r="C464" t="s">
        <v>2476</v>
      </c>
      <c r="D464" t="s">
        <v>3999</v>
      </c>
      <c r="E464">
        <v>50</v>
      </c>
      <c r="F464" t="str">
        <f t="shared" si="7"/>
        <v>46+</v>
      </c>
      <c r="G464" t="s">
        <v>4005</v>
      </c>
      <c r="H464" t="s">
        <v>4007</v>
      </c>
      <c r="I464" t="s">
        <v>4014</v>
      </c>
      <c r="J464">
        <v>6</v>
      </c>
      <c r="K464">
        <v>5985</v>
      </c>
      <c r="L464">
        <v>15</v>
      </c>
      <c r="M464">
        <v>35910</v>
      </c>
      <c r="N464">
        <v>5386.5</v>
      </c>
      <c r="O464">
        <v>30523.5</v>
      </c>
    </row>
    <row r="465" spans="1:15" x14ac:dyDescent="0.3">
      <c r="A465" t="s">
        <v>477</v>
      </c>
      <c r="B465" s="1">
        <v>44590</v>
      </c>
      <c r="C465" t="s">
        <v>2477</v>
      </c>
      <c r="D465" t="s">
        <v>3999</v>
      </c>
      <c r="E465">
        <v>64</v>
      </c>
      <c r="F465" t="str">
        <f t="shared" si="7"/>
        <v>46+</v>
      </c>
      <c r="G465" t="s">
        <v>4001</v>
      </c>
      <c r="H465" t="s">
        <v>4007</v>
      </c>
      <c r="I465" t="s">
        <v>4015</v>
      </c>
      <c r="J465">
        <v>4</v>
      </c>
      <c r="K465">
        <v>1348</v>
      </c>
      <c r="L465">
        <v>15</v>
      </c>
      <c r="M465">
        <v>5392</v>
      </c>
      <c r="N465">
        <v>808.8</v>
      </c>
      <c r="O465">
        <v>4583.2</v>
      </c>
    </row>
    <row r="466" spans="1:15" x14ac:dyDescent="0.3">
      <c r="A466" t="s">
        <v>478</v>
      </c>
      <c r="B466" s="1">
        <v>44569</v>
      </c>
      <c r="C466" t="s">
        <v>2478</v>
      </c>
      <c r="D466" t="s">
        <v>4000</v>
      </c>
      <c r="E466">
        <v>56</v>
      </c>
      <c r="F466" t="str">
        <f t="shared" si="7"/>
        <v>46+</v>
      </c>
      <c r="G466" t="s">
        <v>4006</v>
      </c>
      <c r="H466" t="s">
        <v>4007</v>
      </c>
      <c r="I466" t="s">
        <v>4016</v>
      </c>
      <c r="J466">
        <v>2</v>
      </c>
      <c r="K466">
        <v>5033</v>
      </c>
      <c r="L466">
        <v>15</v>
      </c>
      <c r="M466">
        <v>10066</v>
      </c>
      <c r="N466">
        <v>1509.9</v>
      </c>
      <c r="O466">
        <v>8556.1</v>
      </c>
    </row>
    <row r="467" spans="1:15" x14ac:dyDescent="0.3">
      <c r="A467" t="s">
        <v>479</v>
      </c>
      <c r="B467" s="1">
        <v>45117</v>
      </c>
      <c r="C467" t="s">
        <v>2479</v>
      </c>
      <c r="D467" t="s">
        <v>4000</v>
      </c>
      <c r="E467">
        <v>46</v>
      </c>
      <c r="F467" t="str">
        <f t="shared" si="7"/>
        <v>46+</v>
      </c>
      <c r="G467" t="s">
        <v>4006</v>
      </c>
      <c r="H467" t="s">
        <v>4012</v>
      </c>
      <c r="I467" t="s">
        <v>4013</v>
      </c>
      <c r="J467">
        <v>7</v>
      </c>
      <c r="K467">
        <v>6773</v>
      </c>
      <c r="L467">
        <v>5</v>
      </c>
      <c r="M467">
        <v>47411</v>
      </c>
      <c r="N467">
        <v>2370.5500000000002</v>
      </c>
      <c r="O467">
        <v>45040.45</v>
      </c>
    </row>
    <row r="468" spans="1:15" x14ac:dyDescent="0.3">
      <c r="A468" t="s">
        <v>480</v>
      </c>
      <c r="B468" s="1">
        <v>44908</v>
      </c>
      <c r="C468" t="s">
        <v>2480</v>
      </c>
      <c r="D468" t="s">
        <v>4000</v>
      </c>
      <c r="E468">
        <v>42</v>
      </c>
      <c r="F468" t="str">
        <f t="shared" si="7"/>
        <v>36-45</v>
      </c>
      <c r="G468" t="s">
        <v>4002</v>
      </c>
      <c r="H468" t="s">
        <v>4009</v>
      </c>
      <c r="I468" t="s">
        <v>4017</v>
      </c>
      <c r="J468">
        <v>6</v>
      </c>
      <c r="K468">
        <v>7960</v>
      </c>
      <c r="L468">
        <v>0</v>
      </c>
      <c r="M468">
        <v>47760</v>
      </c>
      <c r="N468">
        <v>0</v>
      </c>
      <c r="O468">
        <v>47760</v>
      </c>
    </row>
    <row r="469" spans="1:15" x14ac:dyDescent="0.3">
      <c r="A469" t="s">
        <v>481</v>
      </c>
      <c r="B469" s="1">
        <v>44695</v>
      </c>
      <c r="C469" t="s">
        <v>2481</v>
      </c>
      <c r="D469" t="s">
        <v>4000</v>
      </c>
      <c r="E469">
        <v>31</v>
      </c>
      <c r="F469" t="str">
        <f t="shared" si="7"/>
        <v>26-35</v>
      </c>
      <c r="G469" t="s">
        <v>4002</v>
      </c>
      <c r="H469" t="s">
        <v>4009</v>
      </c>
      <c r="I469" t="s">
        <v>4017</v>
      </c>
      <c r="J469">
        <v>6</v>
      </c>
      <c r="K469">
        <v>1070</v>
      </c>
      <c r="L469">
        <v>15</v>
      </c>
      <c r="M469">
        <v>6420</v>
      </c>
      <c r="N469">
        <v>963</v>
      </c>
      <c r="O469">
        <v>5457</v>
      </c>
    </row>
    <row r="470" spans="1:15" x14ac:dyDescent="0.3">
      <c r="A470" t="s">
        <v>482</v>
      </c>
      <c r="B470" s="1">
        <v>44894</v>
      </c>
      <c r="C470" t="s">
        <v>2482</v>
      </c>
      <c r="D470" t="s">
        <v>3999</v>
      </c>
      <c r="E470">
        <v>24</v>
      </c>
      <c r="F470" t="str">
        <f t="shared" si="7"/>
        <v>18-25</v>
      </c>
      <c r="G470" t="s">
        <v>4001</v>
      </c>
      <c r="H470" t="s">
        <v>4010</v>
      </c>
      <c r="I470" t="s">
        <v>4015</v>
      </c>
      <c r="J470">
        <v>5</v>
      </c>
      <c r="K470">
        <v>4985</v>
      </c>
      <c r="L470">
        <v>5</v>
      </c>
      <c r="M470">
        <v>24925</v>
      </c>
      <c r="N470">
        <v>1246.25</v>
      </c>
      <c r="O470">
        <v>23678.75</v>
      </c>
    </row>
    <row r="471" spans="1:15" x14ac:dyDescent="0.3">
      <c r="A471" t="s">
        <v>483</v>
      </c>
      <c r="B471" s="1">
        <v>44775</v>
      </c>
      <c r="C471" t="s">
        <v>2483</v>
      </c>
      <c r="D471" t="s">
        <v>4000</v>
      </c>
      <c r="E471">
        <v>34</v>
      </c>
      <c r="F471" t="str">
        <f t="shared" si="7"/>
        <v>26-35</v>
      </c>
      <c r="G471" t="s">
        <v>4001</v>
      </c>
      <c r="H471" t="s">
        <v>4007</v>
      </c>
      <c r="I471" t="s">
        <v>4013</v>
      </c>
      <c r="J471">
        <v>3</v>
      </c>
      <c r="K471">
        <v>6582</v>
      </c>
      <c r="L471">
        <v>0</v>
      </c>
      <c r="M471">
        <v>19746</v>
      </c>
      <c r="N471">
        <v>0</v>
      </c>
      <c r="O471">
        <v>19746</v>
      </c>
    </row>
    <row r="472" spans="1:15" x14ac:dyDescent="0.3">
      <c r="A472" t="s">
        <v>484</v>
      </c>
      <c r="B472" s="1">
        <v>45163</v>
      </c>
      <c r="C472" t="s">
        <v>2484</v>
      </c>
      <c r="D472" t="s">
        <v>3999</v>
      </c>
      <c r="E472">
        <v>35</v>
      </c>
      <c r="F472" t="str">
        <f t="shared" si="7"/>
        <v>26-35</v>
      </c>
      <c r="G472" t="s">
        <v>4005</v>
      </c>
      <c r="H472" t="s">
        <v>4007</v>
      </c>
      <c r="I472" t="s">
        <v>4017</v>
      </c>
      <c r="J472">
        <v>3</v>
      </c>
      <c r="K472">
        <v>5345</v>
      </c>
      <c r="L472">
        <v>0</v>
      </c>
      <c r="M472">
        <v>16035</v>
      </c>
      <c r="N472">
        <v>0</v>
      </c>
      <c r="O472">
        <v>16035</v>
      </c>
    </row>
    <row r="473" spans="1:15" x14ac:dyDescent="0.3">
      <c r="A473" t="s">
        <v>485</v>
      </c>
      <c r="B473" s="1">
        <v>45254</v>
      </c>
      <c r="C473" t="s">
        <v>2485</v>
      </c>
      <c r="D473" t="s">
        <v>4000</v>
      </c>
      <c r="E473">
        <v>22</v>
      </c>
      <c r="F473" t="str">
        <f t="shared" si="7"/>
        <v>18-25</v>
      </c>
      <c r="G473" t="s">
        <v>4005</v>
      </c>
      <c r="H473" t="s">
        <v>4009</v>
      </c>
      <c r="I473" t="s">
        <v>4013</v>
      </c>
      <c r="J473">
        <v>6</v>
      </c>
      <c r="K473">
        <v>2468</v>
      </c>
      <c r="L473">
        <v>0</v>
      </c>
      <c r="M473">
        <v>14808</v>
      </c>
      <c r="N473">
        <v>0</v>
      </c>
      <c r="O473">
        <v>14808</v>
      </c>
    </row>
    <row r="474" spans="1:15" x14ac:dyDescent="0.3">
      <c r="A474" t="s">
        <v>486</v>
      </c>
      <c r="B474" s="1">
        <v>44651</v>
      </c>
      <c r="C474" t="s">
        <v>2486</v>
      </c>
      <c r="D474" t="s">
        <v>4000</v>
      </c>
      <c r="E474">
        <v>41</v>
      </c>
      <c r="F474" t="str">
        <f t="shared" si="7"/>
        <v>36-45</v>
      </c>
      <c r="G474" t="s">
        <v>4001</v>
      </c>
      <c r="H474" t="s">
        <v>4008</v>
      </c>
      <c r="I474" t="s">
        <v>4015</v>
      </c>
      <c r="J474">
        <v>4</v>
      </c>
      <c r="K474">
        <v>1062</v>
      </c>
      <c r="L474">
        <v>5</v>
      </c>
      <c r="M474">
        <v>4248</v>
      </c>
      <c r="N474">
        <v>212.4</v>
      </c>
      <c r="O474">
        <v>4035.6</v>
      </c>
    </row>
    <row r="475" spans="1:15" x14ac:dyDescent="0.3">
      <c r="A475" t="s">
        <v>487</v>
      </c>
      <c r="B475" s="1">
        <v>44940</v>
      </c>
      <c r="C475" t="s">
        <v>2487</v>
      </c>
      <c r="D475" t="s">
        <v>3999</v>
      </c>
      <c r="E475">
        <v>59</v>
      </c>
      <c r="F475" t="str">
        <f t="shared" si="7"/>
        <v>46+</v>
      </c>
      <c r="G475" t="s">
        <v>4006</v>
      </c>
      <c r="H475" t="s">
        <v>4007</v>
      </c>
      <c r="I475" t="s">
        <v>4014</v>
      </c>
      <c r="J475">
        <v>1</v>
      </c>
      <c r="K475">
        <v>3893</v>
      </c>
      <c r="L475">
        <v>5</v>
      </c>
      <c r="M475">
        <v>3893</v>
      </c>
      <c r="N475">
        <v>194.65</v>
      </c>
      <c r="O475">
        <v>3698.35</v>
      </c>
    </row>
    <row r="476" spans="1:15" x14ac:dyDescent="0.3">
      <c r="A476" t="s">
        <v>488</v>
      </c>
      <c r="B476" s="1">
        <v>44583</v>
      </c>
      <c r="C476" t="s">
        <v>2488</v>
      </c>
      <c r="D476" t="s">
        <v>3999</v>
      </c>
      <c r="E476">
        <v>46</v>
      </c>
      <c r="F476" t="str">
        <f t="shared" si="7"/>
        <v>46+</v>
      </c>
      <c r="G476" t="s">
        <v>4006</v>
      </c>
      <c r="H476" t="s">
        <v>4011</v>
      </c>
      <c r="I476" t="s">
        <v>4017</v>
      </c>
      <c r="J476">
        <v>3</v>
      </c>
      <c r="K476">
        <v>2107</v>
      </c>
      <c r="L476">
        <v>5</v>
      </c>
      <c r="M476">
        <v>6321</v>
      </c>
      <c r="N476">
        <v>316.05</v>
      </c>
      <c r="O476">
        <v>6004.95</v>
      </c>
    </row>
    <row r="477" spans="1:15" x14ac:dyDescent="0.3">
      <c r="A477" t="s">
        <v>489</v>
      </c>
      <c r="B477" s="1">
        <v>45176</v>
      </c>
      <c r="C477" t="s">
        <v>2489</v>
      </c>
      <c r="D477" t="s">
        <v>4000</v>
      </c>
      <c r="E477">
        <v>52</v>
      </c>
      <c r="F477" t="str">
        <f t="shared" si="7"/>
        <v>46+</v>
      </c>
      <c r="G477" t="s">
        <v>4004</v>
      </c>
      <c r="H477" t="s">
        <v>4007</v>
      </c>
      <c r="I477" t="s">
        <v>4013</v>
      </c>
      <c r="J477">
        <v>1</v>
      </c>
      <c r="K477">
        <v>4883</v>
      </c>
      <c r="L477">
        <v>15</v>
      </c>
      <c r="M477">
        <v>4883</v>
      </c>
      <c r="N477">
        <v>732.45</v>
      </c>
      <c r="O477">
        <v>4150.55</v>
      </c>
    </row>
    <row r="478" spans="1:15" x14ac:dyDescent="0.3">
      <c r="A478" t="s">
        <v>490</v>
      </c>
      <c r="B478" s="1">
        <v>44669</v>
      </c>
      <c r="C478" t="s">
        <v>2490</v>
      </c>
      <c r="D478" t="s">
        <v>4000</v>
      </c>
      <c r="E478">
        <v>20</v>
      </c>
      <c r="F478" t="str">
        <f t="shared" si="7"/>
        <v>18-25</v>
      </c>
      <c r="G478" t="s">
        <v>4006</v>
      </c>
      <c r="H478" t="s">
        <v>4011</v>
      </c>
      <c r="I478" t="s">
        <v>4015</v>
      </c>
      <c r="J478">
        <v>2</v>
      </c>
      <c r="K478">
        <v>6921</v>
      </c>
      <c r="L478">
        <v>0</v>
      </c>
      <c r="M478">
        <v>13842</v>
      </c>
      <c r="N478">
        <v>0</v>
      </c>
      <c r="O478">
        <v>13842</v>
      </c>
    </row>
    <row r="479" spans="1:15" x14ac:dyDescent="0.3">
      <c r="A479" t="s">
        <v>491</v>
      </c>
      <c r="B479" s="1">
        <v>44938</v>
      </c>
      <c r="C479" t="s">
        <v>2491</v>
      </c>
      <c r="D479" t="s">
        <v>4000</v>
      </c>
      <c r="E479">
        <v>32</v>
      </c>
      <c r="F479" t="str">
        <f t="shared" si="7"/>
        <v>26-35</v>
      </c>
      <c r="G479" t="s">
        <v>4006</v>
      </c>
      <c r="H479" t="s">
        <v>4012</v>
      </c>
      <c r="I479" t="s">
        <v>4016</v>
      </c>
      <c r="J479">
        <v>6</v>
      </c>
      <c r="K479">
        <v>5528</v>
      </c>
      <c r="L479">
        <v>5</v>
      </c>
      <c r="M479">
        <v>33168</v>
      </c>
      <c r="N479">
        <v>1658.4</v>
      </c>
      <c r="O479">
        <v>31509.599999999999</v>
      </c>
    </row>
    <row r="480" spans="1:15" x14ac:dyDescent="0.3">
      <c r="A480" t="s">
        <v>492</v>
      </c>
      <c r="B480" s="1">
        <v>44727</v>
      </c>
      <c r="C480" t="s">
        <v>2492</v>
      </c>
      <c r="D480" t="s">
        <v>4000</v>
      </c>
      <c r="E480">
        <v>44</v>
      </c>
      <c r="F480" t="str">
        <f t="shared" si="7"/>
        <v>36-45</v>
      </c>
      <c r="G480" t="s">
        <v>4005</v>
      </c>
      <c r="H480" t="s">
        <v>4008</v>
      </c>
      <c r="I480" t="s">
        <v>4014</v>
      </c>
      <c r="J480">
        <v>6</v>
      </c>
      <c r="K480">
        <v>922</v>
      </c>
      <c r="L480">
        <v>0</v>
      </c>
      <c r="M480">
        <v>5532</v>
      </c>
      <c r="N480">
        <v>0</v>
      </c>
      <c r="O480">
        <v>5532</v>
      </c>
    </row>
    <row r="481" spans="1:15" x14ac:dyDescent="0.3">
      <c r="A481" t="s">
        <v>493</v>
      </c>
      <c r="B481" s="1">
        <v>44944</v>
      </c>
      <c r="C481" t="s">
        <v>2493</v>
      </c>
      <c r="D481" t="s">
        <v>4000</v>
      </c>
      <c r="E481">
        <v>63</v>
      </c>
      <c r="F481" t="str">
        <f t="shared" si="7"/>
        <v>46+</v>
      </c>
      <c r="G481" t="s">
        <v>4006</v>
      </c>
      <c r="H481" t="s">
        <v>4007</v>
      </c>
      <c r="I481" t="s">
        <v>4015</v>
      </c>
      <c r="J481">
        <v>1</v>
      </c>
      <c r="K481">
        <v>3856</v>
      </c>
      <c r="L481">
        <v>0</v>
      </c>
      <c r="M481">
        <v>3856</v>
      </c>
      <c r="N481">
        <v>0</v>
      </c>
      <c r="O481">
        <v>3856</v>
      </c>
    </row>
    <row r="482" spans="1:15" x14ac:dyDescent="0.3">
      <c r="A482" t="s">
        <v>494</v>
      </c>
      <c r="B482" s="1">
        <v>45142</v>
      </c>
      <c r="C482" t="s">
        <v>2494</v>
      </c>
      <c r="D482" t="s">
        <v>3999</v>
      </c>
      <c r="E482">
        <v>41</v>
      </c>
      <c r="F482" t="str">
        <f t="shared" si="7"/>
        <v>36-45</v>
      </c>
      <c r="G482" t="s">
        <v>4005</v>
      </c>
      <c r="H482" t="s">
        <v>4007</v>
      </c>
      <c r="I482" t="s">
        <v>4014</v>
      </c>
      <c r="J482">
        <v>2</v>
      </c>
      <c r="K482">
        <v>5057</v>
      </c>
      <c r="L482">
        <v>15</v>
      </c>
      <c r="M482">
        <v>10114</v>
      </c>
      <c r="N482">
        <v>1517.1</v>
      </c>
      <c r="O482">
        <v>8596.9</v>
      </c>
    </row>
    <row r="483" spans="1:15" x14ac:dyDescent="0.3">
      <c r="A483" t="s">
        <v>495</v>
      </c>
      <c r="B483" s="1">
        <v>44975</v>
      </c>
      <c r="C483" t="s">
        <v>2495</v>
      </c>
      <c r="D483" t="s">
        <v>4000</v>
      </c>
      <c r="E483">
        <v>57</v>
      </c>
      <c r="F483" t="str">
        <f t="shared" si="7"/>
        <v>46+</v>
      </c>
      <c r="G483" t="s">
        <v>4002</v>
      </c>
      <c r="H483" t="s">
        <v>4009</v>
      </c>
      <c r="I483" t="s">
        <v>4014</v>
      </c>
      <c r="J483">
        <v>3</v>
      </c>
      <c r="K483">
        <v>7174</v>
      </c>
      <c r="L483">
        <v>0</v>
      </c>
      <c r="M483">
        <v>21522</v>
      </c>
      <c r="N483">
        <v>0</v>
      </c>
      <c r="O483">
        <v>21522</v>
      </c>
    </row>
    <row r="484" spans="1:15" x14ac:dyDescent="0.3">
      <c r="A484" t="s">
        <v>496</v>
      </c>
      <c r="B484" s="1">
        <v>44712</v>
      </c>
      <c r="C484" t="s">
        <v>2496</v>
      </c>
      <c r="D484" t="s">
        <v>4000</v>
      </c>
      <c r="E484">
        <v>37</v>
      </c>
      <c r="F484" t="str">
        <f t="shared" si="7"/>
        <v>36-45</v>
      </c>
      <c r="G484" t="s">
        <v>4002</v>
      </c>
      <c r="H484" t="s">
        <v>4011</v>
      </c>
      <c r="I484" t="s">
        <v>4014</v>
      </c>
      <c r="J484">
        <v>6</v>
      </c>
      <c r="K484">
        <v>1595</v>
      </c>
      <c r="L484">
        <v>0</v>
      </c>
      <c r="M484">
        <v>9570</v>
      </c>
      <c r="N484">
        <v>0</v>
      </c>
      <c r="O484">
        <v>9570</v>
      </c>
    </row>
    <row r="485" spans="1:15" x14ac:dyDescent="0.3">
      <c r="A485" t="s">
        <v>497</v>
      </c>
      <c r="B485" s="1">
        <v>44594</v>
      </c>
      <c r="C485" t="s">
        <v>2497</v>
      </c>
      <c r="D485" t="s">
        <v>4000</v>
      </c>
      <c r="E485">
        <v>62</v>
      </c>
      <c r="F485" t="str">
        <f t="shared" si="7"/>
        <v>46+</v>
      </c>
      <c r="G485" t="s">
        <v>4005</v>
      </c>
      <c r="H485" t="s">
        <v>4009</v>
      </c>
      <c r="I485" t="s">
        <v>4015</v>
      </c>
      <c r="J485">
        <v>7</v>
      </c>
      <c r="K485">
        <v>661</v>
      </c>
      <c r="L485">
        <v>5</v>
      </c>
      <c r="M485">
        <v>4627</v>
      </c>
      <c r="N485">
        <v>231.35</v>
      </c>
      <c r="O485">
        <v>4395.6499999999996</v>
      </c>
    </row>
    <row r="486" spans="1:15" x14ac:dyDescent="0.3">
      <c r="A486" t="s">
        <v>498</v>
      </c>
      <c r="B486" s="1">
        <v>45032</v>
      </c>
      <c r="C486" t="s">
        <v>2498</v>
      </c>
      <c r="D486" t="s">
        <v>3999</v>
      </c>
      <c r="E486">
        <v>34</v>
      </c>
      <c r="F486" t="str">
        <f t="shared" si="7"/>
        <v>26-35</v>
      </c>
      <c r="G486" t="s">
        <v>4006</v>
      </c>
      <c r="H486" t="s">
        <v>4010</v>
      </c>
      <c r="I486" t="s">
        <v>4013</v>
      </c>
      <c r="J486">
        <v>3</v>
      </c>
      <c r="K486">
        <v>7168</v>
      </c>
      <c r="L486">
        <v>15</v>
      </c>
      <c r="M486">
        <v>21504</v>
      </c>
      <c r="N486">
        <v>3225.6</v>
      </c>
      <c r="O486">
        <v>18278.400000000001</v>
      </c>
    </row>
    <row r="487" spans="1:15" x14ac:dyDescent="0.3">
      <c r="A487" t="s">
        <v>499</v>
      </c>
      <c r="B487" s="1">
        <v>44572</v>
      </c>
      <c r="C487" t="s">
        <v>2499</v>
      </c>
      <c r="D487" t="s">
        <v>3999</v>
      </c>
      <c r="E487">
        <v>64</v>
      </c>
      <c r="F487" t="str">
        <f t="shared" si="7"/>
        <v>46+</v>
      </c>
      <c r="G487" t="s">
        <v>4003</v>
      </c>
      <c r="H487" t="s">
        <v>4009</v>
      </c>
      <c r="I487" t="s">
        <v>4013</v>
      </c>
      <c r="J487">
        <v>1</v>
      </c>
      <c r="K487">
        <v>2274</v>
      </c>
      <c r="L487">
        <v>15</v>
      </c>
      <c r="M487">
        <v>2274</v>
      </c>
      <c r="N487">
        <v>341.1</v>
      </c>
      <c r="O487">
        <v>1932.9</v>
      </c>
    </row>
    <row r="488" spans="1:15" x14ac:dyDescent="0.3">
      <c r="A488" t="s">
        <v>500</v>
      </c>
      <c r="B488" s="1">
        <v>44895</v>
      </c>
      <c r="C488" t="s">
        <v>2500</v>
      </c>
      <c r="D488" t="s">
        <v>4000</v>
      </c>
      <c r="E488">
        <v>55</v>
      </c>
      <c r="F488" t="str">
        <f t="shared" si="7"/>
        <v>46+</v>
      </c>
      <c r="G488" t="s">
        <v>4001</v>
      </c>
      <c r="H488" t="s">
        <v>4012</v>
      </c>
      <c r="I488" t="s">
        <v>4016</v>
      </c>
      <c r="J488">
        <v>5</v>
      </c>
      <c r="K488">
        <v>2492</v>
      </c>
      <c r="L488">
        <v>10</v>
      </c>
      <c r="M488">
        <v>12460</v>
      </c>
      <c r="N488">
        <v>1246</v>
      </c>
      <c r="O488">
        <v>11214</v>
      </c>
    </row>
    <row r="489" spans="1:15" x14ac:dyDescent="0.3">
      <c r="A489" t="s">
        <v>501</v>
      </c>
      <c r="B489" s="1">
        <v>45237</v>
      </c>
      <c r="C489" t="s">
        <v>2501</v>
      </c>
      <c r="D489" t="s">
        <v>4000</v>
      </c>
      <c r="E489">
        <v>45</v>
      </c>
      <c r="F489" t="str">
        <f t="shared" si="7"/>
        <v>36-45</v>
      </c>
      <c r="G489" t="s">
        <v>4001</v>
      </c>
      <c r="H489" t="s">
        <v>4007</v>
      </c>
      <c r="I489" t="s">
        <v>4013</v>
      </c>
      <c r="J489">
        <v>6</v>
      </c>
      <c r="K489">
        <v>524</v>
      </c>
      <c r="L489">
        <v>5</v>
      </c>
      <c r="M489">
        <v>3144</v>
      </c>
      <c r="N489">
        <v>157.19999999999999</v>
      </c>
      <c r="O489">
        <v>2986.8</v>
      </c>
    </row>
    <row r="490" spans="1:15" x14ac:dyDescent="0.3">
      <c r="A490" t="s">
        <v>502</v>
      </c>
      <c r="B490" s="1">
        <v>45112</v>
      </c>
      <c r="C490" t="s">
        <v>2502</v>
      </c>
      <c r="D490" t="s">
        <v>3999</v>
      </c>
      <c r="E490">
        <v>57</v>
      </c>
      <c r="F490" t="str">
        <f t="shared" si="7"/>
        <v>46+</v>
      </c>
      <c r="G490" t="s">
        <v>4004</v>
      </c>
      <c r="H490" t="s">
        <v>4009</v>
      </c>
      <c r="I490" t="s">
        <v>4015</v>
      </c>
      <c r="J490">
        <v>5</v>
      </c>
      <c r="K490">
        <v>1093</v>
      </c>
      <c r="L490">
        <v>10</v>
      </c>
      <c r="M490">
        <v>5465</v>
      </c>
      <c r="N490">
        <v>546.5</v>
      </c>
      <c r="O490">
        <v>4918.5</v>
      </c>
    </row>
    <row r="491" spans="1:15" x14ac:dyDescent="0.3">
      <c r="A491" t="s">
        <v>503</v>
      </c>
      <c r="B491" s="1">
        <v>44921</v>
      </c>
      <c r="C491" t="s">
        <v>2503</v>
      </c>
      <c r="D491" t="s">
        <v>4000</v>
      </c>
      <c r="E491">
        <v>40</v>
      </c>
      <c r="F491" t="str">
        <f t="shared" si="7"/>
        <v>36-45</v>
      </c>
      <c r="G491" t="s">
        <v>4003</v>
      </c>
      <c r="H491" t="s">
        <v>4008</v>
      </c>
      <c r="I491" t="s">
        <v>4014</v>
      </c>
      <c r="J491">
        <v>5</v>
      </c>
      <c r="K491">
        <v>3466</v>
      </c>
      <c r="L491">
        <v>15</v>
      </c>
      <c r="M491">
        <v>17330</v>
      </c>
      <c r="N491">
        <v>2599.5</v>
      </c>
      <c r="O491">
        <v>14730.5</v>
      </c>
    </row>
    <row r="492" spans="1:15" x14ac:dyDescent="0.3">
      <c r="A492" t="s">
        <v>504</v>
      </c>
      <c r="B492" s="1">
        <v>45186</v>
      </c>
      <c r="C492" t="s">
        <v>2504</v>
      </c>
      <c r="D492" t="s">
        <v>3999</v>
      </c>
      <c r="E492">
        <v>42</v>
      </c>
      <c r="F492" t="str">
        <f t="shared" si="7"/>
        <v>36-45</v>
      </c>
      <c r="G492" t="s">
        <v>4005</v>
      </c>
      <c r="H492" t="s">
        <v>4010</v>
      </c>
      <c r="I492" t="s">
        <v>4016</v>
      </c>
      <c r="J492">
        <v>3</v>
      </c>
      <c r="K492">
        <v>5003</v>
      </c>
      <c r="L492">
        <v>5</v>
      </c>
      <c r="M492">
        <v>15009</v>
      </c>
      <c r="N492">
        <v>750.45</v>
      </c>
      <c r="O492">
        <v>14258.55</v>
      </c>
    </row>
    <row r="493" spans="1:15" x14ac:dyDescent="0.3">
      <c r="A493" t="s">
        <v>505</v>
      </c>
      <c r="B493" s="1">
        <v>45026</v>
      </c>
      <c r="C493" t="s">
        <v>2505</v>
      </c>
      <c r="D493" t="s">
        <v>4000</v>
      </c>
      <c r="E493">
        <v>63</v>
      </c>
      <c r="F493" t="str">
        <f t="shared" si="7"/>
        <v>46+</v>
      </c>
      <c r="G493" t="s">
        <v>4004</v>
      </c>
      <c r="H493" t="s">
        <v>4007</v>
      </c>
      <c r="I493" t="s">
        <v>4015</v>
      </c>
      <c r="J493">
        <v>5</v>
      </c>
      <c r="K493">
        <v>7104</v>
      </c>
      <c r="L493">
        <v>5</v>
      </c>
      <c r="M493">
        <v>35520</v>
      </c>
      <c r="N493">
        <v>1776</v>
      </c>
      <c r="O493">
        <v>33744</v>
      </c>
    </row>
    <row r="494" spans="1:15" x14ac:dyDescent="0.3">
      <c r="A494" t="s">
        <v>506</v>
      </c>
      <c r="B494" s="1">
        <v>45074</v>
      </c>
      <c r="C494" t="s">
        <v>2506</v>
      </c>
      <c r="D494" t="s">
        <v>3999</v>
      </c>
      <c r="E494">
        <v>36</v>
      </c>
      <c r="F494" t="str">
        <f t="shared" si="7"/>
        <v>36-45</v>
      </c>
      <c r="G494" t="s">
        <v>4005</v>
      </c>
      <c r="H494" t="s">
        <v>4007</v>
      </c>
      <c r="I494" t="s">
        <v>4013</v>
      </c>
      <c r="J494">
        <v>2</v>
      </c>
      <c r="K494">
        <v>1721</v>
      </c>
      <c r="L494">
        <v>0</v>
      </c>
      <c r="M494">
        <v>3442</v>
      </c>
      <c r="N494">
        <v>0</v>
      </c>
      <c r="O494">
        <v>3442</v>
      </c>
    </row>
    <row r="495" spans="1:15" x14ac:dyDescent="0.3">
      <c r="A495" t="s">
        <v>507</v>
      </c>
      <c r="B495" s="1">
        <v>44644</v>
      </c>
      <c r="C495" t="s">
        <v>2507</v>
      </c>
      <c r="D495" t="s">
        <v>3999</v>
      </c>
      <c r="E495">
        <v>58</v>
      </c>
      <c r="F495" t="str">
        <f t="shared" si="7"/>
        <v>46+</v>
      </c>
      <c r="G495" t="s">
        <v>4004</v>
      </c>
      <c r="H495" t="s">
        <v>4010</v>
      </c>
      <c r="I495" t="s">
        <v>4013</v>
      </c>
      <c r="J495">
        <v>7</v>
      </c>
      <c r="K495">
        <v>315</v>
      </c>
      <c r="L495">
        <v>15</v>
      </c>
      <c r="M495">
        <v>2205</v>
      </c>
      <c r="N495">
        <v>330.75</v>
      </c>
      <c r="O495">
        <v>1874.25</v>
      </c>
    </row>
    <row r="496" spans="1:15" x14ac:dyDescent="0.3">
      <c r="A496" t="s">
        <v>508</v>
      </c>
      <c r="B496" s="1">
        <v>44820</v>
      </c>
      <c r="C496" t="s">
        <v>2508</v>
      </c>
      <c r="D496" t="s">
        <v>3999</v>
      </c>
      <c r="E496">
        <v>29</v>
      </c>
      <c r="F496" t="str">
        <f t="shared" si="7"/>
        <v>26-35</v>
      </c>
      <c r="G496" t="s">
        <v>4005</v>
      </c>
      <c r="H496" t="s">
        <v>4007</v>
      </c>
      <c r="I496" t="s">
        <v>4016</v>
      </c>
      <c r="J496">
        <v>5</v>
      </c>
      <c r="K496">
        <v>1390</v>
      </c>
      <c r="L496">
        <v>5</v>
      </c>
      <c r="M496">
        <v>6950</v>
      </c>
      <c r="N496">
        <v>347.5</v>
      </c>
      <c r="O496">
        <v>6602.5</v>
      </c>
    </row>
    <row r="497" spans="1:15" x14ac:dyDescent="0.3">
      <c r="A497" t="s">
        <v>509</v>
      </c>
      <c r="B497" s="1">
        <v>44576</v>
      </c>
      <c r="C497" t="s">
        <v>2509</v>
      </c>
      <c r="D497" t="s">
        <v>4000</v>
      </c>
      <c r="E497">
        <v>62</v>
      </c>
      <c r="F497" t="str">
        <f t="shared" si="7"/>
        <v>46+</v>
      </c>
      <c r="G497" t="s">
        <v>4003</v>
      </c>
      <c r="H497" t="s">
        <v>4012</v>
      </c>
      <c r="I497" t="s">
        <v>4013</v>
      </c>
      <c r="J497">
        <v>6</v>
      </c>
      <c r="K497">
        <v>4116</v>
      </c>
      <c r="L497">
        <v>0</v>
      </c>
      <c r="M497">
        <v>24696</v>
      </c>
      <c r="N497">
        <v>0</v>
      </c>
      <c r="O497">
        <v>24696</v>
      </c>
    </row>
    <row r="498" spans="1:15" x14ac:dyDescent="0.3">
      <c r="A498" t="s">
        <v>510</v>
      </c>
      <c r="B498" s="1">
        <v>45248</v>
      </c>
      <c r="C498" t="s">
        <v>2510</v>
      </c>
      <c r="D498" t="s">
        <v>3999</v>
      </c>
      <c r="E498">
        <v>44</v>
      </c>
      <c r="F498" t="str">
        <f t="shared" si="7"/>
        <v>36-45</v>
      </c>
      <c r="G498" t="s">
        <v>4003</v>
      </c>
      <c r="H498" t="s">
        <v>4011</v>
      </c>
      <c r="I498" t="s">
        <v>4013</v>
      </c>
      <c r="J498">
        <v>1</v>
      </c>
      <c r="K498">
        <v>6309</v>
      </c>
      <c r="L498">
        <v>0</v>
      </c>
      <c r="M498">
        <v>6309</v>
      </c>
      <c r="N498">
        <v>0</v>
      </c>
      <c r="O498">
        <v>6309</v>
      </c>
    </row>
    <row r="499" spans="1:15" x14ac:dyDescent="0.3">
      <c r="A499" t="s">
        <v>511</v>
      </c>
      <c r="B499" s="1">
        <v>44884</v>
      </c>
      <c r="C499" t="s">
        <v>2511</v>
      </c>
      <c r="D499" t="s">
        <v>4000</v>
      </c>
      <c r="E499">
        <v>58</v>
      </c>
      <c r="F499" t="str">
        <f t="shared" si="7"/>
        <v>46+</v>
      </c>
      <c r="G499" t="s">
        <v>4002</v>
      </c>
      <c r="H499" t="s">
        <v>4009</v>
      </c>
      <c r="I499" t="s">
        <v>4016</v>
      </c>
      <c r="J499">
        <v>5</v>
      </c>
      <c r="K499">
        <v>6848</v>
      </c>
      <c r="L499">
        <v>5</v>
      </c>
      <c r="M499">
        <v>34240</v>
      </c>
      <c r="N499">
        <v>1712</v>
      </c>
      <c r="O499">
        <v>32528</v>
      </c>
    </row>
    <row r="500" spans="1:15" x14ac:dyDescent="0.3">
      <c r="A500" t="s">
        <v>512</v>
      </c>
      <c r="B500" s="1">
        <v>44849</v>
      </c>
      <c r="C500" t="s">
        <v>2512</v>
      </c>
      <c r="D500" t="s">
        <v>3999</v>
      </c>
      <c r="E500">
        <v>34</v>
      </c>
      <c r="F500" t="str">
        <f t="shared" si="7"/>
        <v>26-35</v>
      </c>
      <c r="G500" t="s">
        <v>4002</v>
      </c>
      <c r="H500" t="s">
        <v>4009</v>
      </c>
      <c r="I500" t="s">
        <v>4013</v>
      </c>
      <c r="J500">
        <v>1</v>
      </c>
      <c r="K500">
        <v>5817</v>
      </c>
      <c r="L500">
        <v>5</v>
      </c>
      <c r="M500">
        <v>5817</v>
      </c>
      <c r="N500">
        <v>290.85000000000002</v>
      </c>
      <c r="O500">
        <v>5526.15</v>
      </c>
    </row>
    <row r="501" spans="1:15" x14ac:dyDescent="0.3">
      <c r="A501" t="s">
        <v>513</v>
      </c>
      <c r="B501" s="1">
        <v>44639</v>
      </c>
      <c r="C501" t="s">
        <v>2513</v>
      </c>
      <c r="D501" t="s">
        <v>4000</v>
      </c>
      <c r="E501">
        <v>18</v>
      </c>
      <c r="F501" t="str">
        <f t="shared" si="7"/>
        <v>18-25</v>
      </c>
      <c r="G501" t="s">
        <v>4005</v>
      </c>
      <c r="H501" t="s">
        <v>4008</v>
      </c>
      <c r="I501" t="s">
        <v>4015</v>
      </c>
      <c r="J501">
        <v>7</v>
      </c>
      <c r="K501">
        <v>6780</v>
      </c>
      <c r="L501">
        <v>0</v>
      </c>
      <c r="M501">
        <v>47460</v>
      </c>
      <c r="N501">
        <v>0</v>
      </c>
      <c r="O501">
        <v>47460</v>
      </c>
    </row>
    <row r="502" spans="1:15" x14ac:dyDescent="0.3">
      <c r="A502" t="s">
        <v>514</v>
      </c>
      <c r="B502" s="1">
        <v>45038</v>
      </c>
      <c r="C502" t="s">
        <v>2514</v>
      </c>
      <c r="D502" t="s">
        <v>3999</v>
      </c>
      <c r="E502">
        <v>35</v>
      </c>
      <c r="F502" t="str">
        <f t="shared" si="7"/>
        <v>26-35</v>
      </c>
      <c r="G502" t="s">
        <v>4001</v>
      </c>
      <c r="H502" t="s">
        <v>4010</v>
      </c>
      <c r="I502" t="s">
        <v>4017</v>
      </c>
      <c r="J502">
        <v>7</v>
      </c>
      <c r="K502">
        <v>4102</v>
      </c>
      <c r="L502">
        <v>0</v>
      </c>
      <c r="M502">
        <v>28714</v>
      </c>
      <c r="N502">
        <v>0</v>
      </c>
      <c r="O502">
        <v>28714</v>
      </c>
    </row>
    <row r="503" spans="1:15" x14ac:dyDescent="0.3">
      <c r="A503" t="s">
        <v>515</v>
      </c>
      <c r="B503" s="1">
        <v>44731</v>
      </c>
      <c r="C503" t="s">
        <v>2515</v>
      </c>
      <c r="D503" t="s">
        <v>4000</v>
      </c>
      <c r="E503">
        <v>48</v>
      </c>
      <c r="F503" t="str">
        <f t="shared" si="7"/>
        <v>46+</v>
      </c>
      <c r="G503" t="s">
        <v>4002</v>
      </c>
      <c r="H503" t="s">
        <v>4007</v>
      </c>
      <c r="I503" t="s">
        <v>4014</v>
      </c>
      <c r="J503">
        <v>4</v>
      </c>
      <c r="K503">
        <v>5141</v>
      </c>
      <c r="L503">
        <v>5</v>
      </c>
      <c r="M503">
        <v>20564</v>
      </c>
      <c r="N503">
        <v>1028.2</v>
      </c>
      <c r="O503">
        <v>19535.8</v>
      </c>
    </row>
    <row r="504" spans="1:15" x14ac:dyDescent="0.3">
      <c r="A504" t="s">
        <v>516</v>
      </c>
      <c r="B504" s="1">
        <v>44716</v>
      </c>
      <c r="C504" t="s">
        <v>2516</v>
      </c>
      <c r="D504" t="s">
        <v>3999</v>
      </c>
      <c r="E504">
        <v>18</v>
      </c>
      <c r="F504" t="str">
        <f t="shared" si="7"/>
        <v>18-25</v>
      </c>
      <c r="G504" t="s">
        <v>4006</v>
      </c>
      <c r="H504" t="s">
        <v>4011</v>
      </c>
      <c r="I504" t="s">
        <v>4016</v>
      </c>
      <c r="J504">
        <v>1</v>
      </c>
      <c r="K504">
        <v>2103</v>
      </c>
      <c r="L504">
        <v>0</v>
      </c>
      <c r="M504">
        <v>2103</v>
      </c>
      <c r="N504">
        <v>0</v>
      </c>
      <c r="O504">
        <v>2103</v>
      </c>
    </row>
    <row r="505" spans="1:15" x14ac:dyDescent="0.3">
      <c r="A505" t="s">
        <v>517</v>
      </c>
      <c r="B505" s="1">
        <v>45177</v>
      </c>
      <c r="C505" t="s">
        <v>2517</v>
      </c>
      <c r="D505" t="s">
        <v>4000</v>
      </c>
      <c r="E505">
        <v>21</v>
      </c>
      <c r="F505" t="str">
        <f t="shared" si="7"/>
        <v>18-25</v>
      </c>
      <c r="G505" t="s">
        <v>4005</v>
      </c>
      <c r="H505" t="s">
        <v>4012</v>
      </c>
      <c r="I505" t="s">
        <v>4013</v>
      </c>
      <c r="J505">
        <v>2</v>
      </c>
      <c r="K505">
        <v>6415</v>
      </c>
      <c r="L505">
        <v>0</v>
      </c>
      <c r="M505">
        <v>12830</v>
      </c>
      <c r="N505">
        <v>0</v>
      </c>
      <c r="O505">
        <v>12830</v>
      </c>
    </row>
    <row r="506" spans="1:15" x14ac:dyDescent="0.3">
      <c r="A506" t="s">
        <v>518</v>
      </c>
      <c r="B506" s="1">
        <v>44902</v>
      </c>
      <c r="C506" t="s">
        <v>2518</v>
      </c>
      <c r="D506" t="s">
        <v>3999</v>
      </c>
      <c r="E506">
        <v>40</v>
      </c>
      <c r="F506" t="str">
        <f t="shared" si="7"/>
        <v>36-45</v>
      </c>
      <c r="G506" t="s">
        <v>4006</v>
      </c>
      <c r="H506" t="s">
        <v>4010</v>
      </c>
      <c r="I506" t="s">
        <v>4016</v>
      </c>
      <c r="J506">
        <v>5</v>
      </c>
      <c r="K506">
        <v>2199</v>
      </c>
      <c r="L506">
        <v>5</v>
      </c>
      <c r="M506">
        <v>10995</v>
      </c>
      <c r="N506">
        <v>549.75</v>
      </c>
      <c r="O506">
        <v>10445.25</v>
      </c>
    </row>
    <row r="507" spans="1:15" x14ac:dyDescent="0.3">
      <c r="A507" t="s">
        <v>519</v>
      </c>
      <c r="B507" s="1">
        <v>45097</v>
      </c>
      <c r="C507" t="s">
        <v>2519</v>
      </c>
      <c r="D507" t="s">
        <v>4000</v>
      </c>
      <c r="E507">
        <v>60</v>
      </c>
      <c r="F507" t="str">
        <f t="shared" si="7"/>
        <v>46+</v>
      </c>
      <c r="G507" t="s">
        <v>4006</v>
      </c>
      <c r="H507" t="s">
        <v>4012</v>
      </c>
      <c r="I507" t="s">
        <v>4014</v>
      </c>
      <c r="J507">
        <v>3</v>
      </c>
      <c r="K507">
        <v>5723</v>
      </c>
      <c r="L507">
        <v>15</v>
      </c>
      <c r="M507">
        <v>17169</v>
      </c>
      <c r="N507">
        <v>2575.35</v>
      </c>
      <c r="O507">
        <v>14593.65</v>
      </c>
    </row>
    <row r="508" spans="1:15" x14ac:dyDescent="0.3">
      <c r="A508" t="s">
        <v>520</v>
      </c>
      <c r="B508" s="1">
        <v>45257</v>
      </c>
      <c r="C508" t="s">
        <v>2520</v>
      </c>
      <c r="D508" t="s">
        <v>4000</v>
      </c>
      <c r="E508">
        <v>42</v>
      </c>
      <c r="F508" t="str">
        <f t="shared" si="7"/>
        <v>36-45</v>
      </c>
      <c r="G508" t="s">
        <v>4004</v>
      </c>
      <c r="H508" t="s">
        <v>4009</v>
      </c>
      <c r="I508" t="s">
        <v>4013</v>
      </c>
      <c r="J508">
        <v>6</v>
      </c>
      <c r="K508">
        <v>2243</v>
      </c>
      <c r="L508">
        <v>0</v>
      </c>
      <c r="M508">
        <v>13458</v>
      </c>
      <c r="N508">
        <v>0</v>
      </c>
      <c r="O508">
        <v>13458</v>
      </c>
    </row>
    <row r="509" spans="1:15" x14ac:dyDescent="0.3">
      <c r="A509" t="s">
        <v>521</v>
      </c>
      <c r="B509" s="1">
        <v>44910</v>
      </c>
      <c r="C509" t="s">
        <v>2521</v>
      </c>
      <c r="D509" t="s">
        <v>4000</v>
      </c>
      <c r="E509">
        <v>62</v>
      </c>
      <c r="F509" t="str">
        <f t="shared" si="7"/>
        <v>46+</v>
      </c>
      <c r="G509" t="s">
        <v>4004</v>
      </c>
      <c r="H509" t="s">
        <v>4012</v>
      </c>
      <c r="I509" t="s">
        <v>4014</v>
      </c>
      <c r="J509">
        <v>3</v>
      </c>
      <c r="K509">
        <v>1504</v>
      </c>
      <c r="L509">
        <v>20</v>
      </c>
      <c r="M509">
        <v>4512</v>
      </c>
      <c r="N509">
        <v>902.4</v>
      </c>
      <c r="O509">
        <v>3609.6</v>
      </c>
    </row>
    <row r="510" spans="1:15" x14ac:dyDescent="0.3">
      <c r="A510" t="s">
        <v>522</v>
      </c>
      <c r="B510" s="1">
        <v>45067</v>
      </c>
      <c r="C510" t="s">
        <v>2522</v>
      </c>
      <c r="D510" t="s">
        <v>3999</v>
      </c>
      <c r="E510">
        <v>23</v>
      </c>
      <c r="F510" t="str">
        <f t="shared" si="7"/>
        <v>18-25</v>
      </c>
      <c r="G510" t="s">
        <v>4001</v>
      </c>
      <c r="H510" t="s">
        <v>4010</v>
      </c>
      <c r="I510" t="s">
        <v>4013</v>
      </c>
      <c r="J510">
        <v>3</v>
      </c>
      <c r="K510">
        <v>306</v>
      </c>
      <c r="L510">
        <v>10</v>
      </c>
      <c r="M510">
        <v>918</v>
      </c>
      <c r="N510">
        <v>91.8</v>
      </c>
      <c r="O510">
        <v>826.2</v>
      </c>
    </row>
    <row r="511" spans="1:15" x14ac:dyDescent="0.3">
      <c r="A511" t="s">
        <v>523</v>
      </c>
      <c r="B511" s="1">
        <v>45281</v>
      </c>
      <c r="C511" t="s">
        <v>2523</v>
      </c>
      <c r="D511" t="s">
        <v>3999</v>
      </c>
      <c r="E511">
        <v>60</v>
      </c>
      <c r="F511" t="str">
        <f t="shared" si="7"/>
        <v>46+</v>
      </c>
      <c r="G511" t="s">
        <v>4006</v>
      </c>
      <c r="H511" t="s">
        <v>4007</v>
      </c>
      <c r="I511" t="s">
        <v>4016</v>
      </c>
      <c r="J511">
        <v>2</v>
      </c>
      <c r="K511">
        <v>7493</v>
      </c>
      <c r="L511">
        <v>0</v>
      </c>
      <c r="M511">
        <v>14986</v>
      </c>
      <c r="N511">
        <v>0</v>
      </c>
      <c r="O511">
        <v>14986</v>
      </c>
    </row>
    <row r="512" spans="1:15" x14ac:dyDescent="0.3">
      <c r="A512" t="s">
        <v>524</v>
      </c>
      <c r="B512" s="1">
        <v>45177</v>
      </c>
      <c r="C512" t="s">
        <v>2524</v>
      </c>
      <c r="D512" t="s">
        <v>4000</v>
      </c>
      <c r="E512">
        <v>28</v>
      </c>
      <c r="F512" t="str">
        <f t="shared" si="7"/>
        <v>26-35</v>
      </c>
      <c r="G512" t="s">
        <v>4004</v>
      </c>
      <c r="H512" t="s">
        <v>4008</v>
      </c>
      <c r="I512" t="s">
        <v>4013</v>
      </c>
      <c r="J512">
        <v>5</v>
      </c>
      <c r="K512">
        <v>4562</v>
      </c>
      <c r="L512">
        <v>20</v>
      </c>
      <c r="M512">
        <v>22810</v>
      </c>
      <c r="N512">
        <v>4562</v>
      </c>
      <c r="O512">
        <v>18248</v>
      </c>
    </row>
    <row r="513" spans="1:15" x14ac:dyDescent="0.3">
      <c r="A513" t="s">
        <v>525</v>
      </c>
      <c r="B513" s="1">
        <v>45116</v>
      </c>
      <c r="C513" t="s">
        <v>2525</v>
      </c>
      <c r="D513" t="s">
        <v>4000</v>
      </c>
      <c r="E513">
        <v>61</v>
      </c>
      <c r="F513" t="str">
        <f t="shared" si="7"/>
        <v>46+</v>
      </c>
      <c r="G513" t="s">
        <v>4003</v>
      </c>
      <c r="H513" t="s">
        <v>4010</v>
      </c>
      <c r="I513" t="s">
        <v>4014</v>
      </c>
      <c r="J513">
        <v>1</v>
      </c>
      <c r="K513">
        <v>568</v>
      </c>
      <c r="L513">
        <v>0</v>
      </c>
      <c r="M513">
        <v>568</v>
      </c>
      <c r="N513">
        <v>0</v>
      </c>
      <c r="O513">
        <v>568</v>
      </c>
    </row>
    <row r="514" spans="1:15" x14ac:dyDescent="0.3">
      <c r="A514" t="s">
        <v>526</v>
      </c>
      <c r="B514" s="1">
        <v>44609</v>
      </c>
      <c r="C514" t="s">
        <v>2526</v>
      </c>
      <c r="D514" t="s">
        <v>3999</v>
      </c>
      <c r="E514">
        <v>22</v>
      </c>
      <c r="F514" t="str">
        <f t="shared" ref="F514:F577" si="8">IF(E514&lt;=25,"18-25",IF(E514&lt;=35,"26-35",IF(E514&lt;=45,"36-45","46+")))</f>
        <v>18-25</v>
      </c>
      <c r="G514" t="s">
        <v>4005</v>
      </c>
      <c r="H514" t="s">
        <v>4010</v>
      </c>
      <c r="I514" t="s">
        <v>4013</v>
      </c>
      <c r="J514">
        <v>6</v>
      </c>
      <c r="K514">
        <v>3504</v>
      </c>
      <c r="L514">
        <v>0</v>
      </c>
      <c r="M514">
        <v>21024</v>
      </c>
      <c r="N514">
        <v>0</v>
      </c>
      <c r="O514">
        <v>21024</v>
      </c>
    </row>
    <row r="515" spans="1:15" x14ac:dyDescent="0.3">
      <c r="A515" t="s">
        <v>527</v>
      </c>
      <c r="B515" s="1">
        <v>44989</v>
      </c>
      <c r="C515" t="s">
        <v>2527</v>
      </c>
      <c r="D515" t="s">
        <v>3999</v>
      </c>
      <c r="E515">
        <v>20</v>
      </c>
      <c r="F515" t="str">
        <f t="shared" si="8"/>
        <v>18-25</v>
      </c>
      <c r="G515" t="s">
        <v>4006</v>
      </c>
      <c r="H515" t="s">
        <v>4012</v>
      </c>
      <c r="I515" t="s">
        <v>4016</v>
      </c>
      <c r="J515">
        <v>3</v>
      </c>
      <c r="K515">
        <v>906</v>
      </c>
      <c r="L515">
        <v>15</v>
      </c>
      <c r="M515">
        <v>2718</v>
      </c>
      <c r="N515">
        <v>407.7</v>
      </c>
      <c r="O515">
        <v>2310.3000000000002</v>
      </c>
    </row>
    <row r="516" spans="1:15" x14ac:dyDescent="0.3">
      <c r="A516" t="s">
        <v>528</v>
      </c>
      <c r="B516" s="1">
        <v>45158</v>
      </c>
      <c r="C516" t="s">
        <v>2528</v>
      </c>
      <c r="D516" t="s">
        <v>4000</v>
      </c>
      <c r="E516">
        <v>47</v>
      </c>
      <c r="F516" t="str">
        <f t="shared" si="8"/>
        <v>46+</v>
      </c>
      <c r="G516" t="s">
        <v>4004</v>
      </c>
      <c r="H516" t="s">
        <v>4010</v>
      </c>
      <c r="I516" t="s">
        <v>4013</v>
      </c>
      <c r="J516">
        <v>7</v>
      </c>
      <c r="K516">
        <v>3060</v>
      </c>
      <c r="L516">
        <v>5</v>
      </c>
      <c r="M516">
        <v>21420</v>
      </c>
      <c r="N516">
        <v>1071</v>
      </c>
      <c r="O516">
        <v>20349</v>
      </c>
    </row>
    <row r="517" spans="1:15" x14ac:dyDescent="0.3">
      <c r="A517" t="s">
        <v>529</v>
      </c>
      <c r="B517" s="1">
        <v>44762</v>
      </c>
      <c r="C517" t="s">
        <v>2529</v>
      </c>
      <c r="D517" t="s">
        <v>3999</v>
      </c>
      <c r="E517">
        <v>54</v>
      </c>
      <c r="F517" t="str">
        <f t="shared" si="8"/>
        <v>46+</v>
      </c>
      <c r="G517" t="s">
        <v>4006</v>
      </c>
      <c r="H517" t="s">
        <v>4007</v>
      </c>
      <c r="I517" t="s">
        <v>4014</v>
      </c>
      <c r="J517">
        <v>6</v>
      </c>
      <c r="K517">
        <v>3876</v>
      </c>
      <c r="L517">
        <v>0</v>
      </c>
      <c r="M517">
        <v>23256</v>
      </c>
      <c r="N517">
        <v>0</v>
      </c>
      <c r="O517">
        <v>23256</v>
      </c>
    </row>
    <row r="518" spans="1:15" x14ac:dyDescent="0.3">
      <c r="A518" t="s">
        <v>530</v>
      </c>
      <c r="B518" s="1">
        <v>44905</v>
      </c>
      <c r="C518" t="s">
        <v>2530</v>
      </c>
      <c r="D518" t="s">
        <v>4000</v>
      </c>
      <c r="E518">
        <v>35</v>
      </c>
      <c r="F518" t="str">
        <f t="shared" si="8"/>
        <v>26-35</v>
      </c>
      <c r="G518" t="s">
        <v>4003</v>
      </c>
      <c r="H518" t="s">
        <v>4011</v>
      </c>
      <c r="I518" t="s">
        <v>4016</v>
      </c>
      <c r="J518">
        <v>4</v>
      </c>
      <c r="K518">
        <v>575</v>
      </c>
      <c r="L518">
        <v>0</v>
      </c>
      <c r="M518">
        <v>2300</v>
      </c>
      <c r="N518">
        <v>0</v>
      </c>
      <c r="O518">
        <v>2300</v>
      </c>
    </row>
    <row r="519" spans="1:15" x14ac:dyDescent="0.3">
      <c r="A519" t="s">
        <v>531</v>
      </c>
      <c r="B519" s="1">
        <v>45248</v>
      </c>
      <c r="C519" t="s">
        <v>2531</v>
      </c>
      <c r="D519" t="s">
        <v>4000</v>
      </c>
      <c r="E519">
        <v>19</v>
      </c>
      <c r="F519" t="str">
        <f t="shared" si="8"/>
        <v>18-25</v>
      </c>
      <c r="G519" t="s">
        <v>4006</v>
      </c>
      <c r="H519" t="s">
        <v>4010</v>
      </c>
      <c r="I519" t="s">
        <v>4013</v>
      </c>
      <c r="J519">
        <v>5</v>
      </c>
      <c r="K519">
        <v>6929</v>
      </c>
      <c r="L519">
        <v>10</v>
      </c>
      <c r="M519">
        <v>34645</v>
      </c>
      <c r="N519">
        <v>3464.5</v>
      </c>
      <c r="O519">
        <v>31180.5</v>
      </c>
    </row>
    <row r="520" spans="1:15" x14ac:dyDescent="0.3">
      <c r="A520" t="s">
        <v>532</v>
      </c>
      <c r="B520" s="1">
        <v>44943</v>
      </c>
      <c r="C520" t="s">
        <v>2532</v>
      </c>
      <c r="D520" t="s">
        <v>4000</v>
      </c>
      <c r="E520">
        <v>33</v>
      </c>
      <c r="F520" t="str">
        <f t="shared" si="8"/>
        <v>26-35</v>
      </c>
      <c r="G520" t="s">
        <v>4001</v>
      </c>
      <c r="H520" t="s">
        <v>4011</v>
      </c>
      <c r="I520" t="s">
        <v>4014</v>
      </c>
      <c r="J520">
        <v>7</v>
      </c>
      <c r="K520">
        <v>6015</v>
      </c>
      <c r="L520">
        <v>0</v>
      </c>
      <c r="M520">
        <v>42105</v>
      </c>
      <c r="N520">
        <v>0</v>
      </c>
      <c r="O520">
        <v>42105</v>
      </c>
    </row>
    <row r="521" spans="1:15" x14ac:dyDescent="0.3">
      <c r="A521" t="s">
        <v>533</v>
      </c>
      <c r="B521" s="1">
        <v>45101</v>
      </c>
      <c r="C521" t="s">
        <v>2533</v>
      </c>
      <c r="D521" t="s">
        <v>4000</v>
      </c>
      <c r="E521">
        <v>59</v>
      </c>
      <c r="F521" t="str">
        <f t="shared" si="8"/>
        <v>46+</v>
      </c>
      <c r="G521" t="s">
        <v>4004</v>
      </c>
      <c r="H521" t="s">
        <v>4011</v>
      </c>
      <c r="I521" t="s">
        <v>4016</v>
      </c>
      <c r="J521">
        <v>7</v>
      </c>
      <c r="K521">
        <v>6958</v>
      </c>
      <c r="L521">
        <v>5</v>
      </c>
      <c r="M521">
        <v>48706</v>
      </c>
      <c r="N521">
        <v>2435.3000000000002</v>
      </c>
      <c r="O521">
        <v>46270.7</v>
      </c>
    </row>
    <row r="522" spans="1:15" x14ac:dyDescent="0.3">
      <c r="A522" t="s">
        <v>534</v>
      </c>
      <c r="B522" s="1">
        <v>44853</v>
      </c>
      <c r="C522" t="s">
        <v>2534</v>
      </c>
      <c r="D522" t="s">
        <v>4000</v>
      </c>
      <c r="E522">
        <v>32</v>
      </c>
      <c r="F522" t="str">
        <f t="shared" si="8"/>
        <v>26-35</v>
      </c>
      <c r="G522" t="s">
        <v>4006</v>
      </c>
      <c r="H522" t="s">
        <v>4007</v>
      </c>
      <c r="I522" t="s">
        <v>4016</v>
      </c>
      <c r="J522">
        <v>6</v>
      </c>
      <c r="K522">
        <v>823</v>
      </c>
      <c r="L522">
        <v>10</v>
      </c>
      <c r="M522">
        <v>4938</v>
      </c>
      <c r="N522">
        <v>493.8</v>
      </c>
      <c r="O522">
        <v>4444.2</v>
      </c>
    </row>
    <row r="523" spans="1:15" x14ac:dyDescent="0.3">
      <c r="A523" t="s">
        <v>535</v>
      </c>
      <c r="B523" s="1">
        <v>44768</v>
      </c>
      <c r="C523" t="s">
        <v>2535</v>
      </c>
      <c r="D523" t="s">
        <v>4000</v>
      </c>
      <c r="E523">
        <v>60</v>
      </c>
      <c r="F523" t="str">
        <f t="shared" si="8"/>
        <v>46+</v>
      </c>
      <c r="G523" t="s">
        <v>4006</v>
      </c>
      <c r="H523" t="s">
        <v>4009</v>
      </c>
      <c r="I523" t="s">
        <v>4017</v>
      </c>
      <c r="J523">
        <v>5</v>
      </c>
      <c r="K523">
        <v>4641</v>
      </c>
      <c r="L523">
        <v>0</v>
      </c>
      <c r="M523">
        <v>23205</v>
      </c>
      <c r="N523">
        <v>0</v>
      </c>
      <c r="O523">
        <v>23205</v>
      </c>
    </row>
    <row r="524" spans="1:15" x14ac:dyDescent="0.3">
      <c r="A524" t="s">
        <v>536</v>
      </c>
      <c r="B524" s="1">
        <v>44712</v>
      </c>
      <c r="C524" t="s">
        <v>2536</v>
      </c>
      <c r="D524" t="s">
        <v>3999</v>
      </c>
      <c r="E524">
        <v>54</v>
      </c>
      <c r="F524" t="str">
        <f t="shared" si="8"/>
        <v>46+</v>
      </c>
      <c r="G524" t="s">
        <v>4003</v>
      </c>
      <c r="H524" t="s">
        <v>4007</v>
      </c>
      <c r="I524" t="s">
        <v>4015</v>
      </c>
      <c r="J524">
        <v>1</v>
      </c>
      <c r="K524">
        <v>1496</v>
      </c>
      <c r="L524">
        <v>15</v>
      </c>
      <c r="M524">
        <v>1496</v>
      </c>
      <c r="N524">
        <v>224.4</v>
      </c>
      <c r="O524">
        <v>1271.5999999999999</v>
      </c>
    </row>
    <row r="525" spans="1:15" x14ac:dyDescent="0.3">
      <c r="A525" t="s">
        <v>537</v>
      </c>
      <c r="B525" s="1">
        <v>45190</v>
      </c>
      <c r="C525" t="s">
        <v>2537</v>
      </c>
      <c r="D525" t="s">
        <v>3999</v>
      </c>
      <c r="E525">
        <v>22</v>
      </c>
      <c r="F525" t="str">
        <f t="shared" si="8"/>
        <v>18-25</v>
      </c>
      <c r="G525" t="s">
        <v>4001</v>
      </c>
      <c r="H525" t="s">
        <v>4012</v>
      </c>
      <c r="I525" t="s">
        <v>4013</v>
      </c>
      <c r="J525">
        <v>1</v>
      </c>
      <c r="K525">
        <v>3549</v>
      </c>
      <c r="L525">
        <v>10</v>
      </c>
      <c r="M525">
        <v>3549</v>
      </c>
      <c r="N525">
        <v>354.9</v>
      </c>
      <c r="O525">
        <v>3194.1</v>
      </c>
    </row>
    <row r="526" spans="1:15" x14ac:dyDescent="0.3">
      <c r="A526" t="s">
        <v>538</v>
      </c>
      <c r="B526" s="1">
        <v>45163</v>
      </c>
      <c r="C526" t="s">
        <v>2538</v>
      </c>
      <c r="D526" t="s">
        <v>4000</v>
      </c>
      <c r="E526">
        <v>64</v>
      </c>
      <c r="F526" t="str">
        <f t="shared" si="8"/>
        <v>46+</v>
      </c>
      <c r="G526" t="s">
        <v>4005</v>
      </c>
      <c r="H526" t="s">
        <v>4009</v>
      </c>
      <c r="I526" t="s">
        <v>4014</v>
      </c>
      <c r="J526">
        <v>2</v>
      </c>
      <c r="K526">
        <v>7146</v>
      </c>
      <c r="L526">
        <v>10</v>
      </c>
      <c r="M526">
        <v>14292</v>
      </c>
      <c r="N526">
        <v>1429.2</v>
      </c>
      <c r="O526">
        <v>12862.8</v>
      </c>
    </row>
    <row r="527" spans="1:15" x14ac:dyDescent="0.3">
      <c r="A527" t="s">
        <v>539</v>
      </c>
      <c r="B527" s="1">
        <v>44679</v>
      </c>
      <c r="C527" t="s">
        <v>2539</v>
      </c>
      <c r="D527" t="s">
        <v>3999</v>
      </c>
      <c r="E527">
        <v>24</v>
      </c>
      <c r="F527" t="str">
        <f t="shared" si="8"/>
        <v>18-25</v>
      </c>
      <c r="G527" t="s">
        <v>4004</v>
      </c>
      <c r="H527" t="s">
        <v>4007</v>
      </c>
      <c r="I527" t="s">
        <v>4014</v>
      </c>
      <c r="J527">
        <v>5</v>
      </c>
      <c r="K527">
        <v>5700</v>
      </c>
      <c r="L527">
        <v>5</v>
      </c>
      <c r="M527">
        <v>28500</v>
      </c>
      <c r="N527">
        <v>1425</v>
      </c>
      <c r="O527">
        <v>27075</v>
      </c>
    </row>
    <row r="528" spans="1:15" x14ac:dyDescent="0.3">
      <c r="A528" t="s">
        <v>540</v>
      </c>
      <c r="B528" s="1">
        <v>45263</v>
      </c>
      <c r="C528" t="s">
        <v>2540</v>
      </c>
      <c r="D528" t="s">
        <v>4000</v>
      </c>
      <c r="E528">
        <v>50</v>
      </c>
      <c r="F528" t="str">
        <f t="shared" si="8"/>
        <v>46+</v>
      </c>
      <c r="G528" t="s">
        <v>4005</v>
      </c>
      <c r="H528" t="s">
        <v>4011</v>
      </c>
      <c r="I528" t="s">
        <v>4013</v>
      </c>
      <c r="J528">
        <v>3</v>
      </c>
      <c r="K528">
        <v>6671</v>
      </c>
      <c r="L528">
        <v>5</v>
      </c>
      <c r="M528">
        <v>20013</v>
      </c>
      <c r="N528">
        <v>1000.65</v>
      </c>
      <c r="O528">
        <v>19012.349999999999</v>
      </c>
    </row>
    <row r="529" spans="1:15" x14ac:dyDescent="0.3">
      <c r="A529" t="s">
        <v>541</v>
      </c>
      <c r="B529" s="1">
        <v>45104</v>
      </c>
      <c r="C529" t="s">
        <v>2541</v>
      </c>
      <c r="D529" t="s">
        <v>3999</v>
      </c>
      <c r="E529">
        <v>22</v>
      </c>
      <c r="F529" t="str">
        <f t="shared" si="8"/>
        <v>18-25</v>
      </c>
      <c r="G529" t="s">
        <v>4001</v>
      </c>
      <c r="H529" t="s">
        <v>4007</v>
      </c>
      <c r="I529" t="s">
        <v>4014</v>
      </c>
      <c r="J529">
        <v>7</v>
      </c>
      <c r="K529">
        <v>2673</v>
      </c>
      <c r="L529">
        <v>0</v>
      </c>
      <c r="M529">
        <v>18711</v>
      </c>
      <c r="N529">
        <v>0</v>
      </c>
      <c r="O529">
        <v>18711</v>
      </c>
    </row>
    <row r="530" spans="1:15" x14ac:dyDescent="0.3">
      <c r="A530" t="s">
        <v>542</v>
      </c>
      <c r="B530" s="1">
        <v>44668</v>
      </c>
      <c r="C530" t="s">
        <v>2542</v>
      </c>
      <c r="D530" t="s">
        <v>3999</v>
      </c>
      <c r="E530">
        <v>37</v>
      </c>
      <c r="F530" t="str">
        <f t="shared" si="8"/>
        <v>36-45</v>
      </c>
      <c r="G530" t="s">
        <v>4002</v>
      </c>
      <c r="H530" t="s">
        <v>4009</v>
      </c>
      <c r="I530" t="s">
        <v>4015</v>
      </c>
      <c r="J530">
        <v>3</v>
      </c>
      <c r="K530">
        <v>2924</v>
      </c>
      <c r="L530">
        <v>5</v>
      </c>
      <c r="M530">
        <v>8772</v>
      </c>
      <c r="N530">
        <v>438.6</v>
      </c>
      <c r="O530">
        <v>8333.4</v>
      </c>
    </row>
    <row r="531" spans="1:15" x14ac:dyDescent="0.3">
      <c r="A531" t="s">
        <v>543</v>
      </c>
      <c r="B531" s="1">
        <v>45150</v>
      </c>
      <c r="C531" t="s">
        <v>2543</v>
      </c>
      <c r="D531" t="s">
        <v>4000</v>
      </c>
      <c r="E531">
        <v>19</v>
      </c>
      <c r="F531" t="str">
        <f t="shared" si="8"/>
        <v>18-25</v>
      </c>
      <c r="G531" t="s">
        <v>4002</v>
      </c>
      <c r="H531" t="s">
        <v>4008</v>
      </c>
      <c r="I531" t="s">
        <v>4017</v>
      </c>
      <c r="J531">
        <v>1</v>
      </c>
      <c r="K531">
        <v>6042</v>
      </c>
      <c r="L531">
        <v>0</v>
      </c>
      <c r="M531">
        <v>6042</v>
      </c>
      <c r="N531">
        <v>0</v>
      </c>
      <c r="O531">
        <v>6042</v>
      </c>
    </row>
    <row r="532" spans="1:15" x14ac:dyDescent="0.3">
      <c r="A532" t="s">
        <v>544</v>
      </c>
      <c r="B532" s="1">
        <v>45003</v>
      </c>
      <c r="C532" t="s">
        <v>2544</v>
      </c>
      <c r="D532" t="s">
        <v>3999</v>
      </c>
      <c r="E532">
        <v>47</v>
      </c>
      <c r="F532" t="str">
        <f t="shared" si="8"/>
        <v>46+</v>
      </c>
      <c r="G532" t="s">
        <v>4002</v>
      </c>
      <c r="H532" t="s">
        <v>4010</v>
      </c>
      <c r="I532" t="s">
        <v>4017</v>
      </c>
      <c r="J532">
        <v>7</v>
      </c>
      <c r="K532">
        <v>5871</v>
      </c>
      <c r="L532">
        <v>10</v>
      </c>
      <c r="M532">
        <v>41097</v>
      </c>
      <c r="N532">
        <v>4109.7</v>
      </c>
      <c r="O532">
        <v>36987.300000000003</v>
      </c>
    </row>
    <row r="533" spans="1:15" x14ac:dyDescent="0.3">
      <c r="A533" t="s">
        <v>545</v>
      </c>
      <c r="B533" s="1">
        <v>44810</v>
      </c>
      <c r="C533" t="s">
        <v>2545</v>
      </c>
      <c r="D533" t="s">
        <v>3999</v>
      </c>
      <c r="E533">
        <v>27</v>
      </c>
      <c r="F533" t="str">
        <f t="shared" si="8"/>
        <v>26-35</v>
      </c>
      <c r="G533" t="s">
        <v>4005</v>
      </c>
      <c r="H533" t="s">
        <v>4008</v>
      </c>
      <c r="I533" t="s">
        <v>4016</v>
      </c>
      <c r="J533">
        <v>5</v>
      </c>
      <c r="K533">
        <v>2538</v>
      </c>
      <c r="L533">
        <v>5</v>
      </c>
      <c r="M533">
        <v>12690</v>
      </c>
      <c r="N533">
        <v>634.5</v>
      </c>
      <c r="O533">
        <v>12055.5</v>
      </c>
    </row>
    <row r="534" spans="1:15" x14ac:dyDescent="0.3">
      <c r="A534" t="s">
        <v>546</v>
      </c>
      <c r="B534" s="1">
        <v>45005</v>
      </c>
      <c r="C534" t="s">
        <v>2546</v>
      </c>
      <c r="D534" t="s">
        <v>4000</v>
      </c>
      <c r="E534">
        <v>49</v>
      </c>
      <c r="F534" t="str">
        <f t="shared" si="8"/>
        <v>46+</v>
      </c>
      <c r="G534" t="s">
        <v>4006</v>
      </c>
      <c r="H534" t="s">
        <v>4008</v>
      </c>
      <c r="I534" t="s">
        <v>4013</v>
      </c>
      <c r="J534">
        <v>1</v>
      </c>
      <c r="K534">
        <v>4528</v>
      </c>
      <c r="L534">
        <v>0</v>
      </c>
      <c r="M534">
        <v>4528</v>
      </c>
      <c r="N534">
        <v>0</v>
      </c>
      <c r="O534">
        <v>4528</v>
      </c>
    </row>
    <row r="535" spans="1:15" x14ac:dyDescent="0.3">
      <c r="A535" t="s">
        <v>547</v>
      </c>
      <c r="B535" s="1">
        <v>45162</v>
      </c>
      <c r="C535" t="s">
        <v>2547</v>
      </c>
      <c r="D535" t="s">
        <v>4000</v>
      </c>
      <c r="E535">
        <v>51</v>
      </c>
      <c r="F535" t="str">
        <f t="shared" si="8"/>
        <v>46+</v>
      </c>
      <c r="G535" t="s">
        <v>4005</v>
      </c>
      <c r="H535" t="s">
        <v>4009</v>
      </c>
      <c r="I535" t="s">
        <v>4017</v>
      </c>
      <c r="J535">
        <v>3</v>
      </c>
      <c r="K535">
        <v>7536</v>
      </c>
      <c r="L535">
        <v>0</v>
      </c>
      <c r="M535">
        <v>22608</v>
      </c>
      <c r="N535">
        <v>0</v>
      </c>
      <c r="O535">
        <v>22608</v>
      </c>
    </row>
    <row r="536" spans="1:15" x14ac:dyDescent="0.3">
      <c r="A536" t="s">
        <v>548</v>
      </c>
      <c r="B536" s="1">
        <v>44904</v>
      </c>
      <c r="C536" t="s">
        <v>2548</v>
      </c>
      <c r="D536" t="s">
        <v>3999</v>
      </c>
      <c r="E536">
        <v>52</v>
      </c>
      <c r="F536" t="str">
        <f t="shared" si="8"/>
        <v>46+</v>
      </c>
      <c r="G536" t="s">
        <v>4003</v>
      </c>
      <c r="H536" t="s">
        <v>4008</v>
      </c>
      <c r="I536" t="s">
        <v>4014</v>
      </c>
      <c r="J536">
        <v>6</v>
      </c>
      <c r="K536">
        <v>1600</v>
      </c>
      <c r="L536">
        <v>5</v>
      </c>
      <c r="M536">
        <v>9600</v>
      </c>
      <c r="N536">
        <v>480</v>
      </c>
      <c r="O536">
        <v>9120</v>
      </c>
    </row>
    <row r="537" spans="1:15" x14ac:dyDescent="0.3">
      <c r="A537" t="s">
        <v>549</v>
      </c>
      <c r="B537" s="1">
        <v>44717</v>
      </c>
      <c r="C537" t="s">
        <v>2549</v>
      </c>
      <c r="D537" t="s">
        <v>4000</v>
      </c>
      <c r="E537">
        <v>45</v>
      </c>
      <c r="F537" t="str">
        <f t="shared" si="8"/>
        <v>36-45</v>
      </c>
      <c r="G537" t="s">
        <v>4005</v>
      </c>
      <c r="H537" t="s">
        <v>4008</v>
      </c>
      <c r="I537" t="s">
        <v>4016</v>
      </c>
      <c r="J537">
        <v>3</v>
      </c>
      <c r="K537">
        <v>1431</v>
      </c>
      <c r="L537">
        <v>5</v>
      </c>
      <c r="M537">
        <v>4293</v>
      </c>
      <c r="N537">
        <v>214.65</v>
      </c>
      <c r="O537">
        <v>4078.35</v>
      </c>
    </row>
    <row r="538" spans="1:15" x14ac:dyDescent="0.3">
      <c r="A538" t="s">
        <v>550</v>
      </c>
      <c r="B538" s="1">
        <v>44948</v>
      </c>
      <c r="C538" t="s">
        <v>2550</v>
      </c>
      <c r="D538" t="s">
        <v>4000</v>
      </c>
      <c r="E538">
        <v>38</v>
      </c>
      <c r="F538" t="str">
        <f t="shared" si="8"/>
        <v>36-45</v>
      </c>
      <c r="G538" t="s">
        <v>4006</v>
      </c>
      <c r="H538" t="s">
        <v>4009</v>
      </c>
      <c r="I538" t="s">
        <v>4017</v>
      </c>
      <c r="J538">
        <v>1</v>
      </c>
      <c r="K538">
        <v>2375</v>
      </c>
      <c r="L538">
        <v>20</v>
      </c>
      <c r="M538">
        <v>2375</v>
      </c>
      <c r="N538">
        <v>475</v>
      </c>
      <c r="O538">
        <v>1900</v>
      </c>
    </row>
    <row r="539" spans="1:15" x14ac:dyDescent="0.3">
      <c r="A539" t="s">
        <v>551</v>
      </c>
      <c r="B539" s="1">
        <v>44964</v>
      </c>
      <c r="C539" t="s">
        <v>2551</v>
      </c>
      <c r="D539" t="s">
        <v>4000</v>
      </c>
      <c r="E539">
        <v>32</v>
      </c>
      <c r="F539" t="str">
        <f t="shared" si="8"/>
        <v>26-35</v>
      </c>
      <c r="G539" t="s">
        <v>4002</v>
      </c>
      <c r="H539" t="s">
        <v>4007</v>
      </c>
      <c r="I539" t="s">
        <v>4016</v>
      </c>
      <c r="J539">
        <v>6</v>
      </c>
      <c r="K539">
        <v>870</v>
      </c>
      <c r="L539">
        <v>0</v>
      </c>
      <c r="M539">
        <v>5220</v>
      </c>
      <c r="N539">
        <v>0</v>
      </c>
      <c r="O539">
        <v>5220</v>
      </c>
    </row>
    <row r="540" spans="1:15" x14ac:dyDescent="0.3">
      <c r="A540" t="s">
        <v>552</v>
      </c>
      <c r="B540" s="1">
        <v>45047</v>
      </c>
      <c r="C540" t="s">
        <v>2552</v>
      </c>
      <c r="D540" t="s">
        <v>3999</v>
      </c>
      <c r="E540">
        <v>41</v>
      </c>
      <c r="F540" t="str">
        <f t="shared" si="8"/>
        <v>36-45</v>
      </c>
      <c r="G540" t="s">
        <v>4002</v>
      </c>
      <c r="H540" t="s">
        <v>4011</v>
      </c>
      <c r="I540" t="s">
        <v>4013</v>
      </c>
      <c r="J540">
        <v>6</v>
      </c>
      <c r="K540">
        <v>3163</v>
      </c>
      <c r="L540">
        <v>5</v>
      </c>
      <c r="M540">
        <v>18978</v>
      </c>
      <c r="N540">
        <v>948.9</v>
      </c>
      <c r="O540">
        <v>18029.099999999999</v>
      </c>
    </row>
    <row r="541" spans="1:15" x14ac:dyDescent="0.3">
      <c r="A541" t="s">
        <v>553</v>
      </c>
      <c r="B541" s="1">
        <v>45091</v>
      </c>
      <c r="C541" t="s">
        <v>2553</v>
      </c>
      <c r="D541" t="s">
        <v>4000</v>
      </c>
      <c r="E541">
        <v>43</v>
      </c>
      <c r="F541" t="str">
        <f t="shared" si="8"/>
        <v>36-45</v>
      </c>
      <c r="G541" t="s">
        <v>4006</v>
      </c>
      <c r="H541" t="s">
        <v>4008</v>
      </c>
      <c r="I541" t="s">
        <v>4017</v>
      </c>
      <c r="J541">
        <v>7</v>
      </c>
      <c r="K541">
        <v>2199</v>
      </c>
      <c r="L541">
        <v>20</v>
      </c>
      <c r="M541">
        <v>15393</v>
      </c>
      <c r="N541">
        <v>3078.6</v>
      </c>
      <c r="O541">
        <v>12314.4</v>
      </c>
    </row>
    <row r="542" spans="1:15" x14ac:dyDescent="0.3">
      <c r="A542" t="s">
        <v>554</v>
      </c>
      <c r="B542" s="1">
        <v>44614</v>
      </c>
      <c r="C542" t="s">
        <v>2554</v>
      </c>
      <c r="D542" t="s">
        <v>4000</v>
      </c>
      <c r="E542">
        <v>61</v>
      </c>
      <c r="F542" t="str">
        <f t="shared" si="8"/>
        <v>46+</v>
      </c>
      <c r="G542" t="s">
        <v>4002</v>
      </c>
      <c r="H542" t="s">
        <v>4008</v>
      </c>
      <c r="I542" t="s">
        <v>4014</v>
      </c>
      <c r="J542">
        <v>4</v>
      </c>
      <c r="K542">
        <v>5454</v>
      </c>
      <c r="L542">
        <v>0</v>
      </c>
      <c r="M542">
        <v>21816</v>
      </c>
      <c r="N542">
        <v>0</v>
      </c>
      <c r="O542">
        <v>21816</v>
      </c>
    </row>
    <row r="543" spans="1:15" x14ac:dyDescent="0.3">
      <c r="A543" t="s">
        <v>555</v>
      </c>
      <c r="B543" s="1">
        <v>45027</v>
      </c>
      <c r="C543" t="s">
        <v>2555</v>
      </c>
      <c r="D543" t="s">
        <v>3999</v>
      </c>
      <c r="E543">
        <v>29</v>
      </c>
      <c r="F543" t="str">
        <f t="shared" si="8"/>
        <v>26-35</v>
      </c>
      <c r="G543" t="s">
        <v>4002</v>
      </c>
      <c r="H543" t="s">
        <v>4008</v>
      </c>
      <c r="I543" t="s">
        <v>4015</v>
      </c>
      <c r="J543">
        <v>3</v>
      </c>
      <c r="K543">
        <v>5128</v>
      </c>
      <c r="L543">
        <v>5</v>
      </c>
      <c r="M543">
        <v>15384</v>
      </c>
      <c r="N543">
        <v>769.2</v>
      </c>
      <c r="O543">
        <v>14614.8</v>
      </c>
    </row>
    <row r="544" spans="1:15" x14ac:dyDescent="0.3">
      <c r="A544" t="s">
        <v>556</v>
      </c>
      <c r="B544" s="1">
        <v>45078</v>
      </c>
      <c r="C544" t="s">
        <v>2556</v>
      </c>
      <c r="D544" t="s">
        <v>4000</v>
      </c>
      <c r="E544">
        <v>27</v>
      </c>
      <c r="F544" t="str">
        <f t="shared" si="8"/>
        <v>26-35</v>
      </c>
      <c r="G544" t="s">
        <v>4006</v>
      </c>
      <c r="H544" t="s">
        <v>4010</v>
      </c>
      <c r="I544" t="s">
        <v>4016</v>
      </c>
      <c r="J544">
        <v>4</v>
      </c>
      <c r="K544">
        <v>4198</v>
      </c>
      <c r="L544">
        <v>15</v>
      </c>
      <c r="M544">
        <v>16792</v>
      </c>
      <c r="N544">
        <v>2518.8000000000002</v>
      </c>
      <c r="O544">
        <v>14273.2</v>
      </c>
    </row>
    <row r="545" spans="1:15" x14ac:dyDescent="0.3">
      <c r="A545" t="s">
        <v>557</v>
      </c>
      <c r="B545" s="1">
        <v>45163</v>
      </c>
      <c r="C545" t="s">
        <v>2557</v>
      </c>
      <c r="D545" t="s">
        <v>4000</v>
      </c>
      <c r="E545">
        <v>41</v>
      </c>
      <c r="F545" t="str">
        <f t="shared" si="8"/>
        <v>36-45</v>
      </c>
      <c r="G545" t="s">
        <v>4004</v>
      </c>
      <c r="H545" t="s">
        <v>4010</v>
      </c>
      <c r="I545" t="s">
        <v>4015</v>
      </c>
      <c r="J545">
        <v>3</v>
      </c>
      <c r="K545">
        <v>4471</v>
      </c>
      <c r="L545">
        <v>15</v>
      </c>
      <c r="M545">
        <v>13413</v>
      </c>
      <c r="N545">
        <v>2011.95</v>
      </c>
      <c r="O545">
        <v>11401.05</v>
      </c>
    </row>
    <row r="546" spans="1:15" x14ac:dyDescent="0.3">
      <c r="A546" t="s">
        <v>558</v>
      </c>
      <c r="B546" s="1">
        <v>44783</v>
      </c>
      <c r="C546" t="s">
        <v>2558</v>
      </c>
      <c r="D546" t="s">
        <v>3999</v>
      </c>
      <c r="E546">
        <v>21</v>
      </c>
      <c r="F546" t="str">
        <f t="shared" si="8"/>
        <v>18-25</v>
      </c>
      <c r="G546" t="s">
        <v>4006</v>
      </c>
      <c r="H546" t="s">
        <v>4007</v>
      </c>
      <c r="I546" t="s">
        <v>4015</v>
      </c>
      <c r="J546">
        <v>7</v>
      </c>
      <c r="K546">
        <v>2103</v>
      </c>
      <c r="L546">
        <v>0</v>
      </c>
      <c r="M546">
        <v>14721</v>
      </c>
      <c r="N546">
        <v>0</v>
      </c>
      <c r="O546">
        <v>14721</v>
      </c>
    </row>
    <row r="547" spans="1:15" x14ac:dyDescent="0.3">
      <c r="A547" t="s">
        <v>559</v>
      </c>
      <c r="B547" s="1">
        <v>45175</v>
      </c>
      <c r="C547" t="s">
        <v>2559</v>
      </c>
      <c r="D547" t="s">
        <v>4000</v>
      </c>
      <c r="E547">
        <v>37</v>
      </c>
      <c r="F547" t="str">
        <f t="shared" si="8"/>
        <v>36-45</v>
      </c>
      <c r="G547" t="s">
        <v>4003</v>
      </c>
      <c r="H547" t="s">
        <v>4008</v>
      </c>
      <c r="I547" t="s">
        <v>4015</v>
      </c>
      <c r="J547">
        <v>6</v>
      </c>
      <c r="K547">
        <v>2913</v>
      </c>
      <c r="L547">
        <v>10</v>
      </c>
      <c r="M547">
        <v>17478</v>
      </c>
      <c r="N547">
        <v>1747.8</v>
      </c>
      <c r="O547">
        <v>15730.2</v>
      </c>
    </row>
    <row r="548" spans="1:15" x14ac:dyDescent="0.3">
      <c r="A548" t="s">
        <v>560</v>
      </c>
      <c r="B548" s="1">
        <v>44785</v>
      </c>
      <c r="C548" t="s">
        <v>2560</v>
      </c>
      <c r="D548" t="s">
        <v>3999</v>
      </c>
      <c r="E548">
        <v>45</v>
      </c>
      <c r="F548" t="str">
        <f t="shared" si="8"/>
        <v>36-45</v>
      </c>
      <c r="G548" t="s">
        <v>4003</v>
      </c>
      <c r="H548" t="s">
        <v>4012</v>
      </c>
      <c r="I548" t="s">
        <v>4015</v>
      </c>
      <c r="J548">
        <v>2</v>
      </c>
      <c r="K548">
        <v>700</v>
      </c>
      <c r="L548">
        <v>0</v>
      </c>
      <c r="M548">
        <v>1400</v>
      </c>
      <c r="N548">
        <v>0</v>
      </c>
      <c r="O548">
        <v>1400</v>
      </c>
    </row>
    <row r="549" spans="1:15" x14ac:dyDescent="0.3">
      <c r="A549" t="s">
        <v>561</v>
      </c>
      <c r="B549" s="1">
        <v>45132</v>
      </c>
      <c r="C549" t="s">
        <v>2561</v>
      </c>
      <c r="D549" t="s">
        <v>3999</v>
      </c>
      <c r="E549">
        <v>41</v>
      </c>
      <c r="F549" t="str">
        <f t="shared" si="8"/>
        <v>36-45</v>
      </c>
      <c r="G549" t="s">
        <v>4006</v>
      </c>
      <c r="H549" t="s">
        <v>4007</v>
      </c>
      <c r="I549" t="s">
        <v>4016</v>
      </c>
      <c r="J549">
        <v>7</v>
      </c>
      <c r="K549">
        <v>936</v>
      </c>
      <c r="L549">
        <v>20</v>
      </c>
      <c r="M549">
        <v>6552</v>
      </c>
      <c r="N549">
        <v>1310.4000000000001</v>
      </c>
      <c r="O549">
        <v>5241.6000000000004</v>
      </c>
    </row>
    <row r="550" spans="1:15" x14ac:dyDescent="0.3">
      <c r="A550" t="s">
        <v>562</v>
      </c>
      <c r="B550" s="1">
        <v>45077</v>
      </c>
      <c r="C550" t="s">
        <v>2562</v>
      </c>
      <c r="D550" t="s">
        <v>4000</v>
      </c>
      <c r="E550">
        <v>59</v>
      </c>
      <c r="F550" t="str">
        <f t="shared" si="8"/>
        <v>46+</v>
      </c>
      <c r="G550" t="s">
        <v>4002</v>
      </c>
      <c r="H550" t="s">
        <v>4007</v>
      </c>
      <c r="I550" t="s">
        <v>4017</v>
      </c>
      <c r="J550">
        <v>2</v>
      </c>
      <c r="K550">
        <v>4900</v>
      </c>
      <c r="L550">
        <v>10</v>
      </c>
      <c r="M550">
        <v>9800</v>
      </c>
      <c r="N550">
        <v>980</v>
      </c>
      <c r="O550">
        <v>8820</v>
      </c>
    </row>
    <row r="551" spans="1:15" x14ac:dyDescent="0.3">
      <c r="A551" t="s">
        <v>563</v>
      </c>
      <c r="B551" s="1">
        <v>45015</v>
      </c>
      <c r="C551" t="s">
        <v>2563</v>
      </c>
      <c r="D551" t="s">
        <v>4000</v>
      </c>
      <c r="E551">
        <v>18</v>
      </c>
      <c r="F551" t="str">
        <f t="shared" si="8"/>
        <v>18-25</v>
      </c>
      <c r="G551" t="s">
        <v>4006</v>
      </c>
      <c r="H551" t="s">
        <v>4007</v>
      </c>
      <c r="I551" t="s">
        <v>4014</v>
      </c>
      <c r="J551">
        <v>7</v>
      </c>
      <c r="K551">
        <v>2301</v>
      </c>
      <c r="L551">
        <v>20</v>
      </c>
      <c r="M551">
        <v>16107</v>
      </c>
      <c r="N551">
        <v>3221.4</v>
      </c>
      <c r="O551">
        <v>12885.6</v>
      </c>
    </row>
    <row r="552" spans="1:15" x14ac:dyDescent="0.3">
      <c r="A552" t="s">
        <v>564</v>
      </c>
      <c r="B552" s="1">
        <v>44810</v>
      </c>
      <c r="C552" t="s">
        <v>2564</v>
      </c>
      <c r="D552" t="s">
        <v>3999</v>
      </c>
      <c r="E552">
        <v>31</v>
      </c>
      <c r="F552" t="str">
        <f t="shared" si="8"/>
        <v>26-35</v>
      </c>
      <c r="G552" t="s">
        <v>4004</v>
      </c>
      <c r="H552" t="s">
        <v>4009</v>
      </c>
      <c r="I552" t="s">
        <v>4017</v>
      </c>
      <c r="J552">
        <v>3</v>
      </c>
      <c r="K552">
        <v>7250</v>
      </c>
      <c r="L552">
        <v>5</v>
      </c>
      <c r="M552">
        <v>21750</v>
      </c>
      <c r="N552">
        <v>1087.5</v>
      </c>
      <c r="O552">
        <v>20662.5</v>
      </c>
    </row>
    <row r="553" spans="1:15" x14ac:dyDescent="0.3">
      <c r="A553" t="s">
        <v>565</v>
      </c>
      <c r="B553" s="1">
        <v>44624</v>
      </c>
      <c r="C553" t="s">
        <v>2565</v>
      </c>
      <c r="D553" t="s">
        <v>4000</v>
      </c>
      <c r="E553">
        <v>39</v>
      </c>
      <c r="F553" t="str">
        <f t="shared" si="8"/>
        <v>36-45</v>
      </c>
      <c r="G553" t="s">
        <v>4004</v>
      </c>
      <c r="H553" t="s">
        <v>4009</v>
      </c>
      <c r="I553" t="s">
        <v>4013</v>
      </c>
      <c r="J553">
        <v>7</v>
      </c>
      <c r="K553">
        <v>2599</v>
      </c>
      <c r="L553">
        <v>0</v>
      </c>
      <c r="M553">
        <v>18193</v>
      </c>
      <c r="N553">
        <v>0</v>
      </c>
      <c r="O553">
        <v>18193</v>
      </c>
    </row>
    <row r="554" spans="1:15" x14ac:dyDescent="0.3">
      <c r="A554" t="s">
        <v>566</v>
      </c>
      <c r="B554" s="1">
        <v>44562</v>
      </c>
      <c r="C554" t="s">
        <v>2566</v>
      </c>
      <c r="D554" t="s">
        <v>3999</v>
      </c>
      <c r="E554">
        <v>24</v>
      </c>
      <c r="F554" t="str">
        <f t="shared" si="8"/>
        <v>18-25</v>
      </c>
      <c r="G554" t="s">
        <v>4005</v>
      </c>
      <c r="H554" t="s">
        <v>4010</v>
      </c>
      <c r="I554" t="s">
        <v>4017</v>
      </c>
      <c r="J554">
        <v>5</v>
      </c>
      <c r="K554">
        <v>2502</v>
      </c>
      <c r="L554">
        <v>5</v>
      </c>
      <c r="M554">
        <v>12510</v>
      </c>
      <c r="N554">
        <v>625.5</v>
      </c>
      <c r="O554">
        <v>11884.5</v>
      </c>
    </row>
    <row r="555" spans="1:15" x14ac:dyDescent="0.3">
      <c r="A555" t="s">
        <v>567</v>
      </c>
      <c r="B555" s="1">
        <v>45052</v>
      </c>
      <c r="C555" t="s">
        <v>2567</v>
      </c>
      <c r="D555" t="s">
        <v>3999</v>
      </c>
      <c r="E555">
        <v>64</v>
      </c>
      <c r="F555" t="str">
        <f t="shared" si="8"/>
        <v>46+</v>
      </c>
      <c r="G555" t="s">
        <v>4001</v>
      </c>
      <c r="H555" t="s">
        <v>4011</v>
      </c>
      <c r="I555" t="s">
        <v>4015</v>
      </c>
      <c r="J555">
        <v>7</v>
      </c>
      <c r="K555">
        <v>3120</v>
      </c>
      <c r="L555">
        <v>15</v>
      </c>
      <c r="M555">
        <v>21840</v>
      </c>
      <c r="N555">
        <v>3276</v>
      </c>
      <c r="O555">
        <v>18564</v>
      </c>
    </row>
    <row r="556" spans="1:15" x14ac:dyDescent="0.3">
      <c r="A556" t="s">
        <v>568</v>
      </c>
      <c r="B556" s="1">
        <v>44926</v>
      </c>
      <c r="C556" t="s">
        <v>2568</v>
      </c>
      <c r="D556" t="s">
        <v>4000</v>
      </c>
      <c r="E556">
        <v>39</v>
      </c>
      <c r="F556" t="str">
        <f t="shared" si="8"/>
        <v>36-45</v>
      </c>
      <c r="G556" t="s">
        <v>4006</v>
      </c>
      <c r="H556" t="s">
        <v>4011</v>
      </c>
      <c r="I556" t="s">
        <v>4015</v>
      </c>
      <c r="J556">
        <v>6</v>
      </c>
      <c r="K556">
        <v>3185</v>
      </c>
      <c r="L556">
        <v>10</v>
      </c>
      <c r="M556">
        <v>19110</v>
      </c>
      <c r="N556">
        <v>1911</v>
      </c>
      <c r="O556">
        <v>17199</v>
      </c>
    </row>
    <row r="557" spans="1:15" x14ac:dyDescent="0.3">
      <c r="A557" t="s">
        <v>569</v>
      </c>
      <c r="B557" s="1">
        <v>44682</v>
      </c>
      <c r="C557" t="s">
        <v>2569</v>
      </c>
      <c r="D557" t="s">
        <v>3999</v>
      </c>
      <c r="E557">
        <v>40</v>
      </c>
      <c r="F557" t="str">
        <f t="shared" si="8"/>
        <v>36-45</v>
      </c>
      <c r="G557" t="s">
        <v>4005</v>
      </c>
      <c r="H557" t="s">
        <v>4007</v>
      </c>
      <c r="I557" t="s">
        <v>4015</v>
      </c>
      <c r="J557">
        <v>2</v>
      </c>
      <c r="K557">
        <v>1133</v>
      </c>
      <c r="L557">
        <v>15</v>
      </c>
      <c r="M557">
        <v>2266</v>
      </c>
      <c r="N557">
        <v>339.9</v>
      </c>
      <c r="O557">
        <v>1926.1</v>
      </c>
    </row>
    <row r="558" spans="1:15" x14ac:dyDescent="0.3">
      <c r="A558" t="s">
        <v>570</v>
      </c>
      <c r="B558" s="1">
        <v>44641</v>
      </c>
      <c r="C558" t="s">
        <v>2570</v>
      </c>
      <c r="D558" t="s">
        <v>3999</v>
      </c>
      <c r="E558">
        <v>35</v>
      </c>
      <c r="F558" t="str">
        <f t="shared" si="8"/>
        <v>26-35</v>
      </c>
      <c r="G558" t="s">
        <v>4002</v>
      </c>
      <c r="H558" t="s">
        <v>4009</v>
      </c>
      <c r="I558" t="s">
        <v>4013</v>
      </c>
      <c r="J558">
        <v>6</v>
      </c>
      <c r="K558">
        <v>2912</v>
      </c>
      <c r="L558">
        <v>0</v>
      </c>
      <c r="M558">
        <v>17472</v>
      </c>
      <c r="N558">
        <v>0</v>
      </c>
      <c r="O558">
        <v>17472</v>
      </c>
    </row>
    <row r="559" spans="1:15" x14ac:dyDescent="0.3">
      <c r="A559" t="s">
        <v>571</v>
      </c>
      <c r="B559" s="1">
        <v>45006</v>
      </c>
      <c r="C559" t="s">
        <v>2571</v>
      </c>
      <c r="D559" t="s">
        <v>4000</v>
      </c>
      <c r="E559">
        <v>23</v>
      </c>
      <c r="F559" t="str">
        <f t="shared" si="8"/>
        <v>18-25</v>
      </c>
      <c r="G559" t="s">
        <v>4006</v>
      </c>
      <c r="H559" t="s">
        <v>4008</v>
      </c>
      <c r="I559" t="s">
        <v>4013</v>
      </c>
      <c r="J559">
        <v>4</v>
      </c>
      <c r="K559">
        <v>3361</v>
      </c>
      <c r="L559">
        <v>0</v>
      </c>
      <c r="M559">
        <v>13444</v>
      </c>
      <c r="N559">
        <v>0</v>
      </c>
      <c r="O559">
        <v>13444</v>
      </c>
    </row>
    <row r="560" spans="1:15" x14ac:dyDescent="0.3">
      <c r="A560" t="s">
        <v>572</v>
      </c>
      <c r="B560" s="1">
        <v>44662</v>
      </c>
      <c r="C560" t="s">
        <v>2572</v>
      </c>
      <c r="D560" t="s">
        <v>3999</v>
      </c>
      <c r="E560">
        <v>21</v>
      </c>
      <c r="F560" t="str">
        <f t="shared" si="8"/>
        <v>18-25</v>
      </c>
      <c r="G560" t="s">
        <v>4004</v>
      </c>
      <c r="H560" t="s">
        <v>4010</v>
      </c>
      <c r="I560" t="s">
        <v>4014</v>
      </c>
      <c r="J560">
        <v>2</v>
      </c>
      <c r="K560">
        <v>1356</v>
      </c>
      <c r="L560">
        <v>15</v>
      </c>
      <c r="M560">
        <v>2712</v>
      </c>
      <c r="N560">
        <v>406.8</v>
      </c>
      <c r="O560">
        <v>2305.1999999999998</v>
      </c>
    </row>
    <row r="561" spans="1:15" x14ac:dyDescent="0.3">
      <c r="A561" t="s">
        <v>573</v>
      </c>
      <c r="B561" s="1">
        <v>44606</v>
      </c>
      <c r="C561" t="s">
        <v>2573</v>
      </c>
      <c r="D561" t="s">
        <v>4000</v>
      </c>
      <c r="E561">
        <v>20</v>
      </c>
      <c r="F561" t="str">
        <f t="shared" si="8"/>
        <v>18-25</v>
      </c>
      <c r="G561" t="s">
        <v>4001</v>
      </c>
      <c r="H561" t="s">
        <v>4011</v>
      </c>
      <c r="I561" t="s">
        <v>4017</v>
      </c>
      <c r="J561">
        <v>1</v>
      </c>
      <c r="K561">
        <v>5902</v>
      </c>
      <c r="L561">
        <v>0</v>
      </c>
      <c r="M561">
        <v>5902</v>
      </c>
      <c r="N561">
        <v>0</v>
      </c>
      <c r="O561">
        <v>5902</v>
      </c>
    </row>
    <row r="562" spans="1:15" x14ac:dyDescent="0.3">
      <c r="A562" t="s">
        <v>574</v>
      </c>
      <c r="B562" s="1">
        <v>45215</v>
      </c>
      <c r="C562" t="s">
        <v>2574</v>
      </c>
      <c r="D562" t="s">
        <v>4000</v>
      </c>
      <c r="E562">
        <v>27</v>
      </c>
      <c r="F562" t="str">
        <f t="shared" si="8"/>
        <v>26-35</v>
      </c>
      <c r="G562" t="s">
        <v>4004</v>
      </c>
      <c r="H562" t="s">
        <v>4010</v>
      </c>
      <c r="I562" t="s">
        <v>4013</v>
      </c>
      <c r="J562">
        <v>7</v>
      </c>
      <c r="K562">
        <v>4112</v>
      </c>
      <c r="L562">
        <v>5</v>
      </c>
      <c r="M562">
        <v>28784</v>
      </c>
      <c r="N562">
        <v>1439.2</v>
      </c>
      <c r="O562">
        <v>27344.799999999999</v>
      </c>
    </row>
    <row r="563" spans="1:15" x14ac:dyDescent="0.3">
      <c r="A563" t="s">
        <v>575</v>
      </c>
      <c r="B563" s="1">
        <v>45170</v>
      </c>
      <c r="C563" t="s">
        <v>2575</v>
      </c>
      <c r="D563" t="s">
        <v>4000</v>
      </c>
      <c r="E563">
        <v>47</v>
      </c>
      <c r="F563" t="str">
        <f t="shared" si="8"/>
        <v>46+</v>
      </c>
      <c r="G563" t="s">
        <v>4004</v>
      </c>
      <c r="H563" t="s">
        <v>4012</v>
      </c>
      <c r="I563" t="s">
        <v>4016</v>
      </c>
      <c r="J563">
        <v>6</v>
      </c>
      <c r="K563">
        <v>7365</v>
      </c>
      <c r="L563">
        <v>10</v>
      </c>
      <c r="M563">
        <v>44190</v>
      </c>
      <c r="N563">
        <v>4419</v>
      </c>
      <c r="O563">
        <v>39771</v>
      </c>
    </row>
    <row r="564" spans="1:15" x14ac:dyDescent="0.3">
      <c r="A564" t="s">
        <v>576</v>
      </c>
      <c r="B564" s="1">
        <v>44678</v>
      </c>
      <c r="C564" t="s">
        <v>2576</v>
      </c>
      <c r="D564" t="s">
        <v>3999</v>
      </c>
      <c r="E564">
        <v>29</v>
      </c>
      <c r="F564" t="str">
        <f t="shared" si="8"/>
        <v>26-35</v>
      </c>
      <c r="G564" t="s">
        <v>4006</v>
      </c>
      <c r="H564" t="s">
        <v>4012</v>
      </c>
      <c r="I564" t="s">
        <v>4015</v>
      </c>
      <c r="J564">
        <v>1</v>
      </c>
      <c r="K564">
        <v>6923</v>
      </c>
      <c r="L564">
        <v>0</v>
      </c>
      <c r="M564">
        <v>6923</v>
      </c>
      <c r="N564">
        <v>0</v>
      </c>
      <c r="O564">
        <v>6923</v>
      </c>
    </row>
    <row r="565" spans="1:15" x14ac:dyDescent="0.3">
      <c r="A565" t="s">
        <v>577</v>
      </c>
      <c r="B565" s="1">
        <v>45129</v>
      </c>
      <c r="C565" t="s">
        <v>2577</v>
      </c>
      <c r="D565" t="s">
        <v>4000</v>
      </c>
      <c r="E565">
        <v>18</v>
      </c>
      <c r="F565" t="str">
        <f t="shared" si="8"/>
        <v>18-25</v>
      </c>
      <c r="G565" t="s">
        <v>4006</v>
      </c>
      <c r="H565" t="s">
        <v>4008</v>
      </c>
      <c r="I565" t="s">
        <v>4017</v>
      </c>
      <c r="J565">
        <v>3</v>
      </c>
      <c r="K565">
        <v>194</v>
      </c>
      <c r="L565">
        <v>10</v>
      </c>
      <c r="M565">
        <v>582</v>
      </c>
      <c r="N565">
        <v>58.2</v>
      </c>
      <c r="O565">
        <v>523.79999999999995</v>
      </c>
    </row>
    <row r="566" spans="1:15" x14ac:dyDescent="0.3">
      <c r="A566" t="s">
        <v>578</v>
      </c>
      <c r="B566" s="1">
        <v>45042</v>
      </c>
      <c r="C566" t="s">
        <v>2578</v>
      </c>
      <c r="D566" t="s">
        <v>3999</v>
      </c>
      <c r="E566">
        <v>19</v>
      </c>
      <c r="F566" t="str">
        <f t="shared" si="8"/>
        <v>18-25</v>
      </c>
      <c r="G566" t="s">
        <v>4005</v>
      </c>
      <c r="H566" t="s">
        <v>4007</v>
      </c>
      <c r="I566" t="s">
        <v>4016</v>
      </c>
      <c r="J566">
        <v>1</v>
      </c>
      <c r="K566">
        <v>7960</v>
      </c>
      <c r="L566">
        <v>0</v>
      </c>
      <c r="M566">
        <v>7960</v>
      </c>
      <c r="N566">
        <v>0</v>
      </c>
      <c r="O566">
        <v>7960</v>
      </c>
    </row>
    <row r="567" spans="1:15" x14ac:dyDescent="0.3">
      <c r="A567" t="s">
        <v>579</v>
      </c>
      <c r="B567" s="1">
        <v>45256</v>
      </c>
      <c r="C567" t="s">
        <v>2579</v>
      </c>
      <c r="D567" t="s">
        <v>4000</v>
      </c>
      <c r="E567">
        <v>34</v>
      </c>
      <c r="F567" t="str">
        <f t="shared" si="8"/>
        <v>26-35</v>
      </c>
      <c r="G567" t="s">
        <v>4005</v>
      </c>
      <c r="H567" t="s">
        <v>4011</v>
      </c>
      <c r="I567" t="s">
        <v>4013</v>
      </c>
      <c r="J567">
        <v>2</v>
      </c>
      <c r="K567">
        <v>1317</v>
      </c>
      <c r="L567">
        <v>0</v>
      </c>
      <c r="M567">
        <v>2634</v>
      </c>
      <c r="N567">
        <v>0</v>
      </c>
      <c r="O567">
        <v>2634</v>
      </c>
    </row>
    <row r="568" spans="1:15" x14ac:dyDescent="0.3">
      <c r="A568" t="s">
        <v>580</v>
      </c>
      <c r="B568" s="1">
        <v>44893</v>
      </c>
      <c r="C568" t="s">
        <v>2340</v>
      </c>
      <c r="D568" t="s">
        <v>4000</v>
      </c>
      <c r="E568">
        <v>26</v>
      </c>
      <c r="F568" t="str">
        <f t="shared" si="8"/>
        <v>26-35</v>
      </c>
      <c r="G568" t="s">
        <v>4006</v>
      </c>
      <c r="H568" t="s">
        <v>4007</v>
      </c>
      <c r="I568" t="s">
        <v>4015</v>
      </c>
      <c r="J568">
        <v>6</v>
      </c>
      <c r="K568">
        <v>423</v>
      </c>
      <c r="L568">
        <v>5</v>
      </c>
      <c r="M568">
        <v>2538</v>
      </c>
      <c r="N568">
        <v>126.9</v>
      </c>
      <c r="O568">
        <v>2411.1</v>
      </c>
    </row>
    <row r="569" spans="1:15" x14ac:dyDescent="0.3">
      <c r="A569" t="s">
        <v>581</v>
      </c>
      <c r="B569" s="1">
        <v>44797</v>
      </c>
      <c r="C569" t="s">
        <v>2580</v>
      </c>
      <c r="D569" t="s">
        <v>3999</v>
      </c>
      <c r="E569">
        <v>41</v>
      </c>
      <c r="F569" t="str">
        <f t="shared" si="8"/>
        <v>36-45</v>
      </c>
      <c r="G569" t="s">
        <v>4006</v>
      </c>
      <c r="H569" t="s">
        <v>4008</v>
      </c>
      <c r="I569" t="s">
        <v>4013</v>
      </c>
      <c r="J569">
        <v>3</v>
      </c>
      <c r="K569">
        <v>1076</v>
      </c>
      <c r="L569">
        <v>0</v>
      </c>
      <c r="M569">
        <v>3228</v>
      </c>
      <c r="N569">
        <v>0</v>
      </c>
      <c r="O569">
        <v>3228</v>
      </c>
    </row>
    <row r="570" spans="1:15" x14ac:dyDescent="0.3">
      <c r="A570" t="s">
        <v>582</v>
      </c>
      <c r="B570" s="1">
        <v>44755</v>
      </c>
      <c r="C570" t="s">
        <v>2581</v>
      </c>
      <c r="D570" t="s">
        <v>4000</v>
      </c>
      <c r="E570">
        <v>42</v>
      </c>
      <c r="F570" t="str">
        <f t="shared" si="8"/>
        <v>36-45</v>
      </c>
      <c r="G570" t="s">
        <v>4004</v>
      </c>
      <c r="H570" t="s">
        <v>4011</v>
      </c>
      <c r="I570" t="s">
        <v>4014</v>
      </c>
      <c r="J570">
        <v>4</v>
      </c>
      <c r="K570">
        <v>2836</v>
      </c>
      <c r="L570">
        <v>15</v>
      </c>
      <c r="M570">
        <v>11344</v>
      </c>
      <c r="N570">
        <v>1701.6</v>
      </c>
      <c r="O570">
        <v>9642.4</v>
      </c>
    </row>
    <row r="571" spans="1:15" x14ac:dyDescent="0.3">
      <c r="A571" t="s">
        <v>583</v>
      </c>
      <c r="B571" s="1">
        <v>44914</v>
      </c>
      <c r="C571" t="s">
        <v>2582</v>
      </c>
      <c r="D571" t="s">
        <v>3999</v>
      </c>
      <c r="E571">
        <v>18</v>
      </c>
      <c r="F571" t="str">
        <f t="shared" si="8"/>
        <v>18-25</v>
      </c>
      <c r="G571" t="s">
        <v>4004</v>
      </c>
      <c r="H571" t="s">
        <v>4007</v>
      </c>
      <c r="I571" t="s">
        <v>4014</v>
      </c>
      <c r="J571">
        <v>1</v>
      </c>
      <c r="K571">
        <v>3773</v>
      </c>
      <c r="L571">
        <v>0</v>
      </c>
      <c r="M571">
        <v>3773</v>
      </c>
      <c r="N571">
        <v>0</v>
      </c>
      <c r="O571">
        <v>3773</v>
      </c>
    </row>
    <row r="572" spans="1:15" x14ac:dyDescent="0.3">
      <c r="A572" t="s">
        <v>584</v>
      </c>
      <c r="B572" s="1">
        <v>44952</v>
      </c>
      <c r="C572" t="s">
        <v>2583</v>
      </c>
      <c r="D572" t="s">
        <v>4000</v>
      </c>
      <c r="E572">
        <v>61</v>
      </c>
      <c r="F572" t="str">
        <f t="shared" si="8"/>
        <v>46+</v>
      </c>
      <c r="G572" t="s">
        <v>4001</v>
      </c>
      <c r="H572" t="s">
        <v>4009</v>
      </c>
      <c r="I572" t="s">
        <v>4015</v>
      </c>
      <c r="J572">
        <v>1</v>
      </c>
      <c r="K572">
        <v>1086</v>
      </c>
      <c r="L572">
        <v>10</v>
      </c>
      <c r="M572">
        <v>1086</v>
      </c>
      <c r="N572">
        <v>108.6</v>
      </c>
      <c r="O572">
        <v>977.4</v>
      </c>
    </row>
    <row r="573" spans="1:15" x14ac:dyDescent="0.3">
      <c r="A573" t="s">
        <v>585</v>
      </c>
      <c r="B573" s="1">
        <v>44866</v>
      </c>
      <c r="C573" t="s">
        <v>2584</v>
      </c>
      <c r="D573" t="s">
        <v>3999</v>
      </c>
      <c r="E573">
        <v>62</v>
      </c>
      <c r="F573" t="str">
        <f t="shared" si="8"/>
        <v>46+</v>
      </c>
      <c r="G573" t="s">
        <v>4002</v>
      </c>
      <c r="H573" t="s">
        <v>4011</v>
      </c>
      <c r="I573" t="s">
        <v>4013</v>
      </c>
      <c r="J573">
        <v>4</v>
      </c>
      <c r="K573">
        <v>6878</v>
      </c>
      <c r="L573">
        <v>0</v>
      </c>
      <c r="M573">
        <v>27512</v>
      </c>
      <c r="N573">
        <v>0</v>
      </c>
      <c r="O573">
        <v>27512</v>
      </c>
    </row>
    <row r="574" spans="1:15" x14ac:dyDescent="0.3">
      <c r="A574" t="s">
        <v>586</v>
      </c>
      <c r="B574" s="1">
        <v>44949</v>
      </c>
      <c r="C574" t="s">
        <v>2585</v>
      </c>
      <c r="D574" t="s">
        <v>3999</v>
      </c>
      <c r="E574">
        <v>22</v>
      </c>
      <c r="F574" t="str">
        <f t="shared" si="8"/>
        <v>18-25</v>
      </c>
      <c r="G574" t="s">
        <v>4003</v>
      </c>
      <c r="H574" t="s">
        <v>4008</v>
      </c>
      <c r="I574" t="s">
        <v>4017</v>
      </c>
      <c r="J574">
        <v>6</v>
      </c>
      <c r="K574">
        <v>1017</v>
      </c>
      <c r="L574">
        <v>5</v>
      </c>
      <c r="M574">
        <v>6102</v>
      </c>
      <c r="N574">
        <v>305.10000000000002</v>
      </c>
      <c r="O574">
        <v>5796.9</v>
      </c>
    </row>
    <row r="575" spans="1:15" x14ac:dyDescent="0.3">
      <c r="A575" t="s">
        <v>587</v>
      </c>
      <c r="B575" s="1">
        <v>45129</v>
      </c>
      <c r="C575" t="s">
        <v>2586</v>
      </c>
      <c r="D575" t="s">
        <v>4000</v>
      </c>
      <c r="E575">
        <v>19</v>
      </c>
      <c r="F575" t="str">
        <f t="shared" si="8"/>
        <v>18-25</v>
      </c>
      <c r="G575" t="s">
        <v>4004</v>
      </c>
      <c r="H575" t="s">
        <v>4007</v>
      </c>
      <c r="I575" t="s">
        <v>4013</v>
      </c>
      <c r="J575">
        <v>2</v>
      </c>
      <c r="K575">
        <v>1668</v>
      </c>
      <c r="L575">
        <v>0</v>
      </c>
      <c r="M575">
        <v>3336</v>
      </c>
      <c r="N575">
        <v>0</v>
      </c>
      <c r="O575">
        <v>3336</v>
      </c>
    </row>
    <row r="576" spans="1:15" x14ac:dyDescent="0.3">
      <c r="A576" t="s">
        <v>588</v>
      </c>
      <c r="B576" s="1">
        <v>44781</v>
      </c>
      <c r="C576" t="s">
        <v>2587</v>
      </c>
      <c r="D576" t="s">
        <v>3999</v>
      </c>
      <c r="E576">
        <v>43</v>
      </c>
      <c r="F576" t="str">
        <f t="shared" si="8"/>
        <v>36-45</v>
      </c>
      <c r="G576" t="s">
        <v>4006</v>
      </c>
      <c r="H576" t="s">
        <v>4007</v>
      </c>
      <c r="I576" t="s">
        <v>4014</v>
      </c>
      <c r="J576">
        <v>3</v>
      </c>
      <c r="K576">
        <v>1563</v>
      </c>
      <c r="L576">
        <v>0</v>
      </c>
      <c r="M576">
        <v>4689</v>
      </c>
      <c r="N576">
        <v>0</v>
      </c>
      <c r="O576">
        <v>4689</v>
      </c>
    </row>
    <row r="577" spans="1:15" x14ac:dyDescent="0.3">
      <c r="A577" t="s">
        <v>589</v>
      </c>
      <c r="B577" s="1">
        <v>45178</v>
      </c>
      <c r="C577" t="s">
        <v>2588</v>
      </c>
      <c r="D577" t="s">
        <v>3999</v>
      </c>
      <c r="E577">
        <v>53</v>
      </c>
      <c r="F577" t="str">
        <f t="shared" si="8"/>
        <v>46+</v>
      </c>
      <c r="G577" t="s">
        <v>4005</v>
      </c>
      <c r="H577" t="s">
        <v>4007</v>
      </c>
      <c r="I577" t="s">
        <v>4016</v>
      </c>
      <c r="J577">
        <v>1</v>
      </c>
      <c r="K577">
        <v>3529</v>
      </c>
      <c r="L577">
        <v>0</v>
      </c>
      <c r="M577">
        <v>3529</v>
      </c>
      <c r="N577">
        <v>0</v>
      </c>
      <c r="O577">
        <v>3529</v>
      </c>
    </row>
    <row r="578" spans="1:15" x14ac:dyDescent="0.3">
      <c r="A578" t="s">
        <v>590</v>
      </c>
      <c r="B578" s="1">
        <v>44848</v>
      </c>
      <c r="C578" t="s">
        <v>2589</v>
      </c>
      <c r="D578" t="s">
        <v>4000</v>
      </c>
      <c r="E578">
        <v>27</v>
      </c>
      <c r="F578" t="str">
        <f t="shared" ref="F578:F641" si="9">IF(E578&lt;=25,"18-25",IF(E578&lt;=35,"26-35",IF(E578&lt;=45,"36-45","46+")))</f>
        <v>26-35</v>
      </c>
      <c r="G578" t="s">
        <v>4003</v>
      </c>
      <c r="H578" t="s">
        <v>4011</v>
      </c>
      <c r="I578" t="s">
        <v>4015</v>
      </c>
      <c r="J578">
        <v>4</v>
      </c>
      <c r="K578">
        <v>309</v>
      </c>
      <c r="L578">
        <v>10</v>
      </c>
      <c r="M578">
        <v>1236</v>
      </c>
      <c r="N578">
        <v>123.6</v>
      </c>
      <c r="O578">
        <v>1112.4000000000001</v>
      </c>
    </row>
    <row r="579" spans="1:15" x14ac:dyDescent="0.3">
      <c r="A579" t="s">
        <v>591</v>
      </c>
      <c r="B579" s="1">
        <v>44864</v>
      </c>
      <c r="C579" t="s">
        <v>2590</v>
      </c>
      <c r="D579" t="s">
        <v>4000</v>
      </c>
      <c r="E579">
        <v>59</v>
      </c>
      <c r="F579" t="str">
        <f t="shared" si="9"/>
        <v>46+</v>
      </c>
      <c r="G579" t="s">
        <v>4005</v>
      </c>
      <c r="H579" t="s">
        <v>4009</v>
      </c>
      <c r="I579" t="s">
        <v>4016</v>
      </c>
      <c r="J579">
        <v>1</v>
      </c>
      <c r="K579">
        <v>717</v>
      </c>
      <c r="L579">
        <v>10</v>
      </c>
      <c r="M579">
        <v>717</v>
      </c>
      <c r="N579">
        <v>71.7</v>
      </c>
      <c r="O579">
        <v>645.29999999999995</v>
      </c>
    </row>
    <row r="580" spans="1:15" x14ac:dyDescent="0.3">
      <c r="A580" t="s">
        <v>592</v>
      </c>
      <c r="B580" s="1">
        <v>44617</v>
      </c>
      <c r="C580" t="s">
        <v>2591</v>
      </c>
      <c r="D580" t="s">
        <v>4000</v>
      </c>
      <c r="E580">
        <v>22</v>
      </c>
      <c r="F580" t="str">
        <f t="shared" si="9"/>
        <v>18-25</v>
      </c>
      <c r="G580" t="s">
        <v>4003</v>
      </c>
      <c r="H580" t="s">
        <v>4008</v>
      </c>
      <c r="I580" t="s">
        <v>4013</v>
      </c>
      <c r="J580">
        <v>4</v>
      </c>
      <c r="K580">
        <v>434</v>
      </c>
      <c r="L580">
        <v>10</v>
      </c>
      <c r="M580">
        <v>1736</v>
      </c>
      <c r="N580">
        <v>173.6</v>
      </c>
      <c r="O580">
        <v>1562.4</v>
      </c>
    </row>
    <row r="581" spans="1:15" x14ac:dyDescent="0.3">
      <c r="A581" t="s">
        <v>593</v>
      </c>
      <c r="B581" s="1">
        <v>45115</v>
      </c>
      <c r="C581" t="s">
        <v>2592</v>
      </c>
      <c r="D581" t="s">
        <v>4000</v>
      </c>
      <c r="E581">
        <v>24</v>
      </c>
      <c r="F581" t="str">
        <f t="shared" si="9"/>
        <v>18-25</v>
      </c>
      <c r="G581" t="s">
        <v>4004</v>
      </c>
      <c r="H581" t="s">
        <v>4007</v>
      </c>
      <c r="I581" t="s">
        <v>4015</v>
      </c>
      <c r="J581">
        <v>5</v>
      </c>
      <c r="K581">
        <v>505</v>
      </c>
      <c r="L581">
        <v>15</v>
      </c>
      <c r="M581">
        <v>2525</v>
      </c>
      <c r="N581">
        <v>378.75</v>
      </c>
      <c r="O581">
        <v>2146.25</v>
      </c>
    </row>
    <row r="582" spans="1:15" x14ac:dyDescent="0.3">
      <c r="A582" t="s">
        <v>594</v>
      </c>
      <c r="B582" s="1">
        <v>45061</v>
      </c>
      <c r="C582" t="s">
        <v>2593</v>
      </c>
      <c r="D582" t="s">
        <v>4000</v>
      </c>
      <c r="E582">
        <v>64</v>
      </c>
      <c r="F582" t="str">
        <f t="shared" si="9"/>
        <v>46+</v>
      </c>
      <c r="G582" t="s">
        <v>4002</v>
      </c>
      <c r="H582" t="s">
        <v>4012</v>
      </c>
      <c r="I582" t="s">
        <v>4013</v>
      </c>
      <c r="J582">
        <v>3</v>
      </c>
      <c r="K582">
        <v>480</v>
      </c>
      <c r="L582">
        <v>0</v>
      </c>
      <c r="M582">
        <v>1440</v>
      </c>
      <c r="N582">
        <v>0</v>
      </c>
      <c r="O582">
        <v>1440</v>
      </c>
    </row>
    <row r="583" spans="1:15" x14ac:dyDescent="0.3">
      <c r="A583" t="s">
        <v>595</v>
      </c>
      <c r="B583" s="1">
        <v>44653</v>
      </c>
      <c r="C583" t="s">
        <v>2594</v>
      </c>
      <c r="D583" t="s">
        <v>4000</v>
      </c>
      <c r="E583">
        <v>60</v>
      </c>
      <c r="F583" t="str">
        <f t="shared" si="9"/>
        <v>46+</v>
      </c>
      <c r="G583" t="s">
        <v>4006</v>
      </c>
      <c r="H583" t="s">
        <v>4010</v>
      </c>
      <c r="I583" t="s">
        <v>4015</v>
      </c>
      <c r="J583">
        <v>7</v>
      </c>
      <c r="K583">
        <v>3220</v>
      </c>
      <c r="L583">
        <v>5</v>
      </c>
      <c r="M583">
        <v>22540</v>
      </c>
      <c r="N583">
        <v>1127</v>
      </c>
      <c r="O583">
        <v>21413</v>
      </c>
    </row>
    <row r="584" spans="1:15" x14ac:dyDescent="0.3">
      <c r="A584" t="s">
        <v>596</v>
      </c>
      <c r="B584" s="1">
        <v>45291</v>
      </c>
      <c r="C584" t="s">
        <v>2595</v>
      </c>
      <c r="D584" t="s">
        <v>4000</v>
      </c>
      <c r="E584">
        <v>26</v>
      </c>
      <c r="F584" t="str">
        <f t="shared" si="9"/>
        <v>26-35</v>
      </c>
      <c r="G584" t="s">
        <v>4001</v>
      </c>
      <c r="H584" t="s">
        <v>4011</v>
      </c>
      <c r="I584" t="s">
        <v>4013</v>
      </c>
      <c r="J584">
        <v>5</v>
      </c>
      <c r="K584">
        <v>4410</v>
      </c>
      <c r="L584">
        <v>10</v>
      </c>
      <c r="M584">
        <v>22050</v>
      </c>
      <c r="N584">
        <v>2205</v>
      </c>
      <c r="O584">
        <v>19845</v>
      </c>
    </row>
    <row r="585" spans="1:15" x14ac:dyDescent="0.3">
      <c r="A585" t="s">
        <v>597</v>
      </c>
      <c r="B585" s="1">
        <v>45223</v>
      </c>
      <c r="C585" t="s">
        <v>2596</v>
      </c>
      <c r="D585" t="s">
        <v>4000</v>
      </c>
      <c r="E585">
        <v>22</v>
      </c>
      <c r="F585" t="str">
        <f t="shared" si="9"/>
        <v>18-25</v>
      </c>
      <c r="G585" t="s">
        <v>4002</v>
      </c>
      <c r="H585" t="s">
        <v>4007</v>
      </c>
      <c r="I585" t="s">
        <v>4016</v>
      </c>
      <c r="J585">
        <v>3</v>
      </c>
      <c r="K585">
        <v>475</v>
      </c>
      <c r="L585">
        <v>15</v>
      </c>
      <c r="M585">
        <v>1425</v>
      </c>
      <c r="N585">
        <v>213.75</v>
      </c>
      <c r="O585">
        <v>1211.25</v>
      </c>
    </row>
    <row r="586" spans="1:15" x14ac:dyDescent="0.3">
      <c r="A586" t="s">
        <v>598</v>
      </c>
      <c r="B586" s="1">
        <v>44798</v>
      </c>
      <c r="C586" t="s">
        <v>2597</v>
      </c>
      <c r="D586" t="s">
        <v>4000</v>
      </c>
      <c r="E586">
        <v>41</v>
      </c>
      <c r="F586" t="str">
        <f t="shared" si="9"/>
        <v>36-45</v>
      </c>
      <c r="G586" t="s">
        <v>4002</v>
      </c>
      <c r="H586" t="s">
        <v>4008</v>
      </c>
      <c r="I586" t="s">
        <v>4016</v>
      </c>
      <c r="J586">
        <v>3</v>
      </c>
      <c r="K586">
        <v>676</v>
      </c>
      <c r="L586">
        <v>0</v>
      </c>
      <c r="M586">
        <v>2028</v>
      </c>
      <c r="N586">
        <v>0</v>
      </c>
      <c r="O586">
        <v>2028</v>
      </c>
    </row>
    <row r="587" spans="1:15" x14ac:dyDescent="0.3">
      <c r="A587" t="s">
        <v>599</v>
      </c>
      <c r="B587" s="1">
        <v>45276</v>
      </c>
      <c r="C587" t="s">
        <v>2598</v>
      </c>
      <c r="D587" t="s">
        <v>3999</v>
      </c>
      <c r="E587">
        <v>35</v>
      </c>
      <c r="F587" t="str">
        <f t="shared" si="9"/>
        <v>26-35</v>
      </c>
      <c r="G587" t="s">
        <v>4005</v>
      </c>
      <c r="H587" t="s">
        <v>4007</v>
      </c>
      <c r="I587" t="s">
        <v>4013</v>
      </c>
      <c r="J587">
        <v>2</v>
      </c>
      <c r="K587">
        <v>5442</v>
      </c>
      <c r="L587">
        <v>15</v>
      </c>
      <c r="M587">
        <v>10884</v>
      </c>
      <c r="N587">
        <v>1632.6</v>
      </c>
      <c r="O587">
        <v>9251.4</v>
      </c>
    </row>
    <row r="588" spans="1:15" x14ac:dyDescent="0.3">
      <c r="A588" t="s">
        <v>600</v>
      </c>
      <c r="B588" s="1">
        <v>45059</v>
      </c>
      <c r="C588" t="s">
        <v>2599</v>
      </c>
      <c r="D588" t="s">
        <v>4000</v>
      </c>
      <c r="E588">
        <v>21</v>
      </c>
      <c r="F588" t="str">
        <f t="shared" si="9"/>
        <v>18-25</v>
      </c>
      <c r="G588" t="s">
        <v>4003</v>
      </c>
      <c r="H588" t="s">
        <v>4007</v>
      </c>
      <c r="I588" t="s">
        <v>4016</v>
      </c>
      <c r="J588">
        <v>5</v>
      </c>
      <c r="K588">
        <v>1282</v>
      </c>
      <c r="L588">
        <v>0</v>
      </c>
      <c r="M588">
        <v>6410</v>
      </c>
      <c r="N588">
        <v>0</v>
      </c>
      <c r="O588">
        <v>6410</v>
      </c>
    </row>
    <row r="589" spans="1:15" x14ac:dyDescent="0.3">
      <c r="A589" t="s">
        <v>601</v>
      </c>
      <c r="B589" s="1">
        <v>44915</v>
      </c>
      <c r="C589" t="s">
        <v>2600</v>
      </c>
      <c r="D589" t="s">
        <v>3999</v>
      </c>
      <c r="E589">
        <v>29</v>
      </c>
      <c r="F589" t="str">
        <f t="shared" si="9"/>
        <v>26-35</v>
      </c>
      <c r="G589" t="s">
        <v>4005</v>
      </c>
      <c r="H589" t="s">
        <v>4007</v>
      </c>
      <c r="I589" t="s">
        <v>4015</v>
      </c>
      <c r="J589">
        <v>4</v>
      </c>
      <c r="K589">
        <v>3759</v>
      </c>
      <c r="L589">
        <v>0</v>
      </c>
      <c r="M589">
        <v>15036</v>
      </c>
      <c r="N589">
        <v>0</v>
      </c>
      <c r="O589">
        <v>15036</v>
      </c>
    </row>
    <row r="590" spans="1:15" x14ac:dyDescent="0.3">
      <c r="A590" t="s">
        <v>602</v>
      </c>
      <c r="B590" s="1">
        <v>44599</v>
      </c>
      <c r="C590" t="s">
        <v>2601</v>
      </c>
      <c r="D590" t="s">
        <v>4000</v>
      </c>
      <c r="E590">
        <v>59</v>
      </c>
      <c r="F590" t="str">
        <f t="shared" si="9"/>
        <v>46+</v>
      </c>
      <c r="G590" t="s">
        <v>4006</v>
      </c>
      <c r="H590" t="s">
        <v>4007</v>
      </c>
      <c r="I590" t="s">
        <v>4016</v>
      </c>
      <c r="J590">
        <v>1</v>
      </c>
      <c r="K590">
        <v>914</v>
      </c>
      <c r="L590">
        <v>0</v>
      </c>
      <c r="M590">
        <v>914</v>
      </c>
      <c r="N590">
        <v>0</v>
      </c>
      <c r="O590">
        <v>914</v>
      </c>
    </row>
    <row r="591" spans="1:15" x14ac:dyDescent="0.3">
      <c r="A591" t="s">
        <v>603</v>
      </c>
      <c r="B591" s="1">
        <v>45251</v>
      </c>
      <c r="C591" t="s">
        <v>2602</v>
      </c>
      <c r="D591" t="s">
        <v>3999</v>
      </c>
      <c r="E591">
        <v>24</v>
      </c>
      <c r="F591" t="str">
        <f t="shared" si="9"/>
        <v>18-25</v>
      </c>
      <c r="G591" t="s">
        <v>4003</v>
      </c>
      <c r="H591" t="s">
        <v>4011</v>
      </c>
      <c r="I591" t="s">
        <v>4016</v>
      </c>
      <c r="J591">
        <v>7</v>
      </c>
      <c r="K591">
        <v>2538</v>
      </c>
      <c r="L591">
        <v>20</v>
      </c>
      <c r="M591">
        <v>17766</v>
      </c>
      <c r="N591">
        <v>3553.2</v>
      </c>
      <c r="O591">
        <v>14212.8</v>
      </c>
    </row>
    <row r="592" spans="1:15" x14ac:dyDescent="0.3">
      <c r="A592" t="s">
        <v>604</v>
      </c>
      <c r="B592" s="1">
        <v>45284</v>
      </c>
      <c r="C592" t="s">
        <v>2603</v>
      </c>
      <c r="D592" t="s">
        <v>3999</v>
      </c>
      <c r="E592">
        <v>36</v>
      </c>
      <c r="F592" t="str">
        <f t="shared" si="9"/>
        <v>36-45</v>
      </c>
      <c r="G592" t="s">
        <v>4006</v>
      </c>
      <c r="H592" t="s">
        <v>4009</v>
      </c>
      <c r="I592" t="s">
        <v>4016</v>
      </c>
      <c r="J592">
        <v>1</v>
      </c>
      <c r="K592">
        <v>2243</v>
      </c>
      <c r="L592">
        <v>0</v>
      </c>
      <c r="M592">
        <v>2243</v>
      </c>
      <c r="N592">
        <v>0</v>
      </c>
      <c r="O592">
        <v>2243</v>
      </c>
    </row>
    <row r="593" spans="1:15" x14ac:dyDescent="0.3">
      <c r="A593" t="s">
        <v>605</v>
      </c>
      <c r="B593" s="1">
        <v>44863</v>
      </c>
      <c r="C593" t="s">
        <v>2604</v>
      </c>
      <c r="D593" t="s">
        <v>3999</v>
      </c>
      <c r="E593">
        <v>21</v>
      </c>
      <c r="F593" t="str">
        <f t="shared" si="9"/>
        <v>18-25</v>
      </c>
      <c r="G593" t="s">
        <v>4004</v>
      </c>
      <c r="H593" t="s">
        <v>4010</v>
      </c>
      <c r="I593" t="s">
        <v>4014</v>
      </c>
      <c r="J593">
        <v>6</v>
      </c>
      <c r="K593">
        <v>1297</v>
      </c>
      <c r="L593">
        <v>10</v>
      </c>
      <c r="M593">
        <v>7782</v>
      </c>
      <c r="N593">
        <v>778.2</v>
      </c>
      <c r="O593">
        <v>7003.8</v>
      </c>
    </row>
    <row r="594" spans="1:15" x14ac:dyDescent="0.3">
      <c r="A594" t="s">
        <v>606</v>
      </c>
      <c r="B594" s="1">
        <v>44873</v>
      </c>
      <c r="C594" t="s">
        <v>2605</v>
      </c>
      <c r="D594" t="s">
        <v>4000</v>
      </c>
      <c r="E594">
        <v>44</v>
      </c>
      <c r="F594" t="str">
        <f t="shared" si="9"/>
        <v>36-45</v>
      </c>
      <c r="G594" t="s">
        <v>4005</v>
      </c>
      <c r="H594" t="s">
        <v>4009</v>
      </c>
      <c r="I594" t="s">
        <v>4017</v>
      </c>
      <c r="J594">
        <v>2</v>
      </c>
      <c r="K594">
        <v>5801</v>
      </c>
      <c r="L594">
        <v>0</v>
      </c>
      <c r="M594">
        <v>11602</v>
      </c>
      <c r="N594">
        <v>0</v>
      </c>
      <c r="O594">
        <v>11602</v>
      </c>
    </row>
    <row r="595" spans="1:15" x14ac:dyDescent="0.3">
      <c r="A595" t="s">
        <v>607</v>
      </c>
      <c r="B595" s="1">
        <v>45056</v>
      </c>
      <c r="C595" t="s">
        <v>2606</v>
      </c>
      <c r="D595" t="s">
        <v>3999</v>
      </c>
      <c r="E595">
        <v>59</v>
      </c>
      <c r="F595" t="str">
        <f t="shared" si="9"/>
        <v>46+</v>
      </c>
      <c r="G595" t="s">
        <v>4003</v>
      </c>
      <c r="H595" t="s">
        <v>4007</v>
      </c>
      <c r="I595" t="s">
        <v>4017</v>
      </c>
      <c r="J595">
        <v>2</v>
      </c>
      <c r="K595">
        <v>5281</v>
      </c>
      <c r="L595">
        <v>15</v>
      </c>
      <c r="M595">
        <v>10562</v>
      </c>
      <c r="N595">
        <v>1584.3</v>
      </c>
      <c r="O595">
        <v>8977.7000000000007</v>
      </c>
    </row>
    <row r="596" spans="1:15" x14ac:dyDescent="0.3">
      <c r="A596" t="s">
        <v>608</v>
      </c>
      <c r="B596" s="1">
        <v>44788</v>
      </c>
      <c r="C596" t="s">
        <v>2607</v>
      </c>
      <c r="D596" t="s">
        <v>4000</v>
      </c>
      <c r="E596">
        <v>23</v>
      </c>
      <c r="F596" t="str">
        <f t="shared" si="9"/>
        <v>18-25</v>
      </c>
      <c r="G596" t="s">
        <v>4003</v>
      </c>
      <c r="H596" t="s">
        <v>4009</v>
      </c>
      <c r="I596" t="s">
        <v>4016</v>
      </c>
      <c r="J596">
        <v>1</v>
      </c>
      <c r="K596">
        <v>1750</v>
      </c>
      <c r="L596">
        <v>20</v>
      </c>
      <c r="M596">
        <v>1750</v>
      </c>
      <c r="N596">
        <v>350</v>
      </c>
      <c r="O596">
        <v>1400</v>
      </c>
    </row>
    <row r="597" spans="1:15" x14ac:dyDescent="0.3">
      <c r="A597" t="s">
        <v>609</v>
      </c>
      <c r="B597" s="1">
        <v>45151</v>
      </c>
      <c r="C597" t="s">
        <v>2608</v>
      </c>
      <c r="D597" t="s">
        <v>4000</v>
      </c>
      <c r="E597">
        <v>49</v>
      </c>
      <c r="F597" t="str">
        <f t="shared" si="9"/>
        <v>46+</v>
      </c>
      <c r="G597" t="s">
        <v>4003</v>
      </c>
      <c r="H597" t="s">
        <v>4009</v>
      </c>
      <c r="I597" t="s">
        <v>4014</v>
      </c>
      <c r="J597">
        <v>1</v>
      </c>
      <c r="K597">
        <v>4785</v>
      </c>
      <c r="L597">
        <v>0</v>
      </c>
      <c r="M597">
        <v>4785</v>
      </c>
      <c r="N597">
        <v>0</v>
      </c>
      <c r="O597">
        <v>4785</v>
      </c>
    </row>
    <row r="598" spans="1:15" x14ac:dyDescent="0.3">
      <c r="A598" t="s">
        <v>610</v>
      </c>
      <c r="B598" s="1">
        <v>44624</v>
      </c>
      <c r="C598" t="s">
        <v>2609</v>
      </c>
      <c r="D598" t="s">
        <v>4000</v>
      </c>
      <c r="E598">
        <v>51</v>
      </c>
      <c r="F598" t="str">
        <f t="shared" si="9"/>
        <v>46+</v>
      </c>
      <c r="G598" t="s">
        <v>4003</v>
      </c>
      <c r="H598" t="s">
        <v>4012</v>
      </c>
      <c r="I598" t="s">
        <v>4016</v>
      </c>
      <c r="J598">
        <v>1</v>
      </c>
      <c r="K598">
        <v>4009</v>
      </c>
      <c r="L598">
        <v>5</v>
      </c>
      <c r="M598">
        <v>4009</v>
      </c>
      <c r="N598">
        <v>200.45</v>
      </c>
      <c r="O598">
        <v>3808.55</v>
      </c>
    </row>
    <row r="599" spans="1:15" x14ac:dyDescent="0.3">
      <c r="A599" t="s">
        <v>611</v>
      </c>
      <c r="B599" s="1">
        <v>45121</v>
      </c>
      <c r="C599" t="s">
        <v>2610</v>
      </c>
      <c r="D599" t="s">
        <v>3999</v>
      </c>
      <c r="E599">
        <v>44</v>
      </c>
      <c r="F599" t="str">
        <f t="shared" si="9"/>
        <v>36-45</v>
      </c>
      <c r="G599" t="s">
        <v>4004</v>
      </c>
      <c r="H599" t="s">
        <v>4012</v>
      </c>
      <c r="I599" t="s">
        <v>4014</v>
      </c>
      <c r="J599">
        <v>1</v>
      </c>
      <c r="K599">
        <v>2335</v>
      </c>
      <c r="L599">
        <v>0</v>
      </c>
      <c r="M599">
        <v>2335</v>
      </c>
      <c r="N599">
        <v>0</v>
      </c>
      <c r="O599">
        <v>2335</v>
      </c>
    </row>
    <row r="600" spans="1:15" x14ac:dyDescent="0.3">
      <c r="A600" t="s">
        <v>612</v>
      </c>
      <c r="B600" s="1">
        <v>44631</v>
      </c>
      <c r="C600" t="s">
        <v>2611</v>
      </c>
      <c r="D600" t="s">
        <v>4000</v>
      </c>
      <c r="E600">
        <v>19</v>
      </c>
      <c r="F600" t="str">
        <f t="shared" si="9"/>
        <v>18-25</v>
      </c>
      <c r="G600" t="s">
        <v>4001</v>
      </c>
      <c r="H600" t="s">
        <v>4012</v>
      </c>
      <c r="I600" t="s">
        <v>4013</v>
      </c>
      <c r="J600">
        <v>3</v>
      </c>
      <c r="K600">
        <v>3262</v>
      </c>
      <c r="L600">
        <v>5</v>
      </c>
      <c r="M600">
        <v>9786</v>
      </c>
      <c r="N600">
        <v>489.3</v>
      </c>
      <c r="O600">
        <v>9296.7000000000007</v>
      </c>
    </row>
    <row r="601" spans="1:15" x14ac:dyDescent="0.3">
      <c r="A601" t="s">
        <v>613</v>
      </c>
      <c r="B601" s="1">
        <v>44968</v>
      </c>
      <c r="C601" t="s">
        <v>2612</v>
      </c>
      <c r="D601" t="s">
        <v>3999</v>
      </c>
      <c r="E601">
        <v>36</v>
      </c>
      <c r="F601" t="str">
        <f t="shared" si="9"/>
        <v>36-45</v>
      </c>
      <c r="G601" t="s">
        <v>4002</v>
      </c>
      <c r="H601" t="s">
        <v>4007</v>
      </c>
      <c r="I601" t="s">
        <v>4015</v>
      </c>
      <c r="J601">
        <v>6</v>
      </c>
      <c r="K601">
        <v>3965</v>
      </c>
      <c r="L601">
        <v>0</v>
      </c>
      <c r="M601">
        <v>23790</v>
      </c>
      <c r="N601">
        <v>0</v>
      </c>
      <c r="O601">
        <v>23790</v>
      </c>
    </row>
    <row r="602" spans="1:15" x14ac:dyDescent="0.3">
      <c r="A602" t="s">
        <v>614</v>
      </c>
      <c r="B602" s="1">
        <v>45114</v>
      </c>
      <c r="C602" t="s">
        <v>2613</v>
      </c>
      <c r="D602" t="s">
        <v>4000</v>
      </c>
      <c r="E602">
        <v>45</v>
      </c>
      <c r="F602" t="str">
        <f t="shared" si="9"/>
        <v>36-45</v>
      </c>
      <c r="G602" t="s">
        <v>4005</v>
      </c>
      <c r="H602" t="s">
        <v>4008</v>
      </c>
      <c r="I602" t="s">
        <v>4016</v>
      </c>
      <c r="J602">
        <v>2</v>
      </c>
      <c r="K602">
        <v>1731</v>
      </c>
      <c r="L602">
        <v>20</v>
      </c>
      <c r="M602">
        <v>3462</v>
      </c>
      <c r="N602">
        <v>692.4</v>
      </c>
      <c r="O602">
        <v>2769.6</v>
      </c>
    </row>
    <row r="603" spans="1:15" x14ac:dyDescent="0.3">
      <c r="A603" t="s">
        <v>615</v>
      </c>
      <c r="B603" s="1">
        <v>45139</v>
      </c>
      <c r="C603" t="s">
        <v>2614</v>
      </c>
      <c r="D603" t="s">
        <v>3999</v>
      </c>
      <c r="E603">
        <v>51</v>
      </c>
      <c r="F603" t="str">
        <f t="shared" si="9"/>
        <v>46+</v>
      </c>
      <c r="G603" t="s">
        <v>4005</v>
      </c>
      <c r="H603" t="s">
        <v>4008</v>
      </c>
      <c r="I603" t="s">
        <v>4016</v>
      </c>
      <c r="J603">
        <v>2</v>
      </c>
      <c r="K603">
        <v>1227</v>
      </c>
      <c r="L603">
        <v>5</v>
      </c>
      <c r="M603">
        <v>2454</v>
      </c>
      <c r="N603">
        <v>122.7</v>
      </c>
      <c r="O603">
        <v>2331.3000000000002</v>
      </c>
    </row>
    <row r="604" spans="1:15" x14ac:dyDescent="0.3">
      <c r="A604" t="s">
        <v>616</v>
      </c>
      <c r="B604" s="1">
        <v>44594</v>
      </c>
      <c r="C604" t="s">
        <v>2615</v>
      </c>
      <c r="D604" t="s">
        <v>3999</v>
      </c>
      <c r="E604">
        <v>57</v>
      </c>
      <c r="F604" t="str">
        <f t="shared" si="9"/>
        <v>46+</v>
      </c>
      <c r="G604" t="s">
        <v>4003</v>
      </c>
      <c r="H604" t="s">
        <v>4009</v>
      </c>
      <c r="I604" t="s">
        <v>4015</v>
      </c>
      <c r="J604">
        <v>1</v>
      </c>
      <c r="K604">
        <v>1107</v>
      </c>
      <c r="L604">
        <v>0</v>
      </c>
      <c r="M604">
        <v>1107</v>
      </c>
      <c r="N604">
        <v>0</v>
      </c>
      <c r="O604">
        <v>1107</v>
      </c>
    </row>
    <row r="605" spans="1:15" x14ac:dyDescent="0.3">
      <c r="A605" t="s">
        <v>617</v>
      </c>
      <c r="B605" s="1">
        <v>44742</v>
      </c>
      <c r="C605" t="s">
        <v>2616</v>
      </c>
      <c r="D605" t="s">
        <v>3999</v>
      </c>
      <c r="E605">
        <v>35</v>
      </c>
      <c r="F605" t="str">
        <f t="shared" si="9"/>
        <v>26-35</v>
      </c>
      <c r="G605" t="s">
        <v>4004</v>
      </c>
      <c r="H605" t="s">
        <v>4011</v>
      </c>
      <c r="I605" t="s">
        <v>4017</v>
      </c>
      <c r="J605">
        <v>6</v>
      </c>
      <c r="K605">
        <v>7544</v>
      </c>
      <c r="L605">
        <v>5</v>
      </c>
      <c r="M605">
        <v>45264</v>
      </c>
      <c r="N605">
        <v>2263.1999999999998</v>
      </c>
      <c r="O605">
        <v>43000.800000000003</v>
      </c>
    </row>
    <row r="606" spans="1:15" x14ac:dyDescent="0.3">
      <c r="A606" t="s">
        <v>618</v>
      </c>
      <c r="B606" s="1">
        <v>44933</v>
      </c>
      <c r="C606" t="s">
        <v>2617</v>
      </c>
      <c r="D606" t="s">
        <v>4000</v>
      </c>
      <c r="E606">
        <v>60</v>
      </c>
      <c r="F606" t="str">
        <f t="shared" si="9"/>
        <v>46+</v>
      </c>
      <c r="G606" t="s">
        <v>4002</v>
      </c>
      <c r="H606" t="s">
        <v>4007</v>
      </c>
      <c r="I606" t="s">
        <v>4017</v>
      </c>
      <c r="J606">
        <v>1</v>
      </c>
      <c r="K606">
        <v>3982</v>
      </c>
      <c r="L606">
        <v>5</v>
      </c>
      <c r="M606">
        <v>3982</v>
      </c>
      <c r="N606">
        <v>199.1</v>
      </c>
      <c r="O606">
        <v>3782.9</v>
      </c>
    </row>
    <row r="607" spans="1:15" x14ac:dyDescent="0.3">
      <c r="A607" t="s">
        <v>619</v>
      </c>
      <c r="B607" s="1">
        <v>45273</v>
      </c>
      <c r="C607" t="s">
        <v>2618</v>
      </c>
      <c r="D607" t="s">
        <v>4000</v>
      </c>
      <c r="E607">
        <v>53</v>
      </c>
      <c r="F607" t="str">
        <f t="shared" si="9"/>
        <v>46+</v>
      </c>
      <c r="G607" t="s">
        <v>4002</v>
      </c>
      <c r="H607" t="s">
        <v>4012</v>
      </c>
      <c r="I607" t="s">
        <v>4017</v>
      </c>
      <c r="J607">
        <v>6</v>
      </c>
      <c r="K607">
        <v>3240</v>
      </c>
      <c r="L607">
        <v>0</v>
      </c>
      <c r="M607">
        <v>19440</v>
      </c>
      <c r="N607">
        <v>0</v>
      </c>
      <c r="O607">
        <v>19440</v>
      </c>
    </row>
    <row r="608" spans="1:15" x14ac:dyDescent="0.3">
      <c r="A608" t="s">
        <v>620</v>
      </c>
      <c r="B608" s="1">
        <v>44591</v>
      </c>
      <c r="C608" t="s">
        <v>2619</v>
      </c>
      <c r="D608" t="s">
        <v>4000</v>
      </c>
      <c r="E608">
        <v>60</v>
      </c>
      <c r="F608" t="str">
        <f t="shared" si="9"/>
        <v>46+</v>
      </c>
      <c r="G608" t="s">
        <v>4005</v>
      </c>
      <c r="H608" t="s">
        <v>4008</v>
      </c>
      <c r="I608" t="s">
        <v>4013</v>
      </c>
      <c r="J608">
        <v>4</v>
      </c>
      <c r="K608">
        <v>2598</v>
      </c>
      <c r="L608">
        <v>0</v>
      </c>
      <c r="M608">
        <v>10392</v>
      </c>
      <c r="N608">
        <v>0</v>
      </c>
      <c r="O608">
        <v>10392</v>
      </c>
    </row>
    <row r="609" spans="1:15" x14ac:dyDescent="0.3">
      <c r="A609" t="s">
        <v>621</v>
      </c>
      <c r="B609" s="1">
        <v>44638</v>
      </c>
      <c r="C609" t="s">
        <v>2620</v>
      </c>
      <c r="D609" t="s">
        <v>3999</v>
      </c>
      <c r="E609">
        <v>40</v>
      </c>
      <c r="F609" t="str">
        <f t="shared" si="9"/>
        <v>36-45</v>
      </c>
      <c r="G609" t="s">
        <v>4006</v>
      </c>
      <c r="H609" t="s">
        <v>4010</v>
      </c>
      <c r="I609" t="s">
        <v>4017</v>
      </c>
      <c r="J609">
        <v>5</v>
      </c>
      <c r="K609">
        <v>7301</v>
      </c>
      <c r="L609">
        <v>5</v>
      </c>
      <c r="M609">
        <v>36505</v>
      </c>
      <c r="N609">
        <v>1825.25</v>
      </c>
      <c r="O609">
        <v>34679.75</v>
      </c>
    </row>
    <row r="610" spans="1:15" x14ac:dyDescent="0.3">
      <c r="A610" t="s">
        <v>622</v>
      </c>
      <c r="B610" s="1">
        <v>44918</v>
      </c>
      <c r="C610" t="s">
        <v>2621</v>
      </c>
      <c r="D610" t="s">
        <v>4000</v>
      </c>
      <c r="E610">
        <v>49</v>
      </c>
      <c r="F610" t="str">
        <f t="shared" si="9"/>
        <v>46+</v>
      </c>
      <c r="G610" t="s">
        <v>4003</v>
      </c>
      <c r="H610" t="s">
        <v>4007</v>
      </c>
      <c r="I610" t="s">
        <v>4016</v>
      </c>
      <c r="J610">
        <v>1</v>
      </c>
      <c r="K610">
        <v>925</v>
      </c>
      <c r="L610">
        <v>0</v>
      </c>
      <c r="M610">
        <v>925</v>
      </c>
      <c r="N610">
        <v>0</v>
      </c>
      <c r="O610">
        <v>925</v>
      </c>
    </row>
    <row r="611" spans="1:15" x14ac:dyDescent="0.3">
      <c r="A611" t="s">
        <v>623</v>
      </c>
      <c r="B611" s="1">
        <v>44562</v>
      </c>
      <c r="C611" t="s">
        <v>2622</v>
      </c>
      <c r="D611" t="s">
        <v>3999</v>
      </c>
      <c r="E611">
        <v>43</v>
      </c>
      <c r="F611" t="str">
        <f t="shared" si="9"/>
        <v>36-45</v>
      </c>
      <c r="G611" t="s">
        <v>4004</v>
      </c>
      <c r="H611" t="s">
        <v>4009</v>
      </c>
      <c r="I611" t="s">
        <v>4015</v>
      </c>
      <c r="J611">
        <v>4</v>
      </c>
      <c r="K611">
        <v>2042</v>
      </c>
      <c r="L611">
        <v>5</v>
      </c>
      <c r="M611">
        <v>8168</v>
      </c>
      <c r="N611">
        <v>408.4</v>
      </c>
      <c r="O611">
        <v>7759.6</v>
      </c>
    </row>
    <row r="612" spans="1:15" x14ac:dyDescent="0.3">
      <c r="A612" t="s">
        <v>624</v>
      </c>
      <c r="B612" s="1">
        <v>44791</v>
      </c>
      <c r="C612" t="s">
        <v>2623</v>
      </c>
      <c r="D612" t="s">
        <v>4000</v>
      </c>
      <c r="E612">
        <v>35</v>
      </c>
      <c r="F612" t="str">
        <f t="shared" si="9"/>
        <v>26-35</v>
      </c>
      <c r="G612" t="s">
        <v>4001</v>
      </c>
      <c r="H612" t="s">
        <v>4009</v>
      </c>
      <c r="I612" t="s">
        <v>4017</v>
      </c>
      <c r="J612">
        <v>1</v>
      </c>
      <c r="K612">
        <v>2113</v>
      </c>
      <c r="L612">
        <v>0</v>
      </c>
      <c r="M612">
        <v>2113</v>
      </c>
      <c r="N612">
        <v>0</v>
      </c>
      <c r="O612">
        <v>2113</v>
      </c>
    </row>
    <row r="613" spans="1:15" x14ac:dyDescent="0.3">
      <c r="A613" t="s">
        <v>625</v>
      </c>
      <c r="B613" s="1">
        <v>44564</v>
      </c>
      <c r="C613" t="s">
        <v>2624</v>
      </c>
      <c r="D613" t="s">
        <v>3999</v>
      </c>
      <c r="E613">
        <v>41</v>
      </c>
      <c r="F613" t="str">
        <f t="shared" si="9"/>
        <v>36-45</v>
      </c>
      <c r="G613" t="s">
        <v>4005</v>
      </c>
      <c r="H613" t="s">
        <v>4011</v>
      </c>
      <c r="I613" t="s">
        <v>4015</v>
      </c>
      <c r="J613">
        <v>2</v>
      </c>
      <c r="K613">
        <v>7284</v>
      </c>
      <c r="L613">
        <v>0</v>
      </c>
      <c r="M613">
        <v>14568</v>
      </c>
      <c r="N613">
        <v>0</v>
      </c>
      <c r="O613">
        <v>14568</v>
      </c>
    </row>
    <row r="614" spans="1:15" x14ac:dyDescent="0.3">
      <c r="A614" t="s">
        <v>626</v>
      </c>
      <c r="B614" s="1">
        <v>44903</v>
      </c>
      <c r="C614" t="s">
        <v>2625</v>
      </c>
      <c r="D614" t="s">
        <v>4000</v>
      </c>
      <c r="E614">
        <v>22</v>
      </c>
      <c r="F614" t="str">
        <f t="shared" si="9"/>
        <v>18-25</v>
      </c>
      <c r="G614" t="s">
        <v>4002</v>
      </c>
      <c r="H614" t="s">
        <v>4007</v>
      </c>
      <c r="I614" t="s">
        <v>4014</v>
      </c>
      <c r="J614">
        <v>2</v>
      </c>
      <c r="K614">
        <v>4322</v>
      </c>
      <c r="L614">
        <v>15</v>
      </c>
      <c r="M614">
        <v>8644</v>
      </c>
      <c r="N614">
        <v>1296.5999999999999</v>
      </c>
      <c r="O614">
        <v>7347.4</v>
      </c>
    </row>
    <row r="615" spans="1:15" x14ac:dyDescent="0.3">
      <c r="A615" t="s">
        <v>627</v>
      </c>
      <c r="B615" s="1">
        <v>44891</v>
      </c>
      <c r="C615" t="s">
        <v>2626</v>
      </c>
      <c r="D615" t="s">
        <v>4000</v>
      </c>
      <c r="E615">
        <v>25</v>
      </c>
      <c r="F615" t="str">
        <f t="shared" si="9"/>
        <v>18-25</v>
      </c>
      <c r="G615" t="s">
        <v>4006</v>
      </c>
      <c r="H615" t="s">
        <v>4010</v>
      </c>
      <c r="I615" t="s">
        <v>4013</v>
      </c>
      <c r="J615">
        <v>6</v>
      </c>
      <c r="K615">
        <v>5377</v>
      </c>
      <c r="L615">
        <v>0</v>
      </c>
      <c r="M615">
        <v>32262</v>
      </c>
      <c r="N615">
        <v>0</v>
      </c>
      <c r="O615">
        <v>32262</v>
      </c>
    </row>
    <row r="616" spans="1:15" x14ac:dyDescent="0.3">
      <c r="A616" t="s">
        <v>628</v>
      </c>
      <c r="B616" s="1">
        <v>44681</v>
      </c>
      <c r="C616" t="s">
        <v>2627</v>
      </c>
      <c r="D616" t="s">
        <v>4000</v>
      </c>
      <c r="E616">
        <v>57</v>
      </c>
      <c r="F616" t="str">
        <f t="shared" si="9"/>
        <v>46+</v>
      </c>
      <c r="G616" t="s">
        <v>4005</v>
      </c>
      <c r="H616" t="s">
        <v>4007</v>
      </c>
      <c r="I616" t="s">
        <v>4013</v>
      </c>
      <c r="J616">
        <v>6</v>
      </c>
      <c r="K616">
        <v>4546</v>
      </c>
      <c r="L616">
        <v>0</v>
      </c>
      <c r="M616">
        <v>27276</v>
      </c>
      <c r="N616">
        <v>0</v>
      </c>
      <c r="O616">
        <v>27276</v>
      </c>
    </row>
    <row r="617" spans="1:15" x14ac:dyDescent="0.3">
      <c r="A617" t="s">
        <v>629</v>
      </c>
      <c r="B617" s="1">
        <v>44999</v>
      </c>
      <c r="C617" t="s">
        <v>2628</v>
      </c>
      <c r="D617" t="s">
        <v>4000</v>
      </c>
      <c r="E617">
        <v>39</v>
      </c>
      <c r="F617" t="str">
        <f t="shared" si="9"/>
        <v>36-45</v>
      </c>
      <c r="G617" t="s">
        <v>4005</v>
      </c>
      <c r="H617" t="s">
        <v>4011</v>
      </c>
      <c r="I617" t="s">
        <v>4017</v>
      </c>
      <c r="J617">
        <v>1</v>
      </c>
      <c r="K617">
        <v>2460</v>
      </c>
      <c r="L617">
        <v>5</v>
      </c>
      <c r="M617">
        <v>2460</v>
      </c>
      <c r="N617">
        <v>123</v>
      </c>
      <c r="O617">
        <v>2337</v>
      </c>
    </row>
    <row r="618" spans="1:15" x14ac:dyDescent="0.3">
      <c r="A618" t="s">
        <v>630</v>
      </c>
      <c r="B618" s="1">
        <v>44614</v>
      </c>
      <c r="C618" t="s">
        <v>2629</v>
      </c>
      <c r="D618" t="s">
        <v>3999</v>
      </c>
      <c r="E618">
        <v>24</v>
      </c>
      <c r="F618" t="str">
        <f t="shared" si="9"/>
        <v>18-25</v>
      </c>
      <c r="G618" t="s">
        <v>4002</v>
      </c>
      <c r="H618" t="s">
        <v>4009</v>
      </c>
      <c r="I618" t="s">
        <v>4014</v>
      </c>
      <c r="J618">
        <v>2</v>
      </c>
      <c r="K618">
        <v>5013</v>
      </c>
      <c r="L618">
        <v>5</v>
      </c>
      <c r="M618">
        <v>10026</v>
      </c>
      <c r="N618">
        <v>501.3</v>
      </c>
      <c r="O618">
        <v>9524.7000000000007</v>
      </c>
    </row>
    <row r="619" spans="1:15" x14ac:dyDescent="0.3">
      <c r="A619" t="s">
        <v>631</v>
      </c>
      <c r="B619" s="1">
        <v>44698</v>
      </c>
      <c r="C619" t="s">
        <v>2630</v>
      </c>
      <c r="D619" t="s">
        <v>3999</v>
      </c>
      <c r="E619">
        <v>36</v>
      </c>
      <c r="F619" t="str">
        <f t="shared" si="9"/>
        <v>36-45</v>
      </c>
      <c r="G619" t="s">
        <v>4006</v>
      </c>
      <c r="H619" t="s">
        <v>4012</v>
      </c>
      <c r="I619" t="s">
        <v>4016</v>
      </c>
      <c r="J619">
        <v>6</v>
      </c>
      <c r="K619">
        <v>538</v>
      </c>
      <c r="L619">
        <v>10</v>
      </c>
      <c r="M619">
        <v>3228</v>
      </c>
      <c r="N619">
        <v>322.8</v>
      </c>
      <c r="O619">
        <v>2905.2</v>
      </c>
    </row>
    <row r="620" spans="1:15" x14ac:dyDescent="0.3">
      <c r="A620" t="s">
        <v>632</v>
      </c>
      <c r="B620" s="1">
        <v>45193</v>
      </c>
      <c r="C620" t="s">
        <v>2631</v>
      </c>
      <c r="D620" t="s">
        <v>3999</v>
      </c>
      <c r="E620">
        <v>40</v>
      </c>
      <c r="F620" t="str">
        <f t="shared" si="9"/>
        <v>36-45</v>
      </c>
      <c r="G620" t="s">
        <v>4001</v>
      </c>
      <c r="H620" t="s">
        <v>4008</v>
      </c>
      <c r="I620" t="s">
        <v>4015</v>
      </c>
      <c r="J620">
        <v>5</v>
      </c>
      <c r="K620">
        <v>2682</v>
      </c>
      <c r="L620">
        <v>20</v>
      </c>
      <c r="M620">
        <v>13410</v>
      </c>
      <c r="N620">
        <v>2682</v>
      </c>
      <c r="O620">
        <v>10728</v>
      </c>
    </row>
    <row r="621" spans="1:15" x14ac:dyDescent="0.3">
      <c r="A621" t="s">
        <v>633</v>
      </c>
      <c r="B621" s="1">
        <v>44857</v>
      </c>
      <c r="C621" t="s">
        <v>2632</v>
      </c>
      <c r="D621" t="s">
        <v>4000</v>
      </c>
      <c r="E621">
        <v>43</v>
      </c>
      <c r="F621" t="str">
        <f t="shared" si="9"/>
        <v>36-45</v>
      </c>
      <c r="G621" t="s">
        <v>4001</v>
      </c>
      <c r="H621" t="s">
        <v>4011</v>
      </c>
      <c r="I621" t="s">
        <v>4016</v>
      </c>
      <c r="J621">
        <v>5</v>
      </c>
      <c r="K621">
        <v>5878</v>
      </c>
      <c r="L621">
        <v>0</v>
      </c>
      <c r="M621">
        <v>29390</v>
      </c>
      <c r="N621">
        <v>0</v>
      </c>
      <c r="O621">
        <v>29390</v>
      </c>
    </row>
    <row r="622" spans="1:15" x14ac:dyDescent="0.3">
      <c r="A622" t="s">
        <v>634</v>
      </c>
      <c r="B622" s="1">
        <v>44885</v>
      </c>
      <c r="C622" t="s">
        <v>2633</v>
      </c>
      <c r="D622" t="s">
        <v>4000</v>
      </c>
      <c r="E622">
        <v>38</v>
      </c>
      <c r="F622" t="str">
        <f t="shared" si="9"/>
        <v>36-45</v>
      </c>
      <c r="G622" t="s">
        <v>4001</v>
      </c>
      <c r="H622" t="s">
        <v>4011</v>
      </c>
      <c r="I622" t="s">
        <v>4016</v>
      </c>
      <c r="J622">
        <v>7</v>
      </c>
      <c r="K622">
        <v>2531</v>
      </c>
      <c r="L622">
        <v>20</v>
      </c>
      <c r="M622">
        <v>17717</v>
      </c>
      <c r="N622">
        <v>3543.4</v>
      </c>
      <c r="O622">
        <v>14173.6</v>
      </c>
    </row>
    <row r="623" spans="1:15" x14ac:dyDescent="0.3">
      <c r="A623" t="s">
        <v>635</v>
      </c>
      <c r="B623" s="1">
        <v>45057</v>
      </c>
      <c r="C623" t="s">
        <v>2634</v>
      </c>
      <c r="D623" t="s">
        <v>4000</v>
      </c>
      <c r="E623">
        <v>51</v>
      </c>
      <c r="F623" t="str">
        <f t="shared" si="9"/>
        <v>46+</v>
      </c>
      <c r="G623" t="s">
        <v>4001</v>
      </c>
      <c r="H623" t="s">
        <v>4008</v>
      </c>
      <c r="I623" t="s">
        <v>4013</v>
      </c>
      <c r="J623">
        <v>2</v>
      </c>
      <c r="K623">
        <v>1791</v>
      </c>
      <c r="L623">
        <v>15</v>
      </c>
      <c r="M623">
        <v>3582</v>
      </c>
      <c r="N623">
        <v>537.29999999999995</v>
      </c>
      <c r="O623">
        <v>3044.7</v>
      </c>
    </row>
    <row r="624" spans="1:15" x14ac:dyDescent="0.3">
      <c r="A624" t="s">
        <v>636</v>
      </c>
      <c r="B624" s="1">
        <v>45189</v>
      </c>
      <c r="C624" t="s">
        <v>2635</v>
      </c>
      <c r="D624" t="s">
        <v>3999</v>
      </c>
      <c r="E624">
        <v>26</v>
      </c>
      <c r="F624" t="str">
        <f t="shared" si="9"/>
        <v>26-35</v>
      </c>
      <c r="G624" t="s">
        <v>4006</v>
      </c>
      <c r="H624" t="s">
        <v>4010</v>
      </c>
      <c r="I624" t="s">
        <v>4015</v>
      </c>
      <c r="J624">
        <v>4</v>
      </c>
      <c r="K624">
        <v>5460</v>
      </c>
      <c r="L624">
        <v>5</v>
      </c>
      <c r="M624">
        <v>21840</v>
      </c>
      <c r="N624">
        <v>1092</v>
      </c>
      <c r="O624">
        <v>20748</v>
      </c>
    </row>
    <row r="625" spans="1:15" x14ac:dyDescent="0.3">
      <c r="A625" t="s">
        <v>637</v>
      </c>
      <c r="B625" s="1">
        <v>45186</v>
      </c>
      <c r="C625" t="s">
        <v>2636</v>
      </c>
      <c r="D625" t="s">
        <v>4000</v>
      </c>
      <c r="E625">
        <v>19</v>
      </c>
      <c r="F625" t="str">
        <f t="shared" si="9"/>
        <v>18-25</v>
      </c>
      <c r="G625" t="s">
        <v>4005</v>
      </c>
      <c r="H625" t="s">
        <v>4008</v>
      </c>
      <c r="I625" t="s">
        <v>4013</v>
      </c>
      <c r="J625">
        <v>3</v>
      </c>
      <c r="K625">
        <v>2110</v>
      </c>
      <c r="L625">
        <v>5</v>
      </c>
      <c r="M625">
        <v>6330</v>
      </c>
      <c r="N625">
        <v>316.5</v>
      </c>
      <c r="O625">
        <v>6013.5</v>
      </c>
    </row>
    <row r="626" spans="1:15" x14ac:dyDescent="0.3">
      <c r="A626" t="s">
        <v>638</v>
      </c>
      <c r="B626" s="1">
        <v>45144</v>
      </c>
      <c r="C626" t="s">
        <v>2637</v>
      </c>
      <c r="D626" t="s">
        <v>4000</v>
      </c>
      <c r="E626">
        <v>54</v>
      </c>
      <c r="F626" t="str">
        <f t="shared" si="9"/>
        <v>46+</v>
      </c>
      <c r="G626" t="s">
        <v>4002</v>
      </c>
      <c r="H626" t="s">
        <v>4011</v>
      </c>
      <c r="I626" t="s">
        <v>4014</v>
      </c>
      <c r="J626">
        <v>1</v>
      </c>
      <c r="K626">
        <v>5179</v>
      </c>
      <c r="L626">
        <v>0</v>
      </c>
      <c r="M626">
        <v>5179</v>
      </c>
      <c r="N626">
        <v>0</v>
      </c>
      <c r="O626">
        <v>5179</v>
      </c>
    </row>
    <row r="627" spans="1:15" x14ac:dyDescent="0.3">
      <c r="A627" t="s">
        <v>639</v>
      </c>
      <c r="B627" s="1">
        <v>44895</v>
      </c>
      <c r="C627" t="s">
        <v>2638</v>
      </c>
      <c r="D627" t="s">
        <v>4000</v>
      </c>
      <c r="E627">
        <v>43</v>
      </c>
      <c r="F627" t="str">
        <f t="shared" si="9"/>
        <v>36-45</v>
      </c>
      <c r="G627" t="s">
        <v>4002</v>
      </c>
      <c r="H627" t="s">
        <v>4007</v>
      </c>
      <c r="I627" t="s">
        <v>4016</v>
      </c>
      <c r="J627">
        <v>7</v>
      </c>
      <c r="K627">
        <v>1451</v>
      </c>
      <c r="L627">
        <v>0</v>
      </c>
      <c r="M627">
        <v>10157</v>
      </c>
      <c r="N627">
        <v>0</v>
      </c>
      <c r="O627">
        <v>10157</v>
      </c>
    </row>
    <row r="628" spans="1:15" x14ac:dyDescent="0.3">
      <c r="A628" t="s">
        <v>640</v>
      </c>
      <c r="B628" s="1">
        <v>44578</v>
      </c>
      <c r="C628" t="s">
        <v>2639</v>
      </c>
      <c r="D628" t="s">
        <v>3999</v>
      </c>
      <c r="E628">
        <v>35</v>
      </c>
      <c r="F628" t="str">
        <f t="shared" si="9"/>
        <v>26-35</v>
      </c>
      <c r="G628" t="s">
        <v>4003</v>
      </c>
      <c r="H628" t="s">
        <v>4010</v>
      </c>
      <c r="I628" t="s">
        <v>4017</v>
      </c>
      <c r="J628">
        <v>3</v>
      </c>
      <c r="K628">
        <v>1895</v>
      </c>
      <c r="L628">
        <v>10</v>
      </c>
      <c r="M628">
        <v>5685</v>
      </c>
      <c r="N628">
        <v>568.5</v>
      </c>
      <c r="O628">
        <v>5116.5</v>
      </c>
    </row>
    <row r="629" spans="1:15" x14ac:dyDescent="0.3">
      <c r="A629" t="s">
        <v>641</v>
      </c>
      <c r="B629" s="1">
        <v>44564</v>
      </c>
      <c r="C629" t="s">
        <v>2640</v>
      </c>
      <c r="D629" t="s">
        <v>3999</v>
      </c>
      <c r="E629">
        <v>18</v>
      </c>
      <c r="F629" t="str">
        <f t="shared" si="9"/>
        <v>18-25</v>
      </c>
      <c r="G629" t="s">
        <v>4005</v>
      </c>
      <c r="H629" t="s">
        <v>4007</v>
      </c>
      <c r="I629" t="s">
        <v>4017</v>
      </c>
      <c r="J629">
        <v>1</v>
      </c>
      <c r="K629">
        <v>737</v>
      </c>
      <c r="L629">
        <v>0</v>
      </c>
      <c r="M629">
        <v>737</v>
      </c>
      <c r="N629">
        <v>0</v>
      </c>
      <c r="O629">
        <v>737</v>
      </c>
    </row>
    <row r="630" spans="1:15" x14ac:dyDescent="0.3">
      <c r="A630" t="s">
        <v>642</v>
      </c>
      <c r="B630" s="1">
        <v>44921</v>
      </c>
      <c r="C630" t="s">
        <v>2641</v>
      </c>
      <c r="D630" t="s">
        <v>4000</v>
      </c>
      <c r="E630">
        <v>31</v>
      </c>
      <c r="F630" t="str">
        <f t="shared" si="9"/>
        <v>26-35</v>
      </c>
      <c r="G630" t="s">
        <v>4006</v>
      </c>
      <c r="H630" t="s">
        <v>4008</v>
      </c>
      <c r="I630" t="s">
        <v>4017</v>
      </c>
      <c r="J630">
        <v>6</v>
      </c>
      <c r="K630">
        <v>4138</v>
      </c>
      <c r="L630">
        <v>5</v>
      </c>
      <c r="M630">
        <v>24828</v>
      </c>
      <c r="N630">
        <v>1241.4000000000001</v>
      </c>
      <c r="O630">
        <v>23586.6</v>
      </c>
    </row>
    <row r="631" spans="1:15" x14ac:dyDescent="0.3">
      <c r="A631" t="s">
        <v>643</v>
      </c>
      <c r="B631" s="1">
        <v>45206</v>
      </c>
      <c r="C631" t="s">
        <v>2642</v>
      </c>
      <c r="D631" t="s">
        <v>4000</v>
      </c>
      <c r="E631">
        <v>25</v>
      </c>
      <c r="F631" t="str">
        <f t="shared" si="9"/>
        <v>18-25</v>
      </c>
      <c r="G631" t="s">
        <v>4005</v>
      </c>
      <c r="H631" t="s">
        <v>4010</v>
      </c>
      <c r="I631" t="s">
        <v>4015</v>
      </c>
      <c r="J631">
        <v>6</v>
      </c>
      <c r="K631">
        <v>5614</v>
      </c>
      <c r="L631">
        <v>0</v>
      </c>
      <c r="M631">
        <v>33684</v>
      </c>
      <c r="N631">
        <v>0</v>
      </c>
      <c r="O631">
        <v>33684</v>
      </c>
    </row>
    <row r="632" spans="1:15" x14ac:dyDescent="0.3">
      <c r="A632" t="s">
        <v>644</v>
      </c>
      <c r="B632" s="1">
        <v>44591</v>
      </c>
      <c r="C632" t="s">
        <v>2643</v>
      </c>
      <c r="D632" t="s">
        <v>3999</v>
      </c>
      <c r="E632">
        <v>48</v>
      </c>
      <c r="F632" t="str">
        <f t="shared" si="9"/>
        <v>46+</v>
      </c>
      <c r="G632" t="s">
        <v>4005</v>
      </c>
      <c r="H632" t="s">
        <v>4007</v>
      </c>
      <c r="I632" t="s">
        <v>4015</v>
      </c>
      <c r="J632">
        <v>5</v>
      </c>
      <c r="K632">
        <v>3721</v>
      </c>
      <c r="L632">
        <v>15</v>
      </c>
      <c r="M632">
        <v>18605</v>
      </c>
      <c r="N632">
        <v>2790.75</v>
      </c>
      <c r="O632">
        <v>15814.25</v>
      </c>
    </row>
    <row r="633" spans="1:15" x14ac:dyDescent="0.3">
      <c r="A633" t="s">
        <v>645</v>
      </c>
      <c r="B633" s="1">
        <v>44791</v>
      </c>
      <c r="C633" t="s">
        <v>2644</v>
      </c>
      <c r="D633" t="s">
        <v>3999</v>
      </c>
      <c r="E633">
        <v>21</v>
      </c>
      <c r="F633" t="str">
        <f t="shared" si="9"/>
        <v>18-25</v>
      </c>
      <c r="G633" t="s">
        <v>4002</v>
      </c>
      <c r="H633" t="s">
        <v>4008</v>
      </c>
      <c r="I633" t="s">
        <v>4014</v>
      </c>
      <c r="J633">
        <v>1</v>
      </c>
      <c r="K633">
        <v>1518</v>
      </c>
      <c r="L633">
        <v>0</v>
      </c>
      <c r="M633">
        <v>1518</v>
      </c>
      <c r="N633">
        <v>0</v>
      </c>
      <c r="O633">
        <v>1518</v>
      </c>
    </row>
    <row r="634" spans="1:15" x14ac:dyDescent="0.3">
      <c r="A634" t="s">
        <v>646</v>
      </c>
      <c r="B634" s="1">
        <v>44895</v>
      </c>
      <c r="C634" t="s">
        <v>2645</v>
      </c>
      <c r="D634" t="s">
        <v>4000</v>
      </c>
      <c r="E634">
        <v>22</v>
      </c>
      <c r="F634" t="str">
        <f t="shared" si="9"/>
        <v>18-25</v>
      </c>
      <c r="G634" t="s">
        <v>4003</v>
      </c>
      <c r="H634" t="s">
        <v>4011</v>
      </c>
      <c r="I634" t="s">
        <v>4014</v>
      </c>
      <c r="J634">
        <v>1</v>
      </c>
      <c r="K634">
        <v>4988</v>
      </c>
      <c r="L634">
        <v>20</v>
      </c>
      <c r="M634">
        <v>4988</v>
      </c>
      <c r="N634">
        <v>997.6</v>
      </c>
      <c r="O634">
        <v>3990.4</v>
      </c>
    </row>
    <row r="635" spans="1:15" x14ac:dyDescent="0.3">
      <c r="A635" t="s">
        <v>647</v>
      </c>
      <c r="B635" s="1">
        <v>44753</v>
      </c>
      <c r="C635" t="s">
        <v>2646</v>
      </c>
      <c r="D635" t="s">
        <v>3999</v>
      </c>
      <c r="E635">
        <v>49</v>
      </c>
      <c r="F635" t="str">
        <f t="shared" si="9"/>
        <v>46+</v>
      </c>
      <c r="G635" t="s">
        <v>4006</v>
      </c>
      <c r="H635" t="s">
        <v>4012</v>
      </c>
      <c r="I635" t="s">
        <v>4014</v>
      </c>
      <c r="J635">
        <v>4</v>
      </c>
      <c r="K635">
        <v>2766</v>
      </c>
      <c r="L635">
        <v>20</v>
      </c>
      <c r="M635">
        <v>11064</v>
      </c>
      <c r="N635">
        <v>2212.8000000000002</v>
      </c>
      <c r="O635">
        <v>8851.2000000000007</v>
      </c>
    </row>
    <row r="636" spans="1:15" x14ac:dyDescent="0.3">
      <c r="A636" t="s">
        <v>648</v>
      </c>
      <c r="B636" s="1">
        <v>44754</v>
      </c>
      <c r="C636" t="s">
        <v>2647</v>
      </c>
      <c r="D636" t="s">
        <v>4000</v>
      </c>
      <c r="E636">
        <v>18</v>
      </c>
      <c r="F636" t="str">
        <f t="shared" si="9"/>
        <v>18-25</v>
      </c>
      <c r="G636" t="s">
        <v>4005</v>
      </c>
      <c r="H636" t="s">
        <v>4008</v>
      </c>
      <c r="I636" t="s">
        <v>4014</v>
      </c>
      <c r="J636">
        <v>2</v>
      </c>
      <c r="K636">
        <v>3501</v>
      </c>
      <c r="L636">
        <v>0</v>
      </c>
      <c r="M636">
        <v>7002</v>
      </c>
      <c r="N636">
        <v>0</v>
      </c>
      <c r="O636">
        <v>7002</v>
      </c>
    </row>
    <row r="637" spans="1:15" x14ac:dyDescent="0.3">
      <c r="A637" t="s">
        <v>649</v>
      </c>
      <c r="B637" s="1">
        <v>45287</v>
      </c>
      <c r="C637" t="s">
        <v>2648</v>
      </c>
      <c r="D637" t="s">
        <v>4000</v>
      </c>
      <c r="E637">
        <v>30</v>
      </c>
      <c r="F637" t="str">
        <f t="shared" si="9"/>
        <v>26-35</v>
      </c>
      <c r="G637" t="s">
        <v>4003</v>
      </c>
      <c r="H637" t="s">
        <v>4007</v>
      </c>
      <c r="I637" t="s">
        <v>4013</v>
      </c>
      <c r="J637">
        <v>3</v>
      </c>
      <c r="K637">
        <v>1283</v>
      </c>
      <c r="L637">
        <v>0</v>
      </c>
      <c r="M637">
        <v>3849</v>
      </c>
      <c r="N637">
        <v>0</v>
      </c>
      <c r="O637">
        <v>3849</v>
      </c>
    </row>
    <row r="638" spans="1:15" x14ac:dyDescent="0.3">
      <c r="A638" t="s">
        <v>650</v>
      </c>
      <c r="B638" s="1">
        <v>44669</v>
      </c>
      <c r="C638" t="s">
        <v>2649</v>
      </c>
      <c r="D638" t="s">
        <v>3999</v>
      </c>
      <c r="E638">
        <v>47</v>
      </c>
      <c r="F638" t="str">
        <f t="shared" si="9"/>
        <v>46+</v>
      </c>
      <c r="G638" t="s">
        <v>4006</v>
      </c>
      <c r="H638" t="s">
        <v>4007</v>
      </c>
      <c r="I638" t="s">
        <v>4014</v>
      </c>
      <c r="J638">
        <v>6</v>
      </c>
      <c r="K638">
        <v>5531</v>
      </c>
      <c r="L638">
        <v>15</v>
      </c>
      <c r="M638">
        <v>33186</v>
      </c>
      <c r="N638">
        <v>4977.8999999999996</v>
      </c>
      <c r="O638">
        <v>28208.1</v>
      </c>
    </row>
    <row r="639" spans="1:15" x14ac:dyDescent="0.3">
      <c r="A639" t="s">
        <v>651</v>
      </c>
      <c r="B639" s="1">
        <v>44801</v>
      </c>
      <c r="C639" t="s">
        <v>2650</v>
      </c>
      <c r="D639" t="s">
        <v>4000</v>
      </c>
      <c r="E639">
        <v>26</v>
      </c>
      <c r="F639" t="str">
        <f t="shared" si="9"/>
        <v>26-35</v>
      </c>
      <c r="G639" t="s">
        <v>4006</v>
      </c>
      <c r="H639" t="s">
        <v>4007</v>
      </c>
      <c r="I639" t="s">
        <v>4013</v>
      </c>
      <c r="J639">
        <v>5</v>
      </c>
      <c r="K639">
        <v>7376</v>
      </c>
      <c r="L639">
        <v>0</v>
      </c>
      <c r="M639">
        <v>36880</v>
      </c>
      <c r="N639">
        <v>0</v>
      </c>
      <c r="O639">
        <v>36880</v>
      </c>
    </row>
    <row r="640" spans="1:15" x14ac:dyDescent="0.3">
      <c r="A640" t="s">
        <v>652</v>
      </c>
      <c r="B640" s="1">
        <v>44780</v>
      </c>
      <c r="C640" t="s">
        <v>2651</v>
      </c>
      <c r="D640" t="s">
        <v>4000</v>
      </c>
      <c r="E640">
        <v>35</v>
      </c>
      <c r="F640" t="str">
        <f t="shared" si="9"/>
        <v>26-35</v>
      </c>
      <c r="G640" t="s">
        <v>4003</v>
      </c>
      <c r="H640" t="s">
        <v>4009</v>
      </c>
      <c r="I640" t="s">
        <v>4016</v>
      </c>
      <c r="J640">
        <v>1</v>
      </c>
      <c r="K640">
        <v>7789</v>
      </c>
      <c r="L640">
        <v>15</v>
      </c>
      <c r="M640">
        <v>7789</v>
      </c>
      <c r="N640">
        <v>1168.3499999999999</v>
      </c>
      <c r="O640">
        <v>6620.65</v>
      </c>
    </row>
    <row r="641" spans="1:15" x14ac:dyDescent="0.3">
      <c r="A641" t="s">
        <v>653</v>
      </c>
      <c r="B641" s="1">
        <v>45281</v>
      </c>
      <c r="C641" t="s">
        <v>2652</v>
      </c>
      <c r="D641" t="s">
        <v>3999</v>
      </c>
      <c r="E641">
        <v>45</v>
      </c>
      <c r="F641" t="str">
        <f t="shared" si="9"/>
        <v>36-45</v>
      </c>
      <c r="G641" t="s">
        <v>4003</v>
      </c>
      <c r="H641" t="s">
        <v>4010</v>
      </c>
      <c r="I641" t="s">
        <v>4016</v>
      </c>
      <c r="J641">
        <v>5</v>
      </c>
      <c r="K641">
        <v>4773</v>
      </c>
      <c r="L641">
        <v>5</v>
      </c>
      <c r="M641">
        <v>23865</v>
      </c>
      <c r="N641">
        <v>1193.25</v>
      </c>
      <c r="O641">
        <v>22671.75</v>
      </c>
    </row>
    <row r="642" spans="1:15" x14ac:dyDescent="0.3">
      <c r="A642" t="s">
        <v>654</v>
      </c>
      <c r="B642" s="1">
        <v>45206</v>
      </c>
      <c r="C642" t="s">
        <v>2653</v>
      </c>
      <c r="D642" t="s">
        <v>4000</v>
      </c>
      <c r="E642">
        <v>28</v>
      </c>
      <c r="F642" t="str">
        <f t="shared" ref="F642:F705" si="10">IF(E642&lt;=25,"18-25",IF(E642&lt;=35,"26-35",IF(E642&lt;=45,"36-45","46+")))</f>
        <v>26-35</v>
      </c>
      <c r="G642" t="s">
        <v>4001</v>
      </c>
      <c r="H642" t="s">
        <v>4008</v>
      </c>
      <c r="I642" t="s">
        <v>4013</v>
      </c>
      <c r="J642">
        <v>5</v>
      </c>
      <c r="K642">
        <v>5244</v>
      </c>
      <c r="L642">
        <v>10</v>
      </c>
      <c r="M642">
        <v>26220</v>
      </c>
      <c r="N642">
        <v>2622</v>
      </c>
      <c r="O642">
        <v>23598</v>
      </c>
    </row>
    <row r="643" spans="1:15" x14ac:dyDescent="0.3">
      <c r="A643" t="s">
        <v>655</v>
      </c>
      <c r="B643" s="1">
        <v>44711</v>
      </c>
      <c r="C643" t="s">
        <v>2654</v>
      </c>
      <c r="D643" t="s">
        <v>4000</v>
      </c>
      <c r="E643">
        <v>34</v>
      </c>
      <c r="F643" t="str">
        <f t="shared" si="10"/>
        <v>26-35</v>
      </c>
      <c r="G643" t="s">
        <v>4004</v>
      </c>
      <c r="H643" t="s">
        <v>4007</v>
      </c>
      <c r="I643" t="s">
        <v>4016</v>
      </c>
      <c r="J643">
        <v>2</v>
      </c>
      <c r="K643">
        <v>2589</v>
      </c>
      <c r="L643">
        <v>15</v>
      </c>
      <c r="M643">
        <v>5178</v>
      </c>
      <c r="N643">
        <v>776.7</v>
      </c>
      <c r="O643">
        <v>4401.3</v>
      </c>
    </row>
    <row r="644" spans="1:15" x14ac:dyDescent="0.3">
      <c r="A644" t="s">
        <v>656</v>
      </c>
      <c r="B644" s="1">
        <v>44800</v>
      </c>
      <c r="C644" t="s">
        <v>2655</v>
      </c>
      <c r="D644" t="s">
        <v>3999</v>
      </c>
      <c r="E644">
        <v>47</v>
      </c>
      <c r="F644" t="str">
        <f t="shared" si="10"/>
        <v>46+</v>
      </c>
      <c r="G644" t="s">
        <v>4001</v>
      </c>
      <c r="H644" t="s">
        <v>4009</v>
      </c>
      <c r="I644" t="s">
        <v>4013</v>
      </c>
      <c r="J644">
        <v>3</v>
      </c>
      <c r="K644">
        <v>4719</v>
      </c>
      <c r="L644">
        <v>15</v>
      </c>
      <c r="M644">
        <v>14157</v>
      </c>
      <c r="N644">
        <v>2123.5500000000002</v>
      </c>
      <c r="O644">
        <v>12033.45</v>
      </c>
    </row>
    <row r="645" spans="1:15" x14ac:dyDescent="0.3">
      <c r="A645" t="s">
        <v>657</v>
      </c>
      <c r="B645" s="1">
        <v>45229</v>
      </c>
      <c r="C645" t="s">
        <v>2656</v>
      </c>
      <c r="D645" t="s">
        <v>3999</v>
      </c>
      <c r="E645">
        <v>37</v>
      </c>
      <c r="F645" t="str">
        <f t="shared" si="10"/>
        <v>36-45</v>
      </c>
      <c r="G645" t="s">
        <v>4003</v>
      </c>
      <c r="H645" t="s">
        <v>4011</v>
      </c>
      <c r="I645" t="s">
        <v>4013</v>
      </c>
      <c r="J645">
        <v>7</v>
      </c>
      <c r="K645">
        <v>6622</v>
      </c>
      <c r="L645">
        <v>10</v>
      </c>
      <c r="M645">
        <v>46354</v>
      </c>
      <c r="N645">
        <v>4635.3999999999996</v>
      </c>
      <c r="O645">
        <v>41718.6</v>
      </c>
    </row>
    <row r="646" spans="1:15" x14ac:dyDescent="0.3">
      <c r="A646" t="s">
        <v>658</v>
      </c>
      <c r="B646" s="1">
        <v>44990</v>
      </c>
      <c r="C646" t="s">
        <v>2657</v>
      </c>
      <c r="D646" t="s">
        <v>4000</v>
      </c>
      <c r="E646">
        <v>40</v>
      </c>
      <c r="F646" t="str">
        <f t="shared" si="10"/>
        <v>36-45</v>
      </c>
      <c r="G646" t="s">
        <v>4004</v>
      </c>
      <c r="H646" t="s">
        <v>4008</v>
      </c>
      <c r="I646" t="s">
        <v>4016</v>
      </c>
      <c r="J646">
        <v>1</v>
      </c>
      <c r="K646">
        <v>6242</v>
      </c>
      <c r="L646">
        <v>0</v>
      </c>
      <c r="M646">
        <v>6242</v>
      </c>
      <c r="N646">
        <v>0</v>
      </c>
      <c r="O646">
        <v>6242</v>
      </c>
    </row>
    <row r="647" spans="1:15" x14ac:dyDescent="0.3">
      <c r="A647" t="s">
        <v>659</v>
      </c>
      <c r="B647" s="1">
        <v>44938</v>
      </c>
      <c r="C647" t="s">
        <v>2658</v>
      </c>
      <c r="D647" t="s">
        <v>4000</v>
      </c>
      <c r="E647">
        <v>39</v>
      </c>
      <c r="F647" t="str">
        <f t="shared" si="10"/>
        <v>36-45</v>
      </c>
      <c r="G647" t="s">
        <v>4004</v>
      </c>
      <c r="H647" t="s">
        <v>4010</v>
      </c>
      <c r="I647" t="s">
        <v>4017</v>
      </c>
      <c r="J647">
        <v>6</v>
      </c>
      <c r="K647">
        <v>905</v>
      </c>
      <c r="L647">
        <v>0</v>
      </c>
      <c r="M647">
        <v>5430</v>
      </c>
      <c r="N647">
        <v>0</v>
      </c>
      <c r="O647">
        <v>5430</v>
      </c>
    </row>
    <row r="648" spans="1:15" x14ac:dyDescent="0.3">
      <c r="A648" t="s">
        <v>660</v>
      </c>
      <c r="B648" s="1">
        <v>45020</v>
      </c>
      <c r="C648" t="s">
        <v>2659</v>
      </c>
      <c r="D648" t="s">
        <v>4000</v>
      </c>
      <c r="E648">
        <v>58</v>
      </c>
      <c r="F648" t="str">
        <f t="shared" si="10"/>
        <v>46+</v>
      </c>
      <c r="G648" t="s">
        <v>4001</v>
      </c>
      <c r="H648" t="s">
        <v>4007</v>
      </c>
      <c r="I648" t="s">
        <v>4017</v>
      </c>
      <c r="J648">
        <v>6</v>
      </c>
      <c r="K648">
        <v>5438</v>
      </c>
      <c r="L648">
        <v>10</v>
      </c>
      <c r="M648">
        <v>32628</v>
      </c>
      <c r="N648">
        <v>3262.8</v>
      </c>
      <c r="O648">
        <v>29365.200000000001</v>
      </c>
    </row>
    <row r="649" spans="1:15" x14ac:dyDescent="0.3">
      <c r="A649" t="s">
        <v>661</v>
      </c>
      <c r="B649" s="1">
        <v>44973</v>
      </c>
      <c r="C649" t="s">
        <v>2660</v>
      </c>
      <c r="D649" t="s">
        <v>4000</v>
      </c>
      <c r="E649">
        <v>45</v>
      </c>
      <c r="F649" t="str">
        <f t="shared" si="10"/>
        <v>36-45</v>
      </c>
      <c r="G649" t="s">
        <v>4003</v>
      </c>
      <c r="H649" t="s">
        <v>4010</v>
      </c>
      <c r="I649" t="s">
        <v>4016</v>
      </c>
      <c r="J649">
        <v>4</v>
      </c>
      <c r="K649">
        <v>3792</v>
      </c>
      <c r="L649">
        <v>5</v>
      </c>
      <c r="M649">
        <v>15168</v>
      </c>
      <c r="N649">
        <v>758.4</v>
      </c>
      <c r="O649">
        <v>14409.6</v>
      </c>
    </row>
    <row r="650" spans="1:15" x14ac:dyDescent="0.3">
      <c r="A650" t="s">
        <v>662</v>
      </c>
      <c r="B650" s="1">
        <v>45010</v>
      </c>
      <c r="C650" t="s">
        <v>2661</v>
      </c>
      <c r="D650" t="s">
        <v>3999</v>
      </c>
      <c r="E650">
        <v>40</v>
      </c>
      <c r="F650" t="str">
        <f t="shared" si="10"/>
        <v>36-45</v>
      </c>
      <c r="G650" t="s">
        <v>4004</v>
      </c>
      <c r="H650" t="s">
        <v>4009</v>
      </c>
      <c r="I650" t="s">
        <v>4016</v>
      </c>
      <c r="J650">
        <v>5</v>
      </c>
      <c r="K650">
        <v>4213</v>
      </c>
      <c r="L650">
        <v>20</v>
      </c>
      <c r="M650">
        <v>21065</v>
      </c>
      <c r="N650">
        <v>4213</v>
      </c>
      <c r="O650">
        <v>16852</v>
      </c>
    </row>
    <row r="651" spans="1:15" x14ac:dyDescent="0.3">
      <c r="A651" t="s">
        <v>663</v>
      </c>
      <c r="B651" s="1">
        <v>44647</v>
      </c>
      <c r="C651" t="s">
        <v>2662</v>
      </c>
      <c r="D651" t="s">
        <v>4000</v>
      </c>
      <c r="E651">
        <v>20</v>
      </c>
      <c r="F651" t="str">
        <f t="shared" si="10"/>
        <v>18-25</v>
      </c>
      <c r="G651" t="s">
        <v>4005</v>
      </c>
      <c r="H651" t="s">
        <v>4009</v>
      </c>
      <c r="I651" t="s">
        <v>4015</v>
      </c>
      <c r="J651">
        <v>1</v>
      </c>
      <c r="K651">
        <v>7048</v>
      </c>
      <c r="L651">
        <v>0</v>
      </c>
      <c r="M651">
        <v>7048</v>
      </c>
      <c r="N651">
        <v>0</v>
      </c>
      <c r="O651">
        <v>7048</v>
      </c>
    </row>
    <row r="652" spans="1:15" x14ac:dyDescent="0.3">
      <c r="A652" t="s">
        <v>664</v>
      </c>
      <c r="B652" s="1">
        <v>44567</v>
      </c>
      <c r="C652" t="s">
        <v>2663</v>
      </c>
      <c r="D652" t="s">
        <v>3999</v>
      </c>
      <c r="E652">
        <v>32</v>
      </c>
      <c r="F652" t="str">
        <f t="shared" si="10"/>
        <v>26-35</v>
      </c>
      <c r="G652" t="s">
        <v>4005</v>
      </c>
      <c r="H652" t="s">
        <v>4009</v>
      </c>
      <c r="I652" t="s">
        <v>4015</v>
      </c>
      <c r="J652">
        <v>4</v>
      </c>
      <c r="K652">
        <v>483</v>
      </c>
      <c r="L652">
        <v>10</v>
      </c>
      <c r="M652">
        <v>1932</v>
      </c>
      <c r="N652">
        <v>193.2</v>
      </c>
      <c r="O652">
        <v>1738.8</v>
      </c>
    </row>
    <row r="653" spans="1:15" x14ac:dyDescent="0.3">
      <c r="A653" t="s">
        <v>665</v>
      </c>
      <c r="B653" s="1">
        <v>45247</v>
      </c>
      <c r="C653" t="s">
        <v>2664</v>
      </c>
      <c r="D653" t="s">
        <v>3999</v>
      </c>
      <c r="E653">
        <v>28</v>
      </c>
      <c r="F653" t="str">
        <f t="shared" si="10"/>
        <v>26-35</v>
      </c>
      <c r="G653" t="s">
        <v>4004</v>
      </c>
      <c r="H653" t="s">
        <v>4009</v>
      </c>
      <c r="I653" t="s">
        <v>4015</v>
      </c>
      <c r="J653">
        <v>5</v>
      </c>
      <c r="K653">
        <v>1884</v>
      </c>
      <c r="L653">
        <v>0</v>
      </c>
      <c r="M653">
        <v>9420</v>
      </c>
      <c r="N653">
        <v>0</v>
      </c>
      <c r="O653">
        <v>9420</v>
      </c>
    </row>
    <row r="654" spans="1:15" x14ac:dyDescent="0.3">
      <c r="A654" t="s">
        <v>666</v>
      </c>
      <c r="B654" s="1">
        <v>44835</v>
      </c>
      <c r="C654" t="s">
        <v>2665</v>
      </c>
      <c r="D654" t="s">
        <v>4000</v>
      </c>
      <c r="E654">
        <v>26</v>
      </c>
      <c r="F654" t="str">
        <f t="shared" si="10"/>
        <v>26-35</v>
      </c>
      <c r="G654" t="s">
        <v>4004</v>
      </c>
      <c r="H654" t="s">
        <v>4007</v>
      </c>
      <c r="I654" t="s">
        <v>4014</v>
      </c>
      <c r="J654">
        <v>4</v>
      </c>
      <c r="K654">
        <v>3291</v>
      </c>
      <c r="L654">
        <v>10</v>
      </c>
      <c r="M654">
        <v>13164</v>
      </c>
      <c r="N654">
        <v>1316.4</v>
      </c>
      <c r="O654">
        <v>11847.6</v>
      </c>
    </row>
    <row r="655" spans="1:15" x14ac:dyDescent="0.3">
      <c r="A655" t="s">
        <v>667</v>
      </c>
      <c r="B655" s="1">
        <v>45225</v>
      </c>
      <c r="C655" t="s">
        <v>2666</v>
      </c>
      <c r="D655" t="s">
        <v>3999</v>
      </c>
      <c r="E655">
        <v>60</v>
      </c>
      <c r="F655" t="str">
        <f t="shared" si="10"/>
        <v>46+</v>
      </c>
      <c r="G655" t="s">
        <v>4005</v>
      </c>
      <c r="H655" t="s">
        <v>4007</v>
      </c>
      <c r="I655" t="s">
        <v>4015</v>
      </c>
      <c r="J655">
        <v>2</v>
      </c>
      <c r="K655">
        <v>1401</v>
      </c>
      <c r="L655">
        <v>0</v>
      </c>
      <c r="M655">
        <v>2802</v>
      </c>
      <c r="N655">
        <v>0</v>
      </c>
      <c r="O655">
        <v>2802</v>
      </c>
    </row>
    <row r="656" spans="1:15" x14ac:dyDescent="0.3">
      <c r="A656" t="s">
        <v>668</v>
      </c>
      <c r="B656" s="1">
        <v>45049</v>
      </c>
      <c r="C656" t="s">
        <v>2667</v>
      </c>
      <c r="D656" t="s">
        <v>4000</v>
      </c>
      <c r="E656">
        <v>57</v>
      </c>
      <c r="F656" t="str">
        <f t="shared" si="10"/>
        <v>46+</v>
      </c>
      <c r="G656" t="s">
        <v>4004</v>
      </c>
      <c r="H656" t="s">
        <v>4007</v>
      </c>
      <c r="I656" t="s">
        <v>4015</v>
      </c>
      <c r="J656">
        <v>7</v>
      </c>
      <c r="K656">
        <v>4297</v>
      </c>
      <c r="L656">
        <v>0</v>
      </c>
      <c r="M656">
        <v>30079</v>
      </c>
      <c r="N656">
        <v>0</v>
      </c>
      <c r="O656">
        <v>30079</v>
      </c>
    </row>
    <row r="657" spans="1:15" x14ac:dyDescent="0.3">
      <c r="A657" t="s">
        <v>669</v>
      </c>
      <c r="B657" s="1">
        <v>45268</v>
      </c>
      <c r="C657" t="s">
        <v>2668</v>
      </c>
      <c r="D657" t="s">
        <v>3999</v>
      </c>
      <c r="E657">
        <v>59</v>
      </c>
      <c r="F657" t="str">
        <f t="shared" si="10"/>
        <v>46+</v>
      </c>
      <c r="G657" t="s">
        <v>4006</v>
      </c>
      <c r="H657" t="s">
        <v>4007</v>
      </c>
      <c r="I657" t="s">
        <v>4015</v>
      </c>
      <c r="J657">
        <v>1</v>
      </c>
      <c r="K657">
        <v>4433</v>
      </c>
      <c r="L657">
        <v>10</v>
      </c>
      <c r="M657">
        <v>4433</v>
      </c>
      <c r="N657">
        <v>443.3</v>
      </c>
      <c r="O657">
        <v>3989.7</v>
      </c>
    </row>
    <row r="658" spans="1:15" x14ac:dyDescent="0.3">
      <c r="A658" t="s">
        <v>670</v>
      </c>
      <c r="B658" s="1">
        <v>44614</v>
      </c>
      <c r="C658" t="s">
        <v>2669</v>
      </c>
      <c r="D658" t="s">
        <v>4000</v>
      </c>
      <c r="E658">
        <v>60</v>
      </c>
      <c r="F658" t="str">
        <f t="shared" si="10"/>
        <v>46+</v>
      </c>
      <c r="G658" t="s">
        <v>4002</v>
      </c>
      <c r="H658" t="s">
        <v>4009</v>
      </c>
      <c r="I658" t="s">
        <v>4013</v>
      </c>
      <c r="J658">
        <v>6</v>
      </c>
      <c r="K658">
        <v>5628</v>
      </c>
      <c r="L658">
        <v>5</v>
      </c>
      <c r="M658">
        <v>33768</v>
      </c>
      <c r="N658">
        <v>1688.4</v>
      </c>
      <c r="O658">
        <v>32079.599999999999</v>
      </c>
    </row>
    <row r="659" spans="1:15" x14ac:dyDescent="0.3">
      <c r="A659" t="s">
        <v>671</v>
      </c>
      <c r="B659" s="1">
        <v>45076</v>
      </c>
      <c r="C659" t="s">
        <v>2670</v>
      </c>
      <c r="D659" t="s">
        <v>3999</v>
      </c>
      <c r="E659">
        <v>42</v>
      </c>
      <c r="F659" t="str">
        <f t="shared" si="10"/>
        <v>36-45</v>
      </c>
      <c r="G659" t="s">
        <v>4006</v>
      </c>
      <c r="H659" t="s">
        <v>4011</v>
      </c>
      <c r="I659" t="s">
        <v>4015</v>
      </c>
      <c r="J659">
        <v>4</v>
      </c>
      <c r="K659">
        <v>6997</v>
      </c>
      <c r="L659">
        <v>0</v>
      </c>
      <c r="M659">
        <v>27988</v>
      </c>
      <c r="N659">
        <v>0</v>
      </c>
      <c r="O659">
        <v>27988</v>
      </c>
    </row>
    <row r="660" spans="1:15" x14ac:dyDescent="0.3">
      <c r="A660" t="s">
        <v>672</v>
      </c>
      <c r="B660" s="1">
        <v>45273</v>
      </c>
      <c r="C660" t="s">
        <v>2671</v>
      </c>
      <c r="D660" t="s">
        <v>4000</v>
      </c>
      <c r="E660">
        <v>37</v>
      </c>
      <c r="F660" t="str">
        <f t="shared" si="10"/>
        <v>36-45</v>
      </c>
      <c r="G660" t="s">
        <v>4001</v>
      </c>
      <c r="H660" t="s">
        <v>4008</v>
      </c>
      <c r="I660" t="s">
        <v>4017</v>
      </c>
      <c r="J660">
        <v>7</v>
      </c>
      <c r="K660">
        <v>324</v>
      </c>
      <c r="L660">
        <v>0</v>
      </c>
      <c r="M660">
        <v>2268</v>
      </c>
      <c r="N660">
        <v>0</v>
      </c>
      <c r="O660">
        <v>2268</v>
      </c>
    </row>
    <row r="661" spans="1:15" x14ac:dyDescent="0.3">
      <c r="A661" t="s">
        <v>673</v>
      </c>
      <c r="B661" s="1">
        <v>45038</v>
      </c>
      <c r="C661" t="s">
        <v>2672</v>
      </c>
      <c r="D661" t="s">
        <v>4000</v>
      </c>
      <c r="E661">
        <v>46</v>
      </c>
      <c r="F661" t="str">
        <f t="shared" si="10"/>
        <v>46+</v>
      </c>
      <c r="G661" t="s">
        <v>4001</v>
      </c>
      <c r="H661" t="s">
        <v>4007</v>
      </c>
      <c r="I661" t="s">
        <v>4017</v>
      </c>
      <c r="J661">
        <v>7</v>
      </c>
      <c r="K661">
        <v>4081</v>
      </c>
      <c r="L661">
        <v>10</v>
      </c>
      <c r="M661">
        <v>28567</v>
      </c>
      <c r="N661">
        <v>2856.7</v>
      </c>
      <c r="O661">
        <v>25710.3</v>
      </c>
    </row>
    <row r="662" spans="1:15" x14ac:dyDescent="0.3">
      <c r="A662" t="s">
        <v>674</v>
      </c>
      <c r="B662" s="1">
        <v>45175</v>
      </c>
      <c r="C662" t="s">
        <v>2155</v>
      </c>
      <c r="D662" t="s">
        <v>3999</v>
      </c>
      <c r="E662">
        <v>61</v>
      </c>
      <c r="F662" t="str">
        <f t="shared" si="10"/>
        <v>46+</v>
      </c>
      <c r="G662" t="s">
        <v>4006</v>
      </c>
      <c r="H662" t="s">
        <v>4010</v>
      </c>
      <c r="I662" t="s">
        <v>4014</v>
      </c>
      <c r="J662">
        <v>5</v>
      </c>
      <c r="K662">
        <v>2421</v>
      </c>
      <c r="L662">
        <v>5</v>
      </c>
      <c r="M662">
        <v>12105</v>
      </c>
      <c r="N662">
        <v>605.25</v>
      </c>
      <c r="O662">
        <v>11499.75</v>
      </c>
    </row>
    <row r="663" spans="1:15" x14ac:dyDescent="0.3">
      <c r="A663" t="s">
        <v>675</v>
      </c>
      <c r="B663" s="1">
        <v>45145</v>
      </c>
      <c r="C663" t="s">
        <v>2673</v>
      </c>
      <c r="D663" t="s">
        <v>3999</v>
      </c>
      <c r="E663">
        <v>37</v>
      </c>
      <c r="F663" t="str">
        <f t="shared" si="10"/>
        <v>36-45</v>
      </c>
      <c r="G663" t="s">
        <v>4004</v>
      </c>
      <c r="H663" t="s">
        <v>4008</v>
      </c>
      <c r="I663" t="s">
        <v>4015</v>
      </c>
      <c r="J663">
        <v>4</v>
      </c>
      <c r="K663">
        <v>1290</v>
      </c>
      <c r="L663">
        <v>5</v>
      </c>
      <c r="M663">
        <v>5160</v>
      </c>
      <c r="N663">
        <v>258</v>
      </c>
      <c r="O663">
        <v>4902</v>
      </c>
    </row>
    <row r="664" spans="1:15" x14ac:dyDescent="0.3">
      <c r="A664" t="s">
        <v>676</v>
      </c>
      <c r="B664" s="1">
        <v>44813</v>
      </c>
      <c r="C664" t="s">
        <v>2674</v>
      </c>
      <c r="D664" t="s">
        <v>4000</v>
      </c>
      <c r="E664">
        <v>23</v>
      </c>
      <c r="F664" t="str">
        <f t="shared" si="10"/>
        <v>18-25</v>
      </c>
      <c r="G664" t="s">
        <v>4006</v>
      </c>
      <c r="H664" t="s">
        <v>4012</v>
      </c>
      <c r="I664" t="s">
        <v>4014</v>
      </c>
      <c r="J664">
        <v>3</v>
      </c>
      <c r="K664">
        <v>6313</v>
      </c>
      <c r="L664">
        <v>0</v>
      </c>
      <c r="M664">
        <v>18939</v>
      </c>
      <c r="N664">
        <v>0</v>
      </c>
      <c r="O664">
        <v>18939</v>
      </c>
    </row>
    <row r="665" spans="1:15" x14ac:dyDescent="0.3">
      <c r="A665" t="s">
        <v>677</v>
      </c>
      <c r="B665" s="1">
        <v>44996</v>
      </c>
      <c r="C665" t="s">
        <v>2675</v>
      </c>
      <c r="D665" t="s">
        <v>4000</v>
      </c>
      <c r="E665">
        <v>63</v>
      </c>
      <c r="F665" t="str">
        <f t="shared" si="10"/>
        <v>46+</v>
      </c>
      <c r="G665" t="s">
        <v>4001</v>
      </c>
      <c r="H665" t="s">
        <v>4011</v>
      </c>
      <c r="I665" t="s">
        <v>4013</v>
      </c>
      <c r="J665">
        <v>5</v>
      </c>
      <c r="K665">
        <v>7066</v>
      </c>
      <c r="L665">
        <v>5</v>
      </c>
      <c r="M665">
        <v>35330</v>
      </c>
      <c r="N665">
        <v>1766.5</v>
      </c>
      <c r="O665">
        <v>33563.5</v>
      </c>
    </row>
    <row r="666" spans="1:15" x14ac:dyDescent="0.3">
      <c r="A666" t="s">
        <v>678</v>
      </c>
      <c r="B666" s="1">
        <v>44750</v>
      </c>
      <c r="C666" t="s">
        <v>2676</v>
      </c>
      <c r="D666" t="s">
        <v>3999</v>
      </c>
      <c r="E666">
        <v>24</v>
      </c>
      <c r="F666" t="str">
        <f t="shared" si="10"/>
        <v>18-25</v>
      </c>
      <c r="G666" t="s">
        <v>4002</v>
      </c>
      <c r="H666" t="s">
        <v>4009</v>
      </c>
      <c r="I666" t="s">
        <v>4016</v>
      </c>
      <c r="J666">
        <v>1</v>
      </c>
      <c r="K666">
        <v>4259</v>
      </c>
      <c r="L666">
        <v>15</v>
      </c>
      <c r="M666">
        <v>4259</v>
      </c>
      <c r="N666">
        <v>638.85</v>
      </c>
      <c r="O666">
        <v>3620.15</v>
      </c>
    </row>
    <row r="667" spans="1:15" x14ac:dyDescent="0.3">
      <c r="A667" t="s">
        <v>679</v>
      </c>
      <c r="B667" s="1">
        <v>44853</v>
      </c>
      <c r="C667" t="s">
        <v>2677</v>
      </c>
      <c r="D667" t="s">
        <v>4000</v>
      </c>
      <c r="E667">
        <v>43</v>
      </c>
      <c r="F667" t="str">
        <f t="shared" si="10"/>
        <v>36-45</v>
      </c>
      <c r="G667" t="s">
        <v>4001</v>
      </c>
      <c r="H667" t="s">
        <v>4009</v>
      </c>
      <c r="I667" t="s">
        <v>4013</v>
      </c>
      <c r="J667">
        <v>1</v>
      </c>
      <c r="K667">
        <v>5422</v>
      </c>
      <c r="L667">
        <v>15</v>
      </c>
      <c r="M667">
        <v>5422</v>
      </c>
      <c r="N667">
        <v>813.3</v>
      </c>
      <c r="O667">
        <v>4608.7</v>
      </c>
    </row>
    <row r="668" spans="1:15" x14ac:dyDescent="0.3">
      <c r="A668" t="s">
        <v>680</v>
      </c>
      <c r="B668" s="1">
        <v>44914</v>
      </c>
      <c r="C668" t="s">
        <v>2678</v>
      </c>
      <c r="D668" t="s">
        <v>3999</v>
      </c>
      <c r="E668">
        <v>25</v>
      </c>
      <c r="F668" t="str">
        <f t="shared" si="10"/>
        <v>18-25</v>
      </c>
      <c r="G668" t="s">
        <v>4003</v>
      </c>
      <c r="H668" t="s">
        <v>4010</v>
      </c>
      <c r="I668" t="s">
        <v>4015</v>
      </c>
      <c r="J668">
        <v>1</v>
      </c>
      <c r="K668">
        <v>3094</v>
      </c>
      <c r="L668">
        <v>5</v>
      </c>
      <c r="M668">
        <v>3094</v>
      </c>
      <c r="N668">
        <v>154.69999999999999</v>
      </c>
      <c r="O668">
        <v>2939.3</v>
      </c>
    </row>
    <row r="669" spans="1:15" x14ac:dyDescent="0.3">
      <c r="A669" t="s">
        <v>681</v>
      </c>
      <c r="B669" s="1">
        <v>45188</v>
      </c>
      <c r="C669" t="s">
        <v>2679</v>
      </c>
      <c r="D669" t="s">
        <v>3999</v>
      </c>
      <c r="E669">
        <v>39</v>
      </c>
      <c r="F669" t="str">
        <f t="shared" si="10"/>
        <v>36-45</v>
      </c>
      <c r="G669" t="s">
        <v>4005</v>
      </c>
      <c r="H669" t="s">
        <v>4009</v>
      </c>
      <c r="I669" t="s">
        <v>4014</v>
      </c>
      <c r="J669">
        <v>1</v>
      </c>
      <c r="K669">
        <v>1231</v>
      </c>
      <c r="L669">
        <v>0</v>
      </c>
      <c r="M669">
        <v>1231</v>
      </c>
      <c r="N669">
        <v>0</v>
      </c>
      <c r="O669">
        <v>1231</v>
      </c>
    </row>
    <row r="670" spans="1:15" x14ac:dyDescent="0.3">
      <c r="A670" t="s">
        <v>682</v>
      </c>
      <c r="B670" s="1">
        <v>44843</v>
      </c>
      <c r="C670" t="s">
        <v>2680</v>
      </c>
      <c r="D670" t="s">
        <v>3999</v>
      </c>
      <c r="E670">
        <v>39</v>
      </c>
      <c r="F670" t="str">
        <f t="shared" si="10"/>
        <v>36-45</v>
      </c>
      <c r="G670" t="s">
        <v>4002</v>
      </c>
      <c r="H670" t="s">
        <v>4011</v>
      </c>
      <c r="I670" t="s">
        <v>4017</v>
      </c>
      <c r="J670">
        <v>5</v>
      </c>
      <c r="K670">
        <v>5702</v>
      </c>
      <c r="L670">
        <v>10</v>
      </c>
      <c r="M670">
        <v>28510</v>
      </c>
      <c r="N670">
        <v>2851</v>
      </c>
      <c r="O670">
        <v>25659</v>
      </c>
    </row>
    <row r="671" spans="1:15" x14ac:dyDescent="0.3">
      <c r="A671" t="s">
        <v>683</v>
      </c>
      <c r="B671" s="1">
        <v>44731</v>
      </c>
      <c r="C671" t="s">
        <v>2681</v>
      </c>
      <c r="D671" t="s">
        <v>4000</v>
      </c>
      <c r="E671">
        <v>60</v>
      </c>
      <c r="F671" t="str">
        <f t="shared" si="10"/>
        <v>46+</v>
      </c>
      <c r="G671" t="s">
        <v>4003</v>
      </c>
      <c r="H671" t="s">
        <v>4008</v>
      </c>
      <c r="I671" t="s">
        <v>4016</v>
      </c>
      <c r="J671">
        <v>7</v>
      </c>
      <c r="K671">
        <v>644</v>
      </c>
      <c r="L671">
        <v>0</v>
      </c>
      <c r="M671">
        <v>4508</v>
      </c>
      <c r="N671">
        <v>0</v>
      </c>
      <c r="O671">
        <v>4508</v>
      </c>
    </row>
    <row r="672" spans="1:15" x14ac:dyDescent="0.3">
      <c r="A672" t="s">
        <v>684</v>
      </c>
      <c r="B672" s="1">
        <v>45286</v>
      </c>
      <c r="C672" t="s">
        <v>2682</v>
      </c>
      <c r="D672" t="s">
        <v>4000</v>
      </c>
      <c r="E672">
        <v>56</v>
      </c>
      <c r="F672" t="str">
        <f t="shared" si="10"/>
        <v>46+</v>
      </c>
      <c r="G672" t="s">
        <v>4004</v>
      </c>
      <c r="H672" t="s">
        <v>4011</v>
      </c>
      <c r="I672" t="s">
        <v>4014</v>
      </c>
      <c r="J672">
        <v>3</v>
      </c>
      <c r="K672">
        <v>7470</v>
      </c>
      <c r="L672">
        <v>10</v>
      </c>
      <c r="M672">
        <v>22410</v>
      </c>
      <c r="N672">
        <v>2241</v>
      </c>
      <c r="O672">
        <v>20169</v>
      </c>
    </row>
    <row r="673" spans="1:15" x14ac:dyDescent="0.3">
      <c r="A673" t="s">
        <v>685</v>
      </c>
      <c r="B673" s="1">
        <v>44823</v>
      </c>
      <c r="C673" t="s">
        <v>2683</v>
      </c>
      <c r="D673" t="s">
        <v>3999</v>
      </c>
      <c r="E673">
        <v>64</v>
      </c>
      <c r="F673" t="str">
        <f t="shared" si="10"/>
        <v>46+</v>
      </c>
      <c r="G673" t="s">
        <v>4001</v>
      </c>
      <c r="H673" t="s">
        <v>4012</v>
      </c>
      <c r="I673" t="s">
        <v>4013</v>
      </c>
      <c r="J673">
        <v>5</v>
      </c>
      <c r="K673">
        <v>6431</v>
      </c>
      <c r="L673">
        <v>10</v>
      </c>
      <c r="M673">
        <v>32155</v>
      </c>
      <c r="N673">
        <v>3215.5</v>
      </c>
      <c r="O673">
        <v>28939.5</v>
      </c>
    </row>
    <row r="674" spans="1:15" x14ac:dyDescent="0.3">
      <c r="A674" t="s">
        <v>686</v>
      </c>
      <c r="B674" s="1">
        <v>45000</v>
      </c>
      <c r="C674" t="s">
        <v>2684</v>
      </c>
      <c r="D674" t="s">
        <v>4000</v>
      </c>
      <c r="E674">
        <v>46</v>
      </c>
      <c r="F674" t="str">
        <f t="shared" si="10"/>
        <v>46+</v>
      </c>
      <c r="G674" t="s">
        <v>4005</v>
      </c>
      <c r="H674" t="s">
        <v>4012</v>
      </c>
      <c r="I674" t="s">
        <v>4014</v>
      </c>
      <c r="J674">
        <v>3</v>
      </c>
      <c r="K674">
        <v>2202</v>
      </c>
      <c r="L674">
        <v>0</v>
      </c>
      <c r="M674">
        <v>6606</v>
      </c>
      <c r="N674">
        <v>0</v>
      </c>
      <c r="O674">
        <v>6606</v>
      </c>
    </row>
    <row r="675" spans="1:15" x14ac:dyDescent="0.3">
      <c r="A675" t="s">
        <v>687</v>
      </c>
      <c r="B675" s="1">
        <v>44981</v>
      </c>
      <c r="C675" t="s">
        <v>2685</v>
      </c>
      <c r="D675" t="s">
        <v>3999</v>
      </c>
      <c r="E675">
        <v>52</v>
      </c>
      <c r="F675" t="str">
        <f t="shared" si="10"/>
        <v>46+</v>
      </c>
      <c r="G675" t="s">
        <v>4004</v>
      </c>
      <c r="H675" t="s">
        <v>4009</v>
      </c>
      <c r="I675" t="s">
        <v>4017</v>
      </c>
      <c r="J675">
        <v>5</v>
      </c>
      <c r="K675">
        <v>2422</v>
      </c>
      <c r="L675">
        <v>0</v>
      </c>
      <c r="M675">
        <v>12110</v>
      </c>
      <c r="N675">
        <v>0</v>
      </c>
      <c r="O675">
        <v>12110</v>
      </c>
    </row>
    <row r="676" spans="1:15" x14ac:dyDescent="0.3">
      <c r="A676" t="s">
        <v>688</v>
      </c>
      <c r="B676" s="1">
        <v>45153</v>
      </c>
      <c r="C676" t="s">
        <v>2686</v>
      </c>
      <c r="D676" t="s">
        <v>3999</v>
      </c>
      <c r="E676">
        <v>32</v>
      </c>
      <c r="F676" t="str">
        <f t="shared" si="10"/>
        <v>26-35</v>
      </c>
      <c r="G676" t="s">
        <v>4002</v>
      </c>
      <c r="H676" t="s">
        <v>4012</v>
      </c>
      <c r="I676" t="s">
        <v>4017</v>
      </c>
      <c r="J676">
        <v>1</v>
      </c>
      <c r="K676">
        <v>7015</v>
      </c>
      <c r="L676">
        <v>10</v>
      </c>
      <c r="M676">
        <v>7015</v>
      </c>
      <c r="N676">
        <v>701.5</v>
      </c>
      <c r="O676">
        <v>6313.5</v>
      </c>
    </row>
    <row r="677" spans="1:15" x14ac:dyDescent="0.3">
      <c r="A677" t="s">
        <v>689</v>
      </c>
      <c r="B677" s="1">
        <v>44858</v>
      </c>
      <c r="C677" t="s">
        <v>2687</v>
      </c>
      <c r="D677" t="s">
        <v>3999</v>
      </c>
      <c r="E677">
        <v>27</v>
      </c>
      <c r="F677" t="str">
        <f t="shared" si="10"/>
        <v>26-35</v>
      </c>
      <c r="G677" t="s">
        <v>4006</v>
      </c>
      <c r="H677" t="s">
        <v>4011</v>
      </c>
      <c r="I677" t="s">
        <v>4015</v>
      </c>
      <c r="J677">
        <v>7</v>
      </c>
      <c r="K677">
        <v>791</v>
      </c>
      <c r="L677">
        <v>10</v>
      </c>
      <c r="M677">
        <v>5537</v>
      </c>
      <c r="N677">
        <v>553.70000000000005</v>
      </c>
      <c r="O677">
        <v>4983.3</v>
      </c>
    </row>
    <row r="678" spans="1:15" x14ac:dyDescent="0.3">
      <c r="A678" t="s">
        <v>690</v>
      </c>
      <c r="B678" s="1">
        <v>44822</v>
      </c>
      <c r="C678" t="s">
        <v>2688</v>
      </c>
      <c r="D678" t="s">
        <v>4000</v>
      </c>
      <c r="E678">
        <v>57</v>
      </c>
      <c r="F678" t="str">
        <f t="shared" si="10"/>
        <v>46+</v>
      </c>
      <c r="G678" t="s">
        <v>4006</v>
      </c>
      <c r="H678" t="s">
        <v>4007</v>
      </c>
      <c r="I678" t="s">
        <v>4015</v>
      </c>
      <c r="J678">
        <v>2</v>
      </c>
      <c r="K678">
        <v>6472</v>
      </c>
      <c r="L678">
        <v>0</v>
      </c>
      <c r="M678">
        <v>12944</v>
      </c>
      <c r="N678">
        <v>0</v>
      </c>
      <c r="O678">
        <v>12944</v>
      </c>
    </row>
    <row r="679" spans="1:15" x14ac:dyDescent="0.3">
      <c r="A679" t="s">
        <v>691</v>
      </c>
      <c r="B679" s="1">
        <v>44973</v>
      </c>
      <c r="C679" t="s">
        <v>2689</v>
      </c>
      <c r="D679" t="s">
        <v>3999</v>
      </c>
      <c r="E679">
        <v>19</v>
      </c>
      <c r="F679" t="str">
        <f t="shared" si="10"/>
        <v>18-25</v>
      </c>
      <c r="G679" t="s">
        <v>4002</v>
      </c>
      <c r="H679" t="s">
        <v>4012</v>
      </c>
      <c r="I679" t="s">
        <v>4017</v>
      </c>
      <c r="J679">
        <v>4</v>
      </c>
      <c r="K679">
        <v>5850</v>
      </c>
      <c r="L679">
        <v>0</v>
      </c>
      <c r="M679">
        <v>23400</v>
      </c>
      <c r="N679">
        <v>0</v>
      </c>
      <c r="O679">
        <v>23400</v>
      </c>
    </row>
    <row r="680" spans="1:15" x14ac:dyDescent="0.3">
      <c r="A680" t="s">
        <v>692</v>
      </c>
      <c r="B680" s="1">
        <v>45082</v>
      </c>
      <c r="C680" t="s">
        <v>2690</v>
      </c>
      <c r="D680" t="s">
        <v>3999</v>
      </c>
      <c r="E680">
        <v>43</v>
      </c>
      <c r="F680" t="str">
        <f t="shared" si="10"/>
        <v>36-45</v>
      </c>
      <c r="G680" t="s">
        <v>4001</v>
      </c>
      <c r="H680" t="s">
        <v>4010</v>
      </c>
      <c r="I680" t="s">
        <v>4016</v>
      </c>
      <c r="J680">
        <v>6</v>
      </c>
      <c r="K680">
        <v>4254</v>
      </c>
      <c r="L680">
        <v>5</v>
      </c>
      <c r="M680">
        <v>25524</v>
      </c>
      <c r="N680">
        <v>1276.2</v>
      </c>
      <c r="O680">
        <v>24247.8</v>
      </c>
    </row>
    <row r="681" spans="1:15" x14ac:dyDescent="0.3">
      <c r="A681" t="s">
        <v>693</v>
      </c>
      <c r="B681" s="1">
        <v>44627</v>
      </c>
      <c r="C681" t="s">
        <v>2691</v>
      </c>
      <c r="D681" t="s">
        <v>4000</v>
      </c>
      <c r="E681">
        <v>27</v>
      </c>
      <c r="F681" t="str">
        <f t="shared" si="10"/>
        <v>26-35</v>
      </c>
      <c r="G681" t="s">
        <v>4002</v>
      </c>
      <c r="H681" t="s">
        <v>4007</v>
      </c>
      <c r="I681" t="s">
        <v>4016</v>
      </c>
      <c r="J681">
        <v>4</v>
      </c>
      <c r="K681">
        <v>6296</v>
      </c>
      <c r="L681">
        <v>0</v>
      </c>
      <c r="M681">
        <v>25184</v>
      </c>
      <c r="N681">
        <v>0</v>
      </c>
      <c r="O681">
        <v>25184</v>
      </c>
    </row>
    <row r="682" spans="1:15" x14ac:dyDescent="0.3">
      <c r="A682" t="s">
        <v>694</v>
      </c>
      <c r="B682" s="1">
        <v>45094</v>
      </c>
      <c r="C682" t="s">
        <v>2692</v>
      </c>
      <c r="D682" t="s">
        <v>3999</v>
      </c>
      <c r="E682">
        <v>20</v>
      </c>
      <c r="F682" t="str">
        <f t="shared" si="10"/>
        <v>18-25</v>
      </c>
      <c r="G682" t="s">
        <v>4004</v>
      </c>
      <c r="H682" t="s">
        <v>4010</v>
      </c>
      <c r="I682" t="s">
        <v>4013</v>
      </c>
      <c r="J682">
        <v>2</v>
      </c>
      <c r="K682">
        <v>1127</v>
      </c>
      <c r="L682">
        <v>15</v>
      </c>
      <c r="M682">
        <v>2254</v>
      </c>
      <c r="N682">
        <v>338.1</v>
      </c>
      <c r="O682">
        <v>1915.9</v>
      </c>
    </row>
    <row r="683" spans="1:15" x14ac:dyDescent="0.3">
      <c r="A683" t="s">
        <v>695</v>
      </c>
      <c r="B683" s="1">
        <v>44820</v>
      </c>
      <c r="C683" t="s">
        <v>2693</v>
      </c>
      <c r="D683" t="s">
        <v>4000</v>
      </c>
      <c r="E683">
        <v>20</v>
      </c>
      <c r="F683" t="str">
        <f t="shared" si="10"/>
        <v>18-25</v>
      </c>
      <c r="G683" t="s">
        <v>4002</v>
      </c>
      <c r="H683" t="s">
        <v>4011</v>
      </c>
      <c r="I683" t="s">
        <v>4017</v>
      </c>
      <c r="J683">
        <v>3</v>
      </c>
      <c r="K683">
        <v>3559</v>
      </c>
      <c r="L683">
        <v>0</v>
      </c>
      <c r="M683">
        <v>10677</v>
      </c>
      <c r="N683">
        <v>0</v>
      </c>
      <c r="O683">
        <v>10677</v>
      </c>
    </row>
    <row r="684" spans="1:15" x14ac:dyDescent="0.3">
      <c r="A684" t="s">
        <v>696</v>
      </c>
      <c r="B684" s="1">
        <v>45248</v>
      </c>
      <c r="C684" t="s">
        <v>2694</v>
      </c>
      <c r="D684" t="s">
        <v>4000</v>
      </c>
      <c r="E684">
        <v>49</v>
      </c>
      <c r="F684" t="str">
        <f t="shared" si="10"/>
        <v>46+</v>
      </c>
      <c r="G684" t="s">
        <v>4006</v>
      </c>
      <c r="H684" t="s">
        <v>4009</v>
      </c>
      <c r="I684" t="s">
        <v>4015</v>
      </c>
      <c r="J684">
        <v>7</v>
      </c>
      <c r="K684">
        <v>6262</v>
      </c>
      <c r="L684">
        <v>0</v>
      </c>
      <c r="M684">
        <v>43834</v>
      </c>
      <c r="N684">
        <v>0</v>
      </c>
      <c r="O684">
        <v>43834</v>
      </c>
    </row>
    <row r="685" spans="1:15" x14ac:dyDescent="0.3">
      <c r="A685" t="s">
        <v>697</v>
      </c>
      <c r="B685" s="1">
        <v>45053</v>
      </c>
      <c r="C685" t="s">
        <v>2695</v>
      </c>
      <c r="D685" t="s">
        <v>4000</v>
      </c>
      <c r="E685">
        <v>59</v>
      </c>
      <c r="F685" t="str">
        <f t="shared" si="10"/>
        <v>46+</v>
      </c>
      <c r="G685" t="s">
        <v>4002</v>
      </c>
      <c r="H685" t="s">
        <v>4011</v>
      </c>
      <c r="I685" t="s">
        <v>4013</v>
      </c>
      <c r="J685">
        <v>7</v>
      </c>
      <c r="K685">
        <v>1877</v>
      </c>
      <c r="L685">
        <v>5</v>
      </c>
      <c r="M685">
        <v>13139</v>
      </c>
      <c r="N685">
        <v>656.95</v>
      </c>
      <c r="O685">
        <v>12482.05</v>
      </c>
    </row>
    <row r="686" spans="1:15" x14ac:dyDescent="0.3">
      <c r="A686" t="s">
        <v>698</v>
      </c>
      <c r="B686" s="1">
        <v>44639</v>
      </c>
      <c r="C686" t="s">
        <v>2696</v>
      </c>
      <c r="D686" t="s">
        <v>4000</v>
      </c>
      <c r="E686">
        <v>25</v>
      </c>
      <c r="F686" t="str">
        <f t="shared" si="10"/>
        <v>18-25</v>
      </c>
      <c r="G686" t="s">
        <v>4005</v>
      </c>
      <c r="H686" t="s">
        <v>4007</v>
      </c>
      <c r="I686" t="s">
        <v>4013</v>
      </c>
      <c r="J686">
        <v>7</v>
      </c>
      <c r="K686">
        <v>179</v>
      </c>
      <c r="L686">
        <v>15</v>
      </c>
      <c r="M686">
        <v>1253</v>
      </c>
      <c r="N686">
        <v>187.95</v>
      </c>
      <c r="O686">
        <v>1065.05</v>
      </c>
    </row>
    <row r="687" spans="1:15" x14ac:dyDescent="0.3">
      <c r="A687" t="s">
        <v>699</v>
      </c>
      <c r="B687" s="1">
        <v>44967</v>
      </c>
      <c r="C687" t="s">
        <v>2697</v>
      </c>
      <c r="D687" t="s">
        <v>4000</v>
      </c>
      <c r="E687">
        <v>24</v>
      </c>
      <c r="F687" t="str">
        <f t="shared" si="10"/>
        <v>18-25</v>
      </c>
      <c r="G687" t="s">
        <v>4001</v>
      </c>
      <c r="H687" t="s">
        <v>4007</v>
      </c>
      <c r="I687" t="s">
        <v>4017</v>
      </c>
      <c r="J687">
        <v>4</v>
      </c>
      <c r="K687">
        <v>2875</v>
      </c>
      <c r="L687">
        <v>10</v>
      </c>
      <c r="M687">
        <v>11500</v>
      </c>
      <c r="N687">
        <v>1150</v>
      </c>
      <c r="O687">
        <v>10350</v>
      </c>
    </row>
    <row r="688" spans="1:15" x14ac:dyDescent="0.3">
      <c r="A688" t="s">
        <v>700</v>
      </c>
      <c r="B688" s="1">
        <v>44701</v>
      </c>
      <c r="C688" t="s">
        <v>2152</v>
      </c>
      <c r="D688" t="s">
        <v>3999</v>
      </c>
      <c r="E688">
        <v>39</v>
      </c>
      <c r="F688" t="str">
        <f t="shared" si="10"/>
        <v>36-45</v>
      </c>
      <c r="G688" t="s">
        <v>4001</v>
      </c>
      <c r="H688" t="s">
        <v>4009</v>
      </c>
      <c r="I688" t="s">
        <v>4014</v>
      </c>
      <c r="J688">
        <v>3</v>
      </c>
      <c r="K688">
        <v>5427</v>
      </c>
      <c r="L688">
        <v>15</v>
      </c>
      <c r="M688">
        <v>16281</v>
      </c>
      <c r="N688">
        <v>2442.15</v>
      </c>
      <c r="O688">
        <v>13838.85</v>
      </c>
    </row>
    <row r="689" spans="1:15" x14ac:dyDescent="0.3">
      <c r="A689" t="s">
        <v>701</v>
      </c>
      <c r="B689" s="1">
        <v>44626</v>
      </c>
      <c r="C689" t="s">
        <v>2698</v>
      </c>
      <c r="D689" t="s">
        <v>3999</v>
      </c>
      <c r="E689">
        <v>25</v>
      </c>
      <c r="F689" t="str">
        <f t="shared" si="10"/>
        <v>18-25</v>
      </c>
      <c r="G689" t="s">
        <v>4002</v>
      </c>
      <c r="H689" t="s">
        <v>4009</v>
      </c>
      <c r="I689" t="s">
        <v>4016</v>
      </c>
      <c r="J689">
        <v>5</v>
      </c>
      <c r="K689">
        <v>6265</v>
      </c>
      <c r="L689">
        <v>5</v>
      </c>
      <c r="M689">
        <v>31325</v>
      </c>
      <c r="N689">
        <v>1566.25</v>
      </c>
      <c r="O689">
        <v>29758.75</v>
      </c>
    </row>
    <row r="690" spans="1:15" x14ac:dyDescent="0.3">
      <c r="A690" t="s">
        <v>702</v>
      </c>
      <c r="B690" s="1">
        <v>44572</v>
      </c>
      <c r="C690" t="s">
        <v>2699</v>
      </c>
      <c r="D690" t="s">
        <v>4000</v>
      </c>
      <c r="E690">
        <v>61</v>
      </c>
      <c r="F690" t="str">
        <f t="shared" si="10"/>
        <v>46+</v>
      </c>
      <c r="G690" t="s">
        <v>4006</v>
      </c>
      <c r="H690" t="s">
        <v>4010</v>
      </c>
      <c r="I690" t="s">
        <v>4015</v>
      </c>
      <c r="J690">
        <v>7</v>
      </c>
      <c r="K690">
        <v>5139</v>
      </c>
      <c r="L690">
        <v>0</v>
      </c>
      <c r="M690">
        <v>35973</v>
      </c>
      <c r="N690">
        <v>0</v>
      </c>
      <c r="O690">
        <v>35973</v>
      </c>
    </row>
    <row r="691" spans="1:15" x14ac:dyDescent="0.3">
      <c r="A691" t="s">
        <v>703</v>
      </c>
      <c r="B691" s="1">
        <v>45194</v>
      </c>
      <c r="C691" t="s">
        <v>2700</v>
      </c>
      <c r="D691" t="s">
        <v>3999</v>
      </c>
      <c r="E691">
        <v>54</v>
      </c>
      <c r="F691" t="str">
        <f t="shared" si="10"/>
        <v>46+</v>
      </c>
      <c r="G691" t="s">
        <v>4001</v>
      </c>
      <c r="H691" t="s">
        <v>4012</v>
      </c>
      <c r="I691" t="s">
        <v>4013</v>
      </c>
      <c r="J691">
        <v>3</v>
      </c>
      <c r="K691">
        <v>5104</v>
      </c>
      <c r="L691">
        <v>5</v>
      </c>
      <c r="M691">
        <v>15312</v>
      </c>
      <c r="N691">
        <v>765.6</v>
      </c>
      <c r="O691">
        <v>14546.4</v>
      </c>
    </row>
    <row r="692" spans="1:15" x14ac:dyDescent="0.3">
      <c r="A692" t="s">
        <v>704</v>
      </c>
      <c r="B692" s="1">
        <v>44979</v>
      </c>
      <c r="C692" t="s">
        <v>2701</v>
      </c>
      <c r="D692" t="s">
        <v>4000</v>
      </c>
      <c r="E692">
        <v>34</v>
      </c>
      <c r="F692" t="str">
        <f t="shared" si="10"/>
        <v>26-35</v>
      </c>
      <c r="G692" t="s">
        <v>4006</v>
      </c>
      <c r="H692" t="s">
        <v>4007</v>
      </c>
      <c r="I692" t="s">
        <v>4016</v>
      </c>
      <c r="J692">
        <v>4</v>
      </c>
      <c r="K692">
        <v>2269</v>
      </c>
      <c r="L692">
        <v>0</v>
      </c>
      <c r="M692">
        <v>9076</v>
      </c>
      <c r="N692">
        <v>0</v>
      </c>
      <c r="O692">
        <v>9076</v>
      </c>
    </row>
    <row r="693" spans="1:15" x14ac:dyDescent="0.3">
      <c r="A693" t="s">
        <v>705</v>
      </c>
      <c r="B693" s="1">
        <v>44593</v>
      </c>
      <c r="C693" t="s">
        <v>2702</v>
      </c>
      <c r="D693" t="s">
        <v>4000</v>
      </c>
      <c r="E693">
        <v>32</v>
      </c>
      <c r="F693" t="str">
        <f t="shared" si="10"/>
        <v>26-35</v>
      </c>
      <c r="G693" t="s">
        <v>4003</v>
      </c>
      <c r="H693" t="s">
        <v>4007</v>
      </c>
      <c r="I693" t="s">
        <v>4013</v>
      </c>
      <c r="J693">
        <v>4</v>
      </c>
      <c r="K693">
        <v>2161</v>
      </c>
      <c r="L693">
        <v>10</v>
      </c>
      <c r="M693">
        <v>8644</v>
      </c>
      <c r="N693">
        <v>864.4</v>
      </c>
      <c r="O693">
        <v>7779.6</v>
      </c>
    </row>
    <row r="694" spans="1:15" x14ac:dyDescent="0.3">
      <c r="A694" t="s">
        <v>706</v>
      </c>
      <c r="B694" s="1">
        <v>44593</v>
      </c>
      <c r="C694" t="s">
        <v>2703</v>
      </c>
      <c r="D694" t="s">
        <v>3999</v>
      </c>
      <c r="E694">
        <v>21</v>
      </c>
      <c r="F694" t="str">
        <f t="shared" si="10"/>
        <v>18-25</v>
      </c>
      <c r="G694" t="s">
        <v>4003</v>
      </c>
      <c r="H694" t="s">
        <v>4008</v>
      </c>
      <c r="I694" t="s">
        <v>4014</v>
      </c>
      <c r="J694">
        <v>6</v>
      </c>
      <c r="K694">
        <v>2494</v>
      </c>
      <c r="L694">
        <v>10</v>
      </c>
      <c r="M694">
        <v>14964</v>
      </c>
      <c r="N694">
        <v>1496.4</v>
      </c>
      <c r="O694">
        <v>13467.6</v>
      </c>
    </row>
    <row r="695" spans="1:15" x14ac:dyDescent="0.3">
      <c r="A695" t="s">
        <v>707</v>
      </c>
      <c r="B695" s="1">
        <v>44827</v>
      </c>
      <c r="C695" t="s">
        <v>2704</v>
      </c>
      <c r="D695" t="s">
        <v>4000</v>
      </c>
      <c r="E695">
        <v>64</v>
      </c>
      <c r="F695" t="str">
        <f t="shared" si="10"/>
        <v>46+</v>
      </c>
      <c r="G695" t="s">
        <v>4005</v>
      </c>
      <c r="H695" t="s">
        <v>4008</v>
      </c>
      <c r="I695" t="s">
        <v>4014</v>
      </c>
      <c r="J695">
        <v>4</v>
      </c>
      <c r="K695">
        <v>1481</v>
      </c>
      <c r="L695">
        <v>0</v>
      </c>
      <c r="M695">
        <v>5924</v>
      </c>
      <c r="N695">
        <v>0</v>
      </c>
      <c r="O695">
        <v>5924</v>
      </c>
    </row>
    <row r="696" spans="1:15" x14ac:dyDescent="0.3">
      <c r="A696" t="s">
        <v>708</v>
      </c>
      <c r="B696" s="1">
        <v>44628</v>
      </c>
      <c r="C696" t="s">
        <v>2705</v>
      </c>
      <c r="D696" t="s">
        <v>4000</v>
      </c>
      <c r="E696">
        <v>60</v>
      </c>
      <c r="F696" t="str">
        <f t="shared" si="10"/>
        <v>46+</v>
      </c>
      <c r="G696" t="s">
        <v>4005</v>
      </c>
      <c r="H696" t="s">
        <v>4011</v>
      </c>
      <c r="I696" t="s">
        <v>4016</v>
      </c>
      <c r="J696">
        <v>2</v>
      </c>
      <c r="K696">
        <v>4541</v>
      </c>
      <c r="L696">
        <v>5</v>
      </c>
      <c r="M696">
        <v>9082</v>
      </c>
      <c r="N696">
        <v>454.1</v>
      </c>
      <c r="O696">
        <v>8627.9</v>
      </c>
    </row>
    <row r="697" spans="1:15" x14ac:dyDescent="0.3">
      <c r="A697" t="s">
        <v>709</v>
      </c>
      <c r="B697" s="1">
        <v>44765</v>
      </c>
      <c r="C697" t="s">
        <v>2706</v>
      </c>
      <c r="D697" t="s">
        <v>4000</v>
      </c>
      <c r="E697">
        <v>52</v>
      </c>
      <c r="F697" t="str">
        <f t="shared" si="10"/>
        <v>46+</v>
      </c>
      <c r="G697" t="s">
        <v>4006</v>
      </c>
      <c r="H697" t="s">
        <v>4010</v>
      </c>
      <c r="I697" t="s">
        <v>4016</v>
      </c>
      <c r="J697">
        <v>4</v>
      </c>
      <c r="K697">
        <v>3339</v>
      </c>
      <c r="L697">
        <v>5</v>
      </c>
      <c r="M697">
        <v>13356</v>
      </c>
      <c r="N697">
        <v>667.8</v>
      </c>
      <c r="O697">
        <v>12688.2</v>
      </c>
    </row>
    <row r="698" spans="1:15" x14ac:dyDescent="0.3">
      <c r="A698" t="s">
        <v>710</v>
      </c>
      <c r="B698" s="1">
        <v>45067</v>
      </c>
      <c r="C698" t="s">
        <v>2707</v>
      </c>
      <c r="D698" t="s">
        <v>4000</v>
      </c>
      <c r="E698">
        <v>42</v>
      </c>
      <c r="F698" t="str">
        <f t="shared" si="10"/>
        <v>36-45</v>
      </c>
      <c r="G698" t="s">
        <v>4003</v>
      </c>
      <c r="H698" t="s">
        <v>4011</v>
      </c>
      <c r="I698" t="s">
        <v>4013</v>
      </c>
      <c r="J698">
        <v>6</v>
      </c>
      <c r="K698">
        <v>7113</v>
      </c>
      <c r="L698">
        <v>5</v>
      </c>
      <c r="M698">
        <v>42678</v>
      </c>
      <c r="N698">
        <v>2133.9</v>
      </c>
      <c r="O698">
        <v>40544.1</v>
      </c>
    </row>
    <row r="699" spans="1:15" x14ac:dyDescent="0.3">
      <c r="A699" t="s">
        <v>711</v>
      </c>
      <c r="B699" s="1">
        <v>44683</v>
      </c>
      <c r="C699" t="s">
        <v>2708</v>
      </c>
      <c r="D699" t="s">
        <v>4000</v>
      </c>
      <c r="E699">
        <v>64</v>
      </c>
      <c r="F699" t="str">
        <f t="shared" si="10"/>
        <v>46+</v>
      </c>
      <c r="G699" t="s">
        <v>4004</v>
      </c>
      <c r="H699" t="s">
        <v>4012</v>
      </c>
      <c r="I699" t="s">
        <v>4016</v>
      </c>
      <c r="J699">
        <v>4</v>
      </c>
      <c r="K699">
        <v>1634</v>
      </c>
      <c r="L699">
        <v>20</v>
      </c>
      <c r="M699">
        <v>6536</v>
      </c>
      <c r="N699">
        <v>1307.2</v>
      </c>
      <c r="O699">
        <v>5228.8</v>
      </c>
    </row>
    <row r="700" spans="1:15" x14ac:dyDescent="0.3">
      <c r="A700" t="s">
        <v>712</v>
      </c>
      <c r="B700" s="1">
        <v>44883</v>
      </c>
      <c r="C700" t="s">
        <v>2709</v>
      </c>
      <c r="D700" t="s">
        <v>3999</v>
      </c>
      <c r="E700">
        <v>61</v>
      </c>
      <c r="F700" t="str">
        <f t="shared" si="10"/>
        <v>46+</v>
      </c>
      <c r="G700" t="s">
        <v>4001</v>
      </c>
      <c r="H700" t="s">
        <v>4008</v>
      </c>
      <c r="I700" t="s">
        <v>4013</v>
      </c>
      <c r="J700">
        <v>6</v>
      </c>
      <c r="K700">
        <v>1331</v>
      </c>
      <c r="L700">
        <v>0</v>
      </c>
      <c r="M700">
        <v>7986</v>
      </c>
      <c r="N700">
        <v>0</v>
      </c>
      <c r="O700">
        <v>7986</v>
      </c>
    </row>
    <row r="701" spans="1:15" x14ac:dyDescent="0.3">
      <c r="A701" t="s">
        <v>713</v>
      </c>
      <c r="B701" s="1">
        <v>45044</v>
      </c>
      <c r="C701" t="s">
        <v>2710</v>
      </c>
      <c r="D701" t="s">
        <v>4000</v>
      </c>
      <c r="E701">
        <v>48</v>
      </c>
      <c r="F701" t="str">
        <f t="shared" si="10"/>
        <v>46+</v>
      </c>
      <c r="G701" t="s">
        <v>4002</v>
      </c>
      <c r="H701" t="s">
        <v>4007</v>
      </c>
      <c r="I701" t="s">
        <v>4013</v>
      </c>
      <c r="J701">
        <v>5</v>
      </c>
      <c r="K701">
        <v>6448</v>
      </c>
      <c r="L701">
        <v>0</v>
      </c>
      <c r="M701">
        <v>32240</v>
      </c>
      <c r="N701">
        <v>0</v>
      </c>
      <c r="O701">
        <v>32240</v>
      </c>
    </row>
    <row r="702" spans="1:15" x14ac:dyDescent="0.3">
      <c r="A702" t="s">
        <v>714</v>
      </c>
      <c r="B702" s="1">
        <v>45265</v>
      </c>
      <c r="C702" t="s">
        <v>2711</v>
      </c>
      <c r="D702" t="s">
        <v>4000</v>
      </c>
      <c r="E702">
        <v>36</v>
      </c>
      <c r="F702" t="str">
        <f t="shared" si="10"/>
        <v>36-45</v>
      </c>
      <c r="G702" t="s">
        <v>4004</v>
      </c>
      <c r="H702" t="s">
        <v>4008</v>
      </c>
      <c r="I702" t="s">
        <v>4015</v>
      </c>
      <c r="J702">
        <v>7</v>
      </c>
      <c r="K702">
        <v>6621</v>
      </c>
      <c r="L702">
        <v>15</v>
      </c>
      <c r="M702">
        <v>46347</v>
      </c>
      <c r="N702">
        <v>6952.05</v>
      </c>
      <c r="O702">
        <v>39394.949999999997</v>
      </c>
    </row>
    <row r="703" spans="1:15" x14ac:dyDescent="0.3">
      <c r="A703" t="s">
        <v>715</v>
      </c>
      <c r="B703" s="1">
        <v>44643</v>
      </c>
      <c r="C703" t="s">
        <v>2712</v>
      </c>
      <c r="D703" t="s">
        <v>3999</v>
      </c>
      <c r="E703">
        <v>61</v>
      </c>
      <c r="F703" t="str">
        <f t="shared" si="10"/>
        <v>46+</v>
      </c>
      <c r="G703" t="s">
        <v>4001</v>
      </c>
      <c r="H703" t="s">
        <v>4007</v>
      </c>
      <c r="I703" t="s">
        <v>4014</v>
      </c>
      <c r="J703">
        <v>1</v>
      </c>
      <c r="K703">
        <v>466</v>
      </c>
      <c r="L703">
        <v>10</v>
      </c>
      <c r="M703">
        <v>466</v>
      </c>
      <c r="N703">
        <v>46.6</v>
      </c>
      <c r="O703">
        <v>419.4</v>
      </c>
    </row>
    <row r="704" spans="1:15" x14ac:dyDescent="0.3">
      <c r="A704" t="s">
        <v>716</v>
      </c>
      <c r="B704" s="1">
        <v>44695</v>
      </c>
      <c r="C704" t="s">
        <v>2713</v>
      </c>
      <c r="D704" t="s">
        <v>3999</v>
      </c>
      <c r="E704">
        <v>42</v>
      </c>
      <c r="F704" t="str">
        <f t="shared" si="10"/>
        <v>36-45</v>
      </c>
      <c r="G704" t="s">
        <v>4004</v>
      </c>
      <c r="H704" t="s">
        <v>4009</v>
      </c>
      <c r="I704" t="s">
        <v>4013</v>
      </c>
      <c r="J704">
        <v>1</v>
      </c>
      <c r="K704">
        <v>265</v>
      </c>
      <c r="L704">
        <v>10</v>
      </c>
      <c r="M704">
        <v>265</v>
      </c>
      <c r="N704">
        <v>26.5</v>
      </c>
      <c r="O704">
        <v>238.5</v>
      </c>
    </row>
    <row r="705" spans="1:15" x14ac:dyDescent="0.3">
      <c r="A705" t="s">
        <v>717</v>
      </c>
      <c r="B705" s="1">
        <v>45185</v>
      </c>
      <c r="C705" t="s">
        <v>2714</v>
      </c>
      <c r="D705" t="s">
        <v>4000</v>
      </c>
      <c r="E705">
        <v>57</v>
      </c>
      <c r="F705" t="str">
        <f t="shared" si="10"/>
        <v>46+</v>
      </c>
      <c r="G705" t="s">
        <v>4003</v>
      </c>
      <c r="H705" t="s">
        <v>4011</v>
      </c>
      <c r="I705" t="s">
        <v>4016</v>
      </c>
      <c r="J705">
        <v>6</v>
      </c>
      <c r="K705">
        <v>4878</v>
      </c>
      <c r="L705">
        <v>10</v>
      </c>
      <c r="M705">
        <v>29268</v>
      </c>
      <c r="N705">
        <v>2926.8</v>
      </c>
      <c r="O705">
        <v>26341.200000000001</v>
      </c>
    </row>
    <row r="706" spans="1:15" x14ac:dyDescent="0.3">
      <c r="A706" t="s">
        <v>718</v>
      </c>
      <c r="B706" s="1">
        <v>45005</v>
      </c>
      <c r="C706" t="s">
        <v>2715</v>
      </c>
      <c r="D706" t="s">
        <v>4000</v>
      </c>
      <c r="E706">
        <v>58</v>
      </c>
      <c r="F706" t="str">
        <f t="shared" ref="F706:F769" si="11">IF(E706&lt;=25,"18-25",IF(E706&lt;=35,"26-35",IF(E706&lt;=45,"36-45","46+")))</f>
        <v>46+</v>
      </c>
      <c r="G706" t="s">
        <v>4004</v>
      </c>
      <c r="H706" t="s">
        <v>4011</v>
      </c>
      <c r="I706" t="s">
        <v>4014</v>
      </c>
      <c r="J706">
        <v>7</v>
      </c>
      <c r="K706">
        <v>4761</v>
      </c>
      <c r="L706">
        <v>10</v>
      </c>
      <c r="M706">
        <v>33327</v>
      </c>
      <c r="N706">
        <v>3332.7</v>
      </c>
      <c r="O706">
        <v>29994.3</v>
      </c>
    </row>
    <row r="707" spans="1:15" x14ac:dyDescent="0.3">
      <c r="A707" t="s">
        <v>719</v>
      </c>
      <c r="B707" s="1">
        <v>45240</v>
      </c>
      <c r="C707" t="s">
        <v>2716</v>
      </c>
      <c r="D707" t="s">
        <v>3999</v>
      </c>
      <c r="E707">
        <v>22</v>
      </c>
      <c r="F707" t="str">
        <f t="shared" si="11"/>
        <v>18-25</v>
      </c>
      <c r="G707" t="s">
        <v>4002</v>
      </c>
      <c r="H707" t="s">
        <v>4010</v>
      </c>
      <c r="I707" t="s">
        <v>4015</v>
      </c>
      <c r="J707">
        <v>1</v>
      </c>
      <c r="K707">
        <v>1068</v>
      </c>
      <c r="L707">
        <v>5</v>
      </c>
      <c r="M707">
        <v>1068</v>
      </c>
      <c r="N707">
        <v>53.4</v>
      </c>
      <c r="O707">
        <v>1014.6</v>
      </c>
    </row>
    <row r="708" spans="1:15" x14ac:dyDescent="0.3">
      <c r="A708" t="s">
        <v>720</v>
      </c>
      <c r="B708" s="1">
        <v>44612</v>
      </c>
      <c r="C708" t="s">
        <v>2717</v>
      </c>
      <c r="D708" t="s">
        <v>4000</v>
      </c>
      <c r="E708">
        <v>59</v>
      </c>
      <c r="F708" t="str">
        <f t="shared" si="11"/>
        <v>46+</v>
      </c>
      <c r="G708" t="s">
        <v>4001</v>
      </c>
      <c r="H708" t="s">
        <v>4007</v>
      </c>
      <c r="I708" t="s">
        <v>4016</v>
      </c>
      <c r="J708">
        <v>2</v>
      </c>
      <c r="K708">
        <v>5685</v>
      </c>
      <c r="L708">
        <v>5</v>
      </c>
      <c r="M708">
        <v>11370</v>
      </c>
      <c r="N708">
        <v>568.5</v>
      </c>
      <c r="O708">
        <v>10801.5</v>
      </c>
    </row>
    <row r="709" spans="1:15" x14ac:dyDescent="0.3">
      <c r="A709" t="s">
        <v>721</v>
      </c>
      <c r="B709" s="1">
        <v>44704</v>
      </c>
      <c r="C709" t="s">
        <v>2718</v>
      </c>
      <c r="D709" t="s">
        <v>4000</v>
      </c>
      <c r="E709">
        <v>51</v>
      </c>
      <c r="F709" t="str">
        <f t="shared" si="11"/>
        <v>46+</v>
      </c>
      <c r="G709" t="s">
        <v>4004</v>
      </c>
      <c r="H709" t="s">
        <v>4007</v>
      </c>
      <c r="I709" t="s">
        <v>4017</v>
      </c>
      <c r="J709">
        <v>5</v>
      </c>
      <c r="K709">
        <v>1155</v>
      </c>
      <c r="L709">
        <v>5</v>
      </c>
      <c r="M709">
        <v>5775</v>
      </c>
      <c r="N709">
        <v>288.75</v>
      </c>
      <c r="O709">
        <v>5486.25</v>
      </c>
    </row>
    <row r="710" spans="1:15" x14ac:dyDescent="0.3">
      <c r="A710" t="s">
        <v>722</v>
      </c>
      <c r="B710" s="1">
        <v>45064</v>
      </c>
      <c r="C710" t="s">
        <v>2719</v>
      </c>
      <c r="D710" t="s">
        <v>4000</v>
      </c>
      <c r="E710">
        <v>32</v>
      </c>
      <c r="F710" t="str">
        <f t="shared" si="11"/>
        <v>26-35</v>
      </c>
      <c r="G710" t="s">
        <v>4003</v>
      </c>
      <c r="H710" t="s">
        <v>4009</v>
      </c>
      <c r="I710" t="s">
        <v>4016</v>
      </c>
      <c r="J710">
        <v>2</v>
      </c>
      <c r="K710">
        <v>4688</v>
      </c>
      <c r="L710">
        <v>0</v>
      </c>
      <c r="M710">
        <v>9376</v>
      </c>
      <c r="N710">
        <v>0</v>
      </c>
      <c r="O710">
        <v>9376</v>
      </c>
    </row>
    <row r="711" spans="1:15" x14ac:dyDescent="0.3">
      <c r="A711" t="s">
        <v>723</v>
      </c>
      <c r="B711" s="1">
        <v>44682</v>
      </c>
      <c r="C711" t="s">
        <v>2720</v>
      </c>
      <c r="D711" t="s">
        <v>3999</v>
      </c>
      <c r="E711">
        <v>48</v>
      </c>
      <c r="F711" t="str">
        <f t="shared" si="11"/>
        <v>46+</v>
      </c>
      <c r="G711" t="s">
        <v>4006</v>
      </c>
      <c r="H711" t="s">
        <v>4008</v>
      </c>
      <c r="I711" t="s">
        <v>4015</v>
      </c>
      <c r="J711">
        <v>7</v>
      </c>
      <c r="K711">
        <v>5768</v>
      </c>
      <c r="L711">
        <v>20</v>
      </c>
      <c r="M711">
        <v>40376</v>
      </c>
      <c r="N711">
        <v>8075.2</v>
      </c>
      <c r="O711">
        <v>32300.799999999999</v>
      </c>
    </row>
    <row r="712" spans="1:15" x14ac:dyDescent="0.3">
      <c r="A712" t="s">
        <v>724</v>
      </c>
      <c r="B712" s="1">
        <v>45283</v>
      </c>
      <c r="C712" t="s">
        <v>2721</v>
      </c>
      <c r="D712" t="s">
        <v>3999</v>
      </c>
      <c r="E712">
        <v>26</v>
      </c>
      <c r="F712" t="str">
        <f t="shared" si="11"/>
        <v>26-35</v>
      </c>
      <c r="G712" t="s">
        <v>4001</v>
      </c>
      <c r="H712" t="s">
        <v>4008</v>
      </c>
      <c r="I712" t="s">
        <v>4016</v>
      </c>
      <c r="J712">
        <v>5</v>
      </c>
      <c r="K712">
        <v>7581</v>
      </c>
      <c r="L712">
        <v>15</v>
      </c>
      <c r="M712">
        <v>37905</v>
      </c>
      <c r="N712">
        <v>5685.75</v>
      </c>
      <c r="O712">
        <v>32219.25</v>
      </c>
    </row>
    <row r="713" spans="1:15" x14ac:dyDescent="0.3">
      <c r="A713" t="s">
        <v>725</v>
      </c>
      <c r="B713" s="1">
        <v>45032</v>
      </c>
      <c r="C713" t="s">
        <v>2722</v>
      </c>
      <c r="D713" t="s">
        <v>3999</v>
      </c>
      <c r="E713">
        <v>34</v>
      </c>
      <c r="F713" t="str">
        <f t="shared" si="11"/>
        <v>26-35</v>
      </c>
      <c r="G713" t="s">
        <v>4001</v>
      </c>
      <c r="H713" t="s">
        <v>4009</v>
      </c>
      <c r="I713" t="s">
        <v>4014</v>
      </c>
      <c r="J713">
        <v>2</v>
      </c>
      <c r="K713">
        <v>1554</v>
      </c>
      <c r="L713">
        <v>10</v>
      </c>
      <c r="M713">
        <v>3108</v>
      </c>
      <c r="N713">
        <v>310.8</v>
      </c>
      <c r="O713">
        <v>2797.2</v>
      </c>
    </row>
    <row r="714" spans="1:15" x14ac:dyDescent="0.3">
      <c r="A714" t="s">
        <v>726</v>
      </c>
      <c r="B714" s="1">
        <v>44962</v>
      </c>
      <c r="C714" t="s">
        <v>2723</v>
      </c>
      <c r="D714" t="s">
        <v>3999</v>
      </c>
      <c r="E714">
        <v>29</v>
      </c>
      <c r="F714" t="str">
        <f t="shared" si="11"/>
        <v>26-35</v>
      </c>
      <c r="G714" t="s">
        <v>4001</v>
      </c>
      <c r="H714" t="s">
        <v>4007</v>
      </c>
      <c r="I714" t="s">
        <v>4016</v>
      </c>
      <c r="J714">
        <v>2</v>
      </c>
      <c r="K714">
        <v>7481</v>
      </c>
      <c r="L714">
        <v>0</v>
      </c>
      <c r="M714">
        <v>14962</v>
      </c>
      <c r="N714">
        <v>0</v>
      </c>
      <c r="O714">
        <v>14962</v>
      </c>
    </row>
    <row r="715" spans="1:15" x14ac:dyDescent="0.3">
      <c r="A715" t="s">
        <v>727</v>
      </c>
      <c r="B715" s="1">
        <v>44985</v>
      </c>
      <c r="C715" t="s">
        <v>2724</v>
      </c>
      <c r="D715" t="s">
        <v>3999</v>
      </c>
      <c r="E715">
        <v>35</v>
      </c>
      <c r="F715" t="str">
        <f t="shared" si="11"/>
        <v>26-35</v>
      </c>
      <c r="G715" t="s">
        <v>4006</v>
      </c>
      <c r="H715" t="s">
        <v>4012</v>
      </c>
      <c r="I715" t="s">
        <v>4015</v>
      </c>
      <c r="J715">
        <v>4</v>
      </c>
      <c r="K715">
        <v>5311</v>
      </c>
      <c r="L715">
        <v>10</v>
      </c>
      <c r="M715">
        <v>21244</v>
      </c>
      <c r="N715">
        <v>2124.4</v>
      </c>
      <c r="O715">
        <v>19119.599999999999</v>
      </c>
    </row>
    <row r="716" spans="1:15" x14ac:dyDescent="0.3">
      <c r="A716" t="s">
        <v>728</v>
      </c>
      <c r="B716" s="1">
        <v>44686</v>
      </c>
      <c r="C716" t="s">
        <v>2725</v>
      </c>
      <c r="D716" t="s">
        <v>4000</v>
      </c>
      <c r="E716">
        <v>30</v>
      </c>
      <c r="F716" t="str">
        <f t="shared" si="11"/>
        <v>26-35</v>
      </c>
      <c r="G716" t="s">
        <v>4002</v>
      </c>
      <c r="H716" t="s">
        <v>4008</v>
      </c>
      <c r="I716" t="s">
        <v>4017</v>
      </c>
      <c r="J716">
        <v>5</v>
      </c>
      <c r="K716">
        <v>7534</v>
      </c>
      <c r="L716">
        <v>0</v>
      </c>
      <c r="M716">
        <v>37670</v>
      </c>
      <c r="N716">
        <v>0</v>
      </c>
      <c r="O716">
        <v>37670</v>
      </c>
    </row>
    <row r="717" spans="1:15" x14ac:dyDescent="0.3">
      <c r="A717" t="s">
        <v>729</v>
      </c>
      <c r="B717" s="1">
        <v>44686</v>
      </c>
      <c r="C717" t="s">
        <v>2726</v>
      </c>
      <c r="D717" t="s">
        <v>4000</v>
      </c>
      <c r="E717">
        <v>23</v>
      </c>
      <c r="F717" t="str">
        <f t="shared" si="11"/>
        <v>18-25</v>
      </c>
      <c r="G717" t="s">
        <v>4006</v>
      </c>
      <c r="H717" t="s">
        <v>4010</v>
      </c>
      <c r="I717" t="s">
        <v>4017</v>
      </c>
      <c r="J717">
        <v>6</v>
      </c>
      <c r="K717">
        <v>1630</v>
      </c>
      <c r="L717">
        <v>15</v>
      </c>
      <c r="M717">
        <v>9780</v>
      </c>
      <c r="N717">
        <v>1467</v>
      </c>
      <c r="O717">
        <v>8313</v>
      </c>
    </row>
    <row r="718" spans="1:15" x14ac:dyDescent="0.3">
      <c r="A718" t="s">
        <v>730</v>
      </c>
      <c r="B718" s="1">
        <v>44584</v>
      </c>
      <c r="C718" t="s">
        <v>2727</v>
      </c>
      <c r="D718" t="s">
        <v>3999</v>
      </c>
      <c r="E718">
        <v>34</v>
      </c>
      <c r="F718" t="str">
        <f t="shared" si="11"/>
        <v>26-35</v>
      </c>
      <c r="G718" t="s">
        <v>4001</v>
      </c>
      <c r="H718" t="s">
        <v>4010</v>
      </c>
      <c r="I718" t="s">
        <v>4017</v>
      </c>
      <c r="J718">
        <v>1</v>
      </c>
      <c r="K718">
        <v>7955</v>
      </c>
      <c r="L718">
        <v>0</v>
      </c>
      <c r="M718">
        <v>7955</v>
      </c>
      <c r="N718">
        <v>0</v>
      </c>
      <c r="O718">
        <v>7955</v>
      </c>
    </row>
    <row r="719" spans="1:15" x14ac:dyDescent="0.3">
      <c r="A719" t="s">
        <v>731</v>
      </c>
      <c r="B719" s="1">
        <v>44950</v>
      </c>
      <c r="C719" t="s">
        <v>2728</v>
      </c>
      <c r="D719" t="s">
        <v>3999</v>
      </c>
      <c r="E719">
        <v>26</v>
      </c>
      <c r="F719" t="str">
        <f t="shared" si="11"/>
        <v>26-35</v>
      </c>
      <c r="G719" t="s">
        <v>4002</v>
      </c>
      <c r="H719" t="s">
        <v>4009</v>
      </c>
      <c r="I719" t="s">
        <v>4014</v>
      </c>
      <c r="J719">
        <v>4</v>
      </c>
      <c r="K719">
        <v>4494</v>
      </c>
      <c r="L719">
        <v>10</v>
      </c>
      <c r="M719">
        <v>17976</v>
      </c>
      <c r="N719">
        <v>1797.6</v>
      </c>
      <c r="O719">
        <v>16178.4</v>
      </c>
    </row>
    <row r="720" spans="1:15" x14ac:dyDescent="0.3">
      <c r="A720" t="s">
        <v>732</v>
      </c>
      <c r="B720" s="1">
        <v>44787</v>
      </c>
      <c r="C720" t="s">
        <v>2729</v>
      </c>
      <c r="D720" t="s">
        <v>3999</v>
      </c>
      <c r="E720">
        <v>64</v>
      </c>
      <c r="F720" t="str">
        <f t="shared" si="11"/>
        <v>46+</v>
      </c>
      <c r="G720" t="s">
        <v>4004</v>
      </c>
      <c r="H720" t="s">
        <v>4007</v>
      </c>
      <c r="I720" t="s">
        <v>4016</v>
      </c>
      <c r="J720">
        <v>4</v>
      </c>
      <c r="K720">
        <v>2370</v>
      </c>
      <c r="L720">
        <v>0</v>
      </c>
      <c r="M720">
        <v>9480</v>
      </c>
      <c r="N720">
        <v>0</v>
      </c>
      <c r="O720">
        <v>9480</v>
      </c>
    </row>
    <row r="721" spans="1:15" x14ac:dyDescent="0.3">
      <c r="A721" t="s">
        <v>733</v>
      </c>
      <c r="B721" s="1">
        <v>45125</v>
      </c>
      <c r="C721" t="s">
        <v>2730</v>
      </c>
      <c r="D721" t="s">
        <v>3999</v>
      </c>
      <c r="E721">
        <v>34</v>
      </c>
      <c r="F721" t="str">
        <f t="shared" si="11"/>
        <v>26-35</v>
      </c>
      <c r="G721" t="s">
        <v>4006</v>
      </c>
      <c r="H721" t="s">
        <v>4012</v>
      </c>
      <c r="I721" t="s">
        <v>4016</v>
      </c>
      <c r="J721">
        <v>7</v>
      </c>
      <c r="K721">
        <v>3519</v>
      </c>
      <c r="L721">
        <v>20</v>
      </c>
      <c r="M721">
        <v>24633</v>
      </c>
      <c r="N721">
        <v>4926.6000000000004</v>
      </c>
      <c r="O721">
        <v>19706.400000000001</v>
      </c>
    </row>
    <row r="722" spans="1:15" x14ac:dyDescent="0.3">
      <c r="A722" t="s">
        <v>734</v>
      </c>
      <c r="B722" s="1">
        <v>44914</v>
      </c>
      <c r="C722" t="s">
        <v>2731</v>
      </c>
      <c r="D722" t="s">
        <v>4000</v>
      </c>
      <c r="E722">
        <v>50</v>
      </c>
      <c r="F722" t="str">
        <f t="shared" si="11"/>
        <v>46+</v>
      </c>
      <c r="G722" t="s">
        <v>4004</v>
      </c>
      <c r="H722" t="s">
        <v>4008</v>
      </c>
      <c r="I722" t="s">
        <v>4016</v>
      </c>
      <c r="J722">
        <v>2</v>
      </c>
      <c r="K722">
        <v>5572</v>
      </c>
      <c r="L722">
        <v>20</v>
      </c>
      <c r="M722">
        <v>11144</v>
      </c>
      <c r="N722">
        <v>2228.8000000000002</v>
      </c>
      <c r="O722">
        <v>8915.2000000000007</v>
      </c>
    </row>
    <row r="723" spans="1:15" x14ac:dyDescent="0.3">
      <c r="A723" t="s">
        <v>735</v>
      </c>
      <c r="B723" s="1">
        <v>45034</v>
      </c>
      <c r="C723" t="s">
        <v>2732</v>
      </c>
      <c r="D723" t="s">
        <v>3999</v>
      </c>
      <c r="E723">
        <v>29</v>
      </c>
      <c r="F723" t="str">
        <f t="shared" si="11"/>
        <v>26-35</v>
      </c>
      <c r="G723" t="s">
        <v>4003</v>
      </c>
      <c r="H723" t="s">
        <v>4007</v>
      </c>
      <c r="I723" t="s">
        <v>4013</v>
      </c>
      <c r="J723">
        <v>7</v>
      </c>
      <c r="K723">
        <v>2069</v>
      </c>
      <c r="L723">
        <v>5</v>
      </c>
      <c r="M723">
        <v>14483</v>
      </c>
      <c r="N723">
        <v>724.15</v>
      </c>
      <c r="O723">
        <v>13758.85</v>
      </c>
    </row>
    <row r="724" spans="1:15" x14ac:dyDescent="0.3">
      <c r="A724" t="s">
        <v>736</v>
      </c>
      <c r="B724" s="1">
        <v>45251</v>
      </c>
      <c r="C724" t="s">
        <v>2733</v>
      </c>
      <c r="D724" t="s">
        <v>3999</v>
      </c>
      <c r="E724">
        <v>27</v>
      </c>
      <c r="F724" t="str">
        <f t="shared" si="11"/>
        <v>26-35</v>
      </c>
      <c r="G724" t="s">
        <v>4001</v>
      </c>
      <c r="H724" t="s">
        <v>4009</v>
      </c>
      <c r="I724" t="s">
        <v>4015</v>
      </c>
      <c r="J724">
        <v>2</v>
      </c>
      <c r="K724">
        <v>4127</v>
      </c>
      <c r="L724">
        <v>0</v>
      </c>
      <c r="M724">
        <v>8254</v>
      </c>
      <c r="N724">
        <v>0</v>
      </c>
      <c r="O724">
        <v>8254</v>
      </c>
    </row>
    <row r="725" spans="1:15" x14ac:dyDescent="0.3">
      <c r="A725" t="s">
        <v>737</v>
      </c>
      <c r="B725" s="1">
        <v>44578</v>
      </c>
      <c r="C725" t="s">
        <v>2734</v>
      </c>
      <c r="D725" t="s">
        <v>4000</v>
      </c>
      <c r="E725">
        <v>18</v>
      </c>
      <c r="F725" t="str">
        <f t="shared" si="11"/>
        <v>18-25</v>
      </c>
      <c r="G725" t="s">
        <v>4001</v>
      </c>
      <c r="H725" t="s">
        <v>4007</v>
      </c>
      <c r="I725" t="s">
        <v>4014</v>
      </c>
      <c r="J725">
        <v>6</v>
      </c>
      <c r="K725">
        <v>5838</v>
      </c>
      <c r="L725">
        <v>5</v>
      </c>
      <c r="M725">
        <v>35028</v>
      </c>
      <c r="N725">
        <v>1751.4</v>
      </c>
      <c r="O725">
        <v>33276.6</v>
      </c>
    </row>
    <row r="726" spans="1:15" x14ac:dyDescent="0.3">
      <c r="A726" t="s">
        <v>738</v>
      </c>
      <c r="B726" s="1">
        <v>44987</v>
      </c>
      <c r="C726" t="s">
        <v>2735</v>
      </c>
      <c r="D726" t="s">
        <v>3999</v>
      </c>
      <c r="E726">
        <v>20</v>
      </c>
      <c r="F726" t="str">
        <f t="shared" si="11"/>
        <v>18-25</v>
      </c>
      <c r="G726" t="s">
        <v>4002</v>
      </c>
      <c r="H726" t="s">
        <v>4007</v>
      </c>
      <c r="I726" t="s">
        <v>4016</v>
      </c>
      <c r="J726">
        <v>4</v>
      </c>
      <c r="K726">
        <v>5667</v>
      </c>
      <c r="L726">
        <v>0</v>
      </c>
      <c r="M726">
        <v>22668</v>
      </c>
      <c r="N726">
        <v>0</v>
      </c>
      <c r="O726">
        <v>22668</v>
      </c>
    </row>
    <row r="727" spans="1:15" x14ac:dyDescent="0.3">
      <c r="A727" t="s">
        <v>739</v>
      </c>
      <c r="B727" s="1">
        <v>45042</v>
      </c>
      <c r="C727" t="s">
        <v>2736</v>
      </c>
      <c r="D727" t="s">
        <v>4000</v>
      </c>
      <c r="E727">
        <v>57</v>
      </c>
      <c r="F727" t="str">
        <f t="shared" si="11"/>
        <v>46+</v>
      </c>
      <c r="G727" t="s">
        <v>4006</v>
      </c>
      <c r="H727" t="s">
        <v>4007</v>
      </c>
      <c r="I727" t="s">
        <v>4017</v>
      </c>
      <c r="J727">
        <v>1</v>
      </c>
      <c r="K727">
        <v>2775</v>
      </c>
      <c r="L727">
        <v>15</v>
      </c>
      <c r="M727">
        <v>2775</v>
      </c>
      <c r="N727">
        <v>416.25</v>
      </c>
      <c r="O727">
        <v>2358.75</v>
      </c>
    </row>
    <row r="728" spans="1:15" x14ac:dyDescent="0.3">
      <c r="A728" t="s">
        <v>740</v>
      </c>
      <c r="B728" s="1">
        <v>44937</v>
      </c>
      <c r="C728" t="s">
        <v>2737</v>
      </c>
      <c r="D728" t="s">
        <v>4000</v>
      </c>
      <c r="E728">
        <v>58</v>
      </c>
      <c r="F728" t="str">
        <f t="shared" si="11"/>
        <v>46+</v>
      </c>
      <c r="G728" t="s">
        <v>4005</v>
      </c>
      <c r="H728" t="s">
        <v>4011</v>
      </c>
      <c r="I728" t="s">
        <v>4015</v>
      </c>
      <c r="J728">
        <v>2</v>
      </c>
      <c r="K728">
        <v>4114</v>
      </c>
      <c r="L728">
        <v>15</v>
      </c>
      <c r="M728">
        <v>8228</v>
      </c>
      <c r="N728">
        <v>1234.2</v>
      </c>
      <c r="O728">
        <v>6993.8</v>
      </c>
    </row>
    <row r="729" spans="1:15" x14ac:dyDescent="0.3">
      <c r="A729" t="s">
        <v>741</v>
      </c>
      <c r="B729" s="1">
        <v>45189</v>
      </c>
      <c r="C729" t="s">
        <v>2738</v>
      </c>
      <c r="D729" t="s">
        <v>3999</v>
      </c>
      <c r="E729">
        <v>42</v>
      </c>
      <c r="F729" t="str">
        <f t="shared" si="11"/>
        <v>36-45</v>
      </c>
      <c r="G729" t="s">
        <v>4005</v>
      </c>
      <c r="H729" t="s">
        <v>4007</v>
      </c>
      <c r="I729" t="s">
        <v>4014</v>
      </c>
      <c r="J729">
        <v>1</v>
      </c>
      <c r="K729">
        <v>396</v>
      </c>
      <c r="L729">
        <v>10</v>
      </c>
      <c r="M729">
        <v>396</v>
      </c>
      <c r="N729">
        <v>39.6</v>
      </c>
      <c r="O729">
        <v>356.4</v>
      </c>
    </row>
    <row r="730" spans="1:15" x14ac:dyDescent="0.3">
      <c r="A730" t="s">
        <v>742</v>
      </c>
      <c r="B730" s="1">
        <v>44861</v>
      </c>
      <c r="C730" t="s">
        <v>2739</v>
      </c>
      <c r="D730" t="s">
        <v>3999</v>
      </c>
      <c r="E730">
        <v>22</v>
      </c>
      <c r="F730" t="str">
        <f t="shared" si="11"/>
        <v>18-25</v>
      </c>
      <c r="G730" t="s">
        <v>4003</v>
      </c>
      <c r="H730" t="s">
        <v>4012</v>
      </c>
      <c r="I730" t="s">
        <v>4016</v>
      </c>
      <c r="J730">
        <v>4</v>
      </c>
      <c r="K730">
        <v>4049</v>
      </c>
      <c r="L730">
        <v>15</v>
      </c>
      <c r="M730">
        <v>16196</v>
      </c>
      <c r="N730">
        <v>2429.4</v>
      </c>
      <c r="O730">
        <v>13766.6</v>
      </c>
    </row>
    <row r="731" spans="1:15" x14ac:dyDescent="0.3">
      <c r="A731" t="s">
        <v>743</v>
      </c>
      <c r="B731" s="1">
        <v>45004</v>
      </c>
      <c r="C731" t="s">
        <v>2740</v>
      </c>
      <c r="D731" t="s">
        <v>4000</v>
      </c>
      <c r="E731">
        <v>38</v>
      </c>
      <c r="F731" t="str">
        <f t="shared" si="11"/>
        <v>36-45</v>
      </c>
      <c r="G731" t="s">
        <v>4004</v>
      </c>
      <c r="H731" t="s">
        <v>4009</v>
      </c>
      <c r="I731" t="s">
        <v>4015</v>
      </c>
      <c r="J731">
        <v>4</v>
      </c>
      <c r="K731">
        <v>5989</v>
      </c>
      <c r="L731">
        <v>5</v>
      </c>
      <c r="M731">
        <v>23956</v>
      </c>
      <c r="N731">
        <v>1197.8</v>
      </c>
      <c r="O731">
        <v>22758.2</v>
      </c>
    </row>
    <row r="732" spans="1:15" x14ac:dyDescent="0.3">
      <c r="A732" t="s">
        <v>744</v>
      </c>
      <c r="B732" s="1">
        <v>45221</v>
      </c>
      <c r="C732" t="s">
        <v>2741</v>
      </c>
      <c r="D732" t="s">
        <v>4000</v>
      </c>
      <c r="E732">
        <v>34</v>
      </c>
      <c r="F732" t="str">
        <f t="shared" si="11"/>
        <v>26-35</v>
      </c>
      <c r="G732" t="s">
        <v>4004</v>
      </c>
      <c r="H732" t="s">
        <v>4009</v>
      </c>
      <c r="I732" t="s">
        <v>4017</v>
      </c>
      <c r="J732">
        <v>5</v>
      </c>
      <c r="K732">
        <v>2866</v>
      </c>
      <c r="L732">
        <v>0</v>
      </c>
      <c r="M732">
        <v>14330</v>
      </c>
      <c r="N732">
        <v>0</v>
      </c>
      <c r="O732">
        <v>14330</v>
      </c>
    </row>
    <row r="733" spans="1:15" x14ac:dyDescent="0.3">
      <c r="A733" t="s">
        <v>745</v>
      </c>
      <c r="B733" s="1">
        <v>45284</v>
      </c>
      <c r="C733" t="s">
        <v>2742</v>
      </c>
      <c r="D733" t="s">
        <v>4000</v>
      </c>
      <c r="E733">
        <v>34</v>
      </c>
      <c r="F733" t="str">
        <f t="shared" si="11"/>
        <v>26-35</v>
      </c>
      <c r="G733" t="s">
        <v>4004</v>
      </c>
      <c r="H733" t="s">
        <v>4010</v>
      </c>
      <c r="I733" t="s">
        <v>4017</v>
      </c>
      <c r="J733">
        <v>1</v>
      </c>
      <c r="K733">
        <v>1431</v>
      </c>
      <c r="L733">
        <v>5</v>
      </c>
      <c r="M733">
        <v>1431</v>
      </c>
      <c r="N733">
        <v>71.55</v>
      </c>
      <c r="O733">
        <v>1359.45</v>
      </c>
    </row>
    <row r="734" spans="1:15" x14ac:dyDescent="0.3">
      <c r="A734" t="s">
        <v>746</v>
      </c>
      <c r="B734" s="1">
        <v>45003</v>
      </c>
      <c r="C734" t="s">
        <v>2743</v>
      </c>
      <c r="D734" t="s">
        <v>3999</v>
      </c>
      <c r="E734">
        <v>46</v>
      </c>
      <c r="F734" t="str">
        <f t="shared" si="11"/>
        <v>46+</v>
      </c>
      <c r="G734" t="s">
        <v>4002</v>
      </c>
      <c r="H734" t="s">
        <v>4007</v>
      </c>
      <c r="I734" t="s">
        <v>4017</v>
      </c>
      <c r="J734">
        <v>1</v>
      </c>
      <c r="K734">
        <v>5509</v>
      </c>
      <c r="L734">
        <v>0</v>
      </c>
      <c r="M734">
        <v>5509</v>
      </c>
      <c r="N734">
        <v>0</v>
      </c>
      <c r="O734">
        <v>5509</v>
      </c>
    </row>
    <row r="735" spans="1:15" x14ac:dyDescent="0.3">
      <c r="A735" t="s">
        <v>747</v>
      </c>
      <c r="B735" s="1">
        <v>44562</v>
      </c>
      <c r="C735" t="s">
        <v>2744</v>
      </c>
      <c r="D735" t="s">
        <v>4000</v>
      </c>
      <c r="E735">
        <v>41</v>
      </c>
      <c r="F735" t="str">
        <f t="shared" si="11"/>
        <v>36-45</v>
      </c>
      <c r="G735" t="s">
        <v>4001</v>
      </c>
      <c r="H735" t="s">
        <v>4007</v>
      </c>
      <c r="I735" t="s">
        <v>4016</v>
      </c>
      <c r="J735">
        <v>4</v>
      </c>
      <c r="K735">
        <v>2485</v>
      </c>
      <c r="L735">
        <v>0</v>
      </c>
      <c r="M735">
        <v>9940</v>
      </c>
      <c r="N735">
        <v>0</v>
      </c>
      <c r="O735">
        <v>9940</v>
      </c>
    </row>
    <row r="736" spans="1:15" x14ac:dyDescent="0.3">
      <c r="A736" t="s">
        <v>748</v>
      </c>
      <c r="B736" s="1">
        <v>45086</v>
      </c>
      <c r="C736" t="s">
        <v>2745</v>
      </c>
      <c r="D736" t="s">
        <v>3999</v>
      </c>
      <c r="E736">
        <v>39</v>
      </c>
      <c r="F736" t="str">
        <f t="shared" si="11"/>
        <v>36-45</v>
      </c>
      <c r="G736" t="s">
        <v>4006</v>
      </c>
      <c r="H736" t="s">
        <v>4010</v>
      </c>
      <c r="I736" t="s">
        <v>4016</v>
      </c>
      <c r="J736">
        <v>3</v>
      </c>
      <c r="K736">
        <v>2263</v>
      </c>
      <c r="L736">
        <v>0</v>
      </c>
      <c r="M736">
        <v>6789</v>
      </c>
      <c r="N736">
        <v>0</v>
      </c>
      <c r="O736">
        <v>6789</v>
      </c>
    </row>
    <row r="737" spans="1:15" x14ac:dyDescent="0.3">
      <c r="A737" t="s">
        <v>749</v>
      </c>
      <c r="B737" s="1">
        <v>44607</v>
      </c>
      <c r="C737" t="s">
        <v>2746</v>
      </c>
      <c r="D737" t="s">
        <v>3999</v>
      </c>
      <c r="E737">
        <v>45</v>
      </c>
      <c r="F737" t="str">
        <f t="shared" si="11"/>
        <v>36-45</v>
      </c>
      <c r="G737" t="s">
        <v>4006</v>
      </c>
      <c r="H737" t="s">
        <v>4007</v>
      </c>
      <c r="I737" t="s">
        <v>4017</v>
      </c>
      <c r="J737">
        <v>7</v>
      </c>
      <c r="K737">
        <v>6749</v>
      </c>
      <c r="L737">
        <v>20</v>
      </c>
      <c r="M737">
        <v>47243</v>
      </c>
      <c r="N737">
        <v>9448.6</v>
      </c>
      <c r="O737">
        <v>37794.400000000001</v>
      </c>
    </row>
    <row r="738" spans="1:15" x14ac:dyDescent="0.3">
      <c r="A738" t="s">
        <v>750</v>
      </c>
      <c r="B738" s="1">
        <v>44839</v>
      </c>
      <c r="C738" t="s">
        <v>2747</v>
      </c>
      <c r="D738" t="s">
        <v>4000</v>
      </c>
      <c r="E738">
        <v>29</v>
      </c>
      <c r="F738" t="str">
        <f t="shared" si="11"/>
        <v>26-35</v>
      </c>
      <c r="G738" t="s">
        <v>4004</v>
      </c>
      <c r="H738" t="s">
        <v>4007</v>
      </c>
      <c r="I738" t="s">
        <v>4016</v>
      </c>
      <c r="J738">
        <v>3</v>
      </c>
      <c r="K738">
        <v>4549</v>
      </c>
      <c r="L738">
        <v>0</v>
      </c>
      <c r="M738">
        <v>13647</v>
      </c>
      <c r="N738">
        <v>0</v>
      </c>
      <c r="O738">
        <v>13647</v>
      </c>
    </row>
    <row r="739" spans="1:15" x14ac:dyDescent="0.3">
      <c r="A739" t="s">
        <v>751</v>
      </c>
      <c r="B739" s="1">
        <v>44736</v>
      </c>
      <c r="C739" t="s">
        <v>2748</v>
      </c>
      <c r="D739" t="s">
        <v>3999</v>
      </c>
      <c r="E739">
        <v>28</v>
      </c>
      <c r="F739" t="str">
        <f t="shared" si="11"/>
        <v>26-35</v>
      </c>
      <c r="G739" t="s">
        <v>4001</v>
      </c>
      <c r="H739" t="s">
        <v>4009</v>
      </c>
      <c r="I739" t="s">
        <v>4015</v>
      </c>
      <c r="J739">
        <v>5</v>
      </c>
      <c r="K739">
        <v>7515</v>
      </c>
      <c r="L739">
        <v>5</v>
      </c>
      <c r="M739">
        <v>37575</v>
      </c>
      <c r="N739">
        <v>1878.75</v>
      </c>
      <c r="O739">
        <v>35696.25</v>
      </c>
    </row>
    <row r="740" spans="1:15" x14ac:dyDescent="0.3">
      <c r="A740" t="s">
        <v>752</v>
      </c>
      <c r="B740" s="1">
        <v>45037</v>
      </c>
      <c r="C740" t="s">
        <v>2749</v>
      </c>
      <c r="D740" t="s">
        <v>4000</v>
      </c>
      <c r="E740">
        <v>51</v>
      </c>
      <c r="F740" t="str">
        <f t="shared" si="11"/>
        <v>46+</v>
      </c>
      <c r="G740" t="s">
        <v>4002</v>
      </c>
      <c r="H740" t="s">
        <v>4007</v>
      </c>
      <c r="I740" t="s">
        <v>4015</v>
      </c>
      <c r="J740">
        <v>5</v>
      </c>
      <c r="K740">
        <v>4916</v>
      </c>
      <c r="L740">
        <v>5</v>
      </c>
      <c r="M740">
        <v>24580</v>
      </c>
      <c r="N740">
        <v>1229</v>
      </c>
      <c r="O740">
        <v>23351</v>
      </c>
    </row>
    <row r="741" spans="1:15" x14ac:dyDescent="0.3">
      <c r="A741" t="s">
        <v>753</v>
      </c>
      <c r="B741" s="1">
        <v>45028</v>
      </c>
      <c r="C741" t="s">
        <v>2750</v>
      </c>
      <c r="D741" t="s">
        <v>3999</v>
      </c>
      <c r="E741">
        <v>40</v>
      </c>
      <c r="F741" t="str">
        <f t="shared" si="11"/>
        <v>36-45</v>
      </c>
      <c r="G741" t="s">
        <v>4005</v>
      </c>
      <c r="H741" t="s">
        <v>4008</v>
      </c>
      <c r="I741" t="s">
        <v>4014</v>
      </c>
      <c r="J741">
        <v>6</v>
      </c>
      <c r="K741">
        <v>4214</v>
      </c>
      <c r="L741">
        <v>0</v>
      </c>
      <c r="M741">
        <v>25284</v>
      </c>
      <c r="N741">
        <v>0</v>
      </c>
      <c r="O741">
        <v>25284</v>
      </c>
    </row>
    <row r="742" spans="1:15" x14ac:dyDescent="0.3">
      <c r="A742" t="s">
        <v>754</v>
      </c>
      <c r="B742" s="1">
        <v>44833</v>
      </c>
      <c r="C742" t="s">
        <v>2751</v>
      </c>
      <c r="D742" t="s">
        <v>4000</v>
      </c>
      <c r="E742">
        <v>32</v>
      </c>
      <c r="F742" t="str">
        <f t="shared" si="11"/>
        <v>26-35</v>
      </c>
      <c r="G742" t="s">
        <v>4005</v>
      </c>
      <c r="H742" t="s">
        <v>4007</v>
      </c>
      <c r="I742" t="s">
        <v>4015</v>
      </c>
      <c r="J742">
        <v>2</v>
      </c>
      <c r="K742">
        <v>4204</v>
      </c>
      <c r="L742">
        <v>0</v>
      </c>
      <c r="M742">
        <v>8408</v>
      </c>
      <c r="N742">
        <v>0</v>
      </c>
      <c r="O742">
        <v>8408</v>
      </c>
    </row>
    <row r="743" spans="1:15" x14ac:dyDescent="0.3">
      <c r="A743" t="s">
        <v>755</v>
      </c>
      <c r="B743" s="1">
        <v>44924</v>
      </c>
      <c r="C743" t="s">
        <v>2752</v>
      </c>
      <c r="D743" t="s">
        <v>4000</v>
      </c>
      <c r="E743">
        <v>56</v>
      </c>
      <c r="F743" t="str">
        <f t="shared" si="11"/>
        <v>46+</v>
      </c>
      <c r="G743" t="s">
        <v>4003</v>
      </c>
      <c r="H743" t="s">
        <v>4007</v>
      </c>
      <c r="I743" t="s">
        <v>4015</v>
      </c>
      <c r="J743">
        <v>1</v>
      </c>
      <c r="K743">
        <v>4510</v>
      </c>
      <c r="L743">
        <v>15</v>
      </c>
      <c r="M743">
        <v>4510</v>
      </c>
      <c r="N743">
        <v>676.5</v>
      </c>
      <c r="O743">
        <v>3833.5</v>
      </c>
    </row>
    <row r="744" spans="1:15" x14ac:dyDescent="0.3">
      <c r="A744" t="s">
        <v>756</v>
      </c>
      <c r="B744" s="1">
        <v>44812</v>
      </c>
      <c r="C744" t="s">
        <v>2753</v>
      </c>
      <c r="D744" t="s">
        <v>3999</v>
      </c>
      <c r="E744">
        <v>55</v>
      </c>
      <c r="F744" t="str">
        <f t="shared" si="11"/>
        <v>46+</v>
      </c>
      <c r="G744" t="s">
        <v>4004</v>
      </c>
      <c r="H744" t="s">
        <v>4008</v>
      </c>
      <c r="I744" t="s">
        <v>4016</v>
      </c>
      <c r="J744">
        <v>1</v>
      </c>
      <c r="K744">
        <v>1396</v>
      </c>
      <c r="L744">
        <v>0</v>
      </c>
      <c r="M744">
        <v>1396</v>
      </c>
      <c r="N744">
        <v>0</v>
      </c>
      <c r="O744">
        <v>1396</v>
      </c>
    </row>
    <row r="745" spans="1:15" x14ac:dyDescent="0.3">
      <c r="A745" t="s">
        <v>757</v>
      </c>
      <c r="B745" s="1">
        <v>44965</v>
      </c>
      <c r="C745" t="s">
        <v>2754</v>
      </c>
      <c r="D745" t="s">
        <v>4000</v>
      </c>
      <c r="E745">
        <v>43</v>
      </c>
      <c r="F745" t="str">
        <f t="shared" si="11"/>
        <v>36-45</v>
      </c>
      <c r="G745" t="s">
        <v>4005</v>
      </c>
      <c r="H745" t="s">
        <v>4009</v>
      </c>
      <c r="I745" t="s">
        <v>4015</v>
      </c>
      <c r="J745">
        <v>4</v>
      </c>
      <c r="K745">
        <v>4240</v>
      </c>
      <c r="L745">
        <v>5</v>
      </c>
      <c r="M745">
        <v>16960</v>
      </c>
      <c r="N745">
        <v>848</v>
      </c>
      <c r="O745">
        <v>16112</v>
      </c>
    </row>
    <row r="746" spans="1:15" x14ac:dyDescent="0.3">
      <c r="A746" t="s">
        <v>758</v>
      </c>
      <c r="B746" s="1">
        <v>45276</v>
      </c>
      <c r="C746" t="s">
        <v>2755</v>
      </c>
      <c r="D746" t="s">
        <v>3999</v>
      </c>
      <c r="E746">
        <v>39</v>
      </c>
      <c r="F746" t="str">
        <f t="shared" si="11"/>
        <v>36-45</v>
      </c>
      <c r="G746" t="s">
        <v>4004</v>
      </c>
      <c r="H746" t="s">
        <v>4012</v>
      </c>
      <c r="I746" t="s">
        <v>4015</v>
      </c>
      <c r="J746">
        <v>7</v>
      </c>
      <c r="K746">
        <v>7338</v>
      </c>
      <c r="L746">
        <v>10</v>
      </c>
      <c r="M746">
        <v>51366</v>
      </c>
      <c r="N746">
        <v>5136.6000000000004</v>
      </c>
      <c r="O746">
        <v>46229.4</v>
      </c>
    </row>
    <row r="747" spans="1:15" x14ac:dyDescent="0.3">
      <c r="A747" t="s">
        <v>759</v>
      </c>
      <c r="B747" s="1">
        <v>45053</v>
      </c>
      <c r="C747" t="s">
        <v>2756</v>
      </c>
      <c r="D747" t="s">
        <v>3999</v>
      </c>
      <c r="E747">
        <v>61</v>
      </c>
      <c r="F747" t="str">
        <f t="shared" si="11"/>
        <v>46+</v>
      </c>
      <c r="G747" t="s">
        <v>4001</v>
      </c>
      <c r="H747" t="s">
        <v>4009</v>
      </c>
      <c r="I747" t="s">
        <v>4015</v>
      </c>
      <c r="J747">
        <v>5</v>
      </c>
      <c r="K747">
        <v>3928</v>
      </c>
      <c r="L747">
        <v>15</v>
      </c>
      <c r="M747">
        <v>19640</v>
      </c>
      <c r="N747">
        <v>2946</v>
      </c>
      <c r="O747">
        <v>16694</v>
      </c>
    </row>
    <row r="748" spans="1:15" x14ac:dyDescent="0.3">
      <c r="A748" t="s">
        <v>760</v>
      </c>
      <c r="B748" s="1">
        <v>45163</v>
      </c>
      <c r="C748" t="s">
        <v>2757</v>
      </c>
      <c r="D748" t="s">
        <v>4000</v>
      </c>
      <c r="E748">
        <v>55</v>
      </c>
      <c r="F748" t="str">
        <f t="shared" si="11"/>
        <v>46+</v>
      </c>
      <c r="G748" t="s">
        <v>4002</v>
      </c>
      <c r="H748" t="s">
        <v>4009</v>
      </c>
      <c r="I748" t="s">
        <v>4015</v>
      </c>
      <c r="J748">
        <v>5</v>
      </c>
      <c r="K748">
        <v>3714</v>
      </c>
      <c r="L748">
        <v>0</v>
      </c>
      <c r="M748">
        <v>18570</v>
      </c>
      <c r="N748">
        <v>0</v>
      </c>
      <c r="O748">
        <v>18570</v>
      </c>
    </row>
    <row r="749" spans="1:15" x14ac:dyDescent="0.3">
      <c r="A749" t="s">
        <v>761</v>
      </c>
      <c r="B749" s="1">
        <v>45162</v>
      </c>
      <c r="C749" t="s">
        <v>2758</v>
      </c>
      <c r="D749" t="s">
        <v>4000</v>
      </c>
      <c r="E749">
        <v>61</v>
      </c>
      <c r="F749" t="str">
        <f t="shared" si="11"/>
        <v>46+</v>
      </c>
      <c r="G749" t="s">
        <v>4004</v>
      </c>
      <c r="H749" t="s">
        <v>4010</v>
      </c>
      <c r="I749" t="s">
        <v>4016</v>
      </c>
      <c r="J749">
        <v>5</v>
      </c>
      <c r="K749">
        <v>1507</v>
      </c>
      <c r="L749">
        <v>15</v>
      </c>
      <c r="M749">
        <v>7535</v>
      </c>
      <c r="N749">
        <v>1130.25</v>
      </c>
      <c r="O749">
        <v>6404.75</v>
      </c>
    </row>
    <row r="750" spans="1:15" x14ac:dyDescent="0.3">
      <c r="A750" t="s">
        <v>762</v>
      </c>
      <c r="B750" s="1">
        <v>45106</v>
      </c>
      <c r="C750" t="s">
        <v>2759</v>
      </c>
      <c r="D750" t="s">
        <v>4000</v>
      </c>
      <c r="E750">
        <v>24</v>
      </c>
      <c r="F750" t="str">
        <f t="shared" si="11"/>
        <v>18-25</v>
      </c>
      <c r="G750" t="s">
        <v>4001</v>
      </c>
      <c r="H750" t="s">
        <v>4007</v>
      </c>
      <c r="I750" t="s">
        <v>4013</v>
      </c>
      <c r="J750">
        <v>4</v>
      </c>
      <c r="K750">
        <v>7858</v>
      </c>
      <c r="L750">
        <v>5</v>
      </c>
      <c r="M750">
        <v>31432</v>
      </c>
      <c r="N750">
        <v>1571.6</v>
      </c>
      <c r="O750">
        <v>29860.400000000001</v>
      </c>
    </row>
    <row r="751" spans="1:15" x14ac:dyDescent="0.3">
      <c r="A751" t="s">
        <v>763</v>
      </c>
      <c r="B751" s="1">
        <v>45113</v>
      </c>
      <c r="C751" t="s">
        <v>2760</v>
      </c>
      <c r="D751" t="s">
        <v>4000</v>
      </c>
      <c r="E751">
        <v>47</v>
      </c>
      <c r="F751" t="str">
        <f t="shared" si="11"/>
        <v>46+</v>
      </c>
      <c r="G751" t="s">
        <v>4005</v>
      </c>
      <c r="H751" t="s">
        <v>4007</v>
      </c>
      <c r="I751" t="s">
        <v>4013</v>
      </c>
      <c r="J751">
        <v>4</v>
      </c>
      <c r="K751">
        <v>4129</v>
      </c>
      <c r="L751">
        <v>0</v>
      </c>
      <c r="M751">
        <v>16516</v>
      </c>
      <c r="N751">
        <v>0</v>
      </c>
      <c r="O751">
        <v>16516</v>
      </c>
    </row>
    <row r="752" spans="1:15" x14ac:dyDescent="0.3">
      <c r="A752" t="s">
        <v>764</v>
      </c>
      <c r="B752" s="1">
        <v>45250</v>
      </c>
      <c r="C752" t="s">
        <v>2761</v>
      </c>
      <c r="D752" t="s">
        <v>3999</v>
      </c>
      <c r="E752">
        <v>57</v>
      </c>
      <c r="F752" t="str">
        <f t="shared" si="11"/>
        <v>46+</v>
      </c>
      <c r="G752" t="s">
        <v>4005</v>
      </c>
      <c r="H752" t="s">
        <v>4009</v>
      </c>
      <c r="I752" t="s">
        <v>4014</v>
      </c>
      <c r="J752">
        <v>3</v>
      </c>
      <c r="K752">
        <v>528</v>
      </c>
      <c r="L752">
        <v>15</v>
      </c>
      <c r="M752">
        <v>1584</v>
      </c>
      <c r="N752">
        <v>237.6</v>
      </c>
      <c r="O752">
        <v>1346.4</v>
      </c>
    </row>
    <row r="753" spans="1:15" x14ac:dyDescent="0.3">
      <c r="A753" t="s">
        <v>765</v>
      </c>
      <c r="B753" s="1">
        <v>44983</v>
      </c>
      <c r="C753" t="s">
        <v>2762</v>
      </c>
      <c r="D753" t="s">
        <v>4000</v>
      </c>
      <c r="E753">
        <v>43</v>
      </c>
      <c r="F753" t="str">
        <f t="shared" si="11"/>
        <v>36-45</v>
      </c>
      <c r="G753" t="s">
        <v>4002</v>
      </c>
      <c r="H753" t="s">
        <v>4008</v>
      </c>
      <c r="I753" t="s">
        <v>4015</v>
      </c>
      <c r="J753">
        <v>3</v>
      </c>
      <c r="K753">
        <v>6626</v>
      </c>
      <c r="L753">
        <v>0</v>
      </c>
      <c r="M753">
        <v>19878</v>
      </c>
      <c r="N753">
        <v>0</v>
      </c>
      <c r="O753">
        <v>19878</v>
      </c>
    </row>
    <row r="754" spans="1:15" x14ac:dyDescent="0.3">
      <c r="A754" t="s">
        <v>766</v>
      </c>
      <c r="B754" s="1">
        <v>45196</v>
      </c>
      <c r="C754" t="s">
        <v>2763</v>
      </c>
      <c r="D754" t="s">
        <v>3999</v>
      </c>
      <c r="E754">
        <v>56</v>
      </c>
      <c r="F754" t="str">
        <f t="shared" si="11"/>
        <v>46+</v>
      </c>
      <c r="G754" t="s">
        <v>4001</v>
      </c>
      <c r="H754" t="s">
        <v>4008</v>
      </c>
      <c r="I754" t="s">
        <v>4014</v>
      </c>
      <c r="J754">
        <v>5</v>
      </c>
      <c r="K754">
        <v>5967</v>
      </c>
      <c r="L754">
        <v>5</v>
      </c>
      <c r="M754">
        <v>29835</v>
      </c>
      <c r="N754">
        <v>1491.75</v>
      </c>
      <c r="O754">
        <v>28343.25</v>
      </c>
    </row>
    <row r="755" spans="1:15" x14ac:dyDescent="0.3">
      <c r="A755" t="s">
        <v>767</v>
      </c>
      <c r="B755" s="1">
        <v>44601</v>
      </c>
      <c r="C755" t="s">
        <v>2764</v>
      </c>
      <c r="D755" t="s">
        <v>4000</v>
      </c>
      <c r="E755">
        <v>20</v>
      </c>
      <c r="F755" t="str">
        <f t="shared" si="11"/>
        <v>18-25</v>
      </c>
      <c r="G755" t="s">
        <v>4001</v>
      </c>
      <c r="H755" t="s">
        <v>4007</v>
      </c>
      <c r="I755" t="s">
        <v>4013</v>
      </c>
      <c r="J755">
        <v>1</v>
      </c>
      <c r="K755">
        <v>2152</v>
      </c>
      <c r="L755">
        <v>10</v>
      </c>
      <c r="M755">
        <v>2152</v>
      </c>
      <c r="N755">
        <v>215.2</v>
      </c>
      <c r="O755">
        <v>1936.8</v>
      </c>
    </row>
    <row r="756" spans="1:15" x14ac:dyDescent="0.3">
      <c r="A756" t="s">
        <v>768</v>
      </c>
      <c r="B756" s="1">
        <v>45101</v>
      </c>
      <c r="C756" t="s">
        <v>2765</v>
      </c>
      <c r="D756" t="s">
        <v>4000</v>
      </c>
      <c r="E756">
        <v>25</v>
      </c>
      <c r="F756" t="str">
        <f t="shared" si="11"/>
        <v>18-25</v>
      </c>
      <c r="G756" t="s">
        <v>4005</v>
      </c>
      <c r="H756" t="s">
        <v>4009</v>
      </c>
      <c r="I756" t="s">
        <v>4013</v>
      </c>
      <c r="J756">
        <v>7</v>
      </c>
      <c r="K756">
        <v>931</v>
      </c>
      <c r="L756">
        <v>5</v>
      </c>
      <c r="M756">
        <v>6517</v>
      </c>
      <c r="N756">
        <v>325.85000000000002</v>
      </c>
      <c r="O756">
        <v>6191.15</v>
      </c>
    </row>
    <row r="757" spans="1:15" x14ac:dyDescent="0.3">
      <c r="A757" t="s">
        <v>769</v>
      </c>
      <c r="B757" s="1">
        <v>44997</v>
      </c>
      <c r="C757" t="s">
        <v>2766</v>
      </c>
      <c r="D757" t="s">
        <v>4000</v>
      </c>
      <c r="E757">
        <v>25</v>
      </c>
      <c r="F757" t="str">
        <f t="shared" si="11"/>
        <v>18-25</v>
      </c>
      <c r="G757" t="s">
        <v>4006</v>
      </c>
      <c r="H757" t="s">
        <v>4009</v>
      </c>
      <c r="I757" t="s">
        <v>4014</v>
      </c>
      <c r="J757">
        <v>6</v>
      </c>
      <c r="K757">
        <v>3276</v>
      </c>
      <c r="L757">
        <v>10</v>
      </c>
      <c r="M757">
        <v>19656</v>
      </c>
      <c r="N757">
        <v>1965.6</v>
      </c>
      <c r="O757">
        <v>17690.400000000001</v>
      </c>
    </row>
    <row r="758" spans="1:15" x14ac:dyDescent="0.3">
      <c r="A758" t="s">
        <v>770</v>
      </c>
      <c r="B758" s="1">
        <v>45064</v>
      </c>
      <c r="C758" t="s">
        <v>2767</v>
      </c>
      <c r="D758" t="s">
        <v>4000</v>
      </c>
      <c r="E758">
        <v>54</v>
      </c>
      <c r="F758" t="str">
        <f t="shared" si="11"/>
        <v>46+</v>
      </c>
      <c r="G758" t="s">
        <v>4006</v>
      </c>
      <c r="H758" t="s">
        <v>4008</v>
      </c>
      <c r="I758" t="s">
        <v>4013</v>
      </c>
      <c r="J758">
        <v>1</v>
      </c>
      <c r="K758">
        <v>6199</v>
      </c>
      <c r="L758">
        <v>0</v>
      </c>
      <c r="M758">
        <v>6199</v>
      </c>
      <c r="N758">
        <v>0</v>
      </c>
      <c r="O758">
        <v>6199</v>
      </c>
    </row>
    <row r="759" spans="1:15" x14ac:dyDescent="0.3">
      <c r="A759" t="s">
        <v>771</v>
      </c>
      <c r="B759" s="1">
        <v>44771</v>
      </c>
      <c r="C759" t="s">
        <v>2768</v>
      </c>
      <c r="D759" t="s">
        <v>3999</v>
      </c>
      <c r="E759">
        <v>61</v>
      </c>
      <c r="F759" t="str">
        <f t="shared" si="11"/>
        <v>46+</v>
      </c>
      <c r="G759" t="s">
        <v>4006</v>
      </c>
      <c r="H759" t="s">
        <v>4012</v>
      </c>
      <c r="I759" t="s">
        <v>4017</v>
      </c>
      <c r="J759">
        <v>4</v>
      </c>
      <c r="K759">
        <v>3490</v>
      </c>
      <c r="L759">
        <v>0</v>
      </c>
      <c r="M759">
        <v>13960</v>
      </c>
      <c r="N759">
        <v>0</v>
      </c>
      <c r="O759">
        <v>13960</v>
      </c>
    </row>
    <row r="760" spans="1:15" x14ac:dyDescent="0.3">
      <c r="A760" t="s">
        <v>772</v>
      </c>
      <c r="B760" s="1">
        <v>45258</v>
      </c>
      <c r="C760" t="s">
        <v>2769</v>
      </c>
      <c r="D760" t="s">
        <v>4000</v>
      </c>
      <c r="E760">
        <v>37</v>
      </c>
      <c r="F760" t="str">
        <f t="shared" si="11"/>
        <v>36-45</v>
      </c>
      <c r="G760" t="s">
        <v>4005</v>
      </c>
      <c r="H760" t="s">
        <v>4009</v>
      </c>
      <c r="I760" t="s">
        <v>4017</v>
      </c>
      <c r="J760">
        <v>4</v>
      </c>
      <c r="K760">
        <v>2769</v>
      </c>
      <c r="L760">
        <v>0</v>
      </c>
      <c r="M760">
        <v>11076</v>
      </c>
      <c r="N760">
        <v>0</v>
      </c>
      <c r="O760">
        <v>11076</v>
      </c>
    </row>
    <row r="761" spans="1:15" x14ac:dyDescent="0.3">
      <c r="A761" t="s">
        <v>773</v>
      </c>
      <c r="B761" s="1">
        <v>45203</v>
      </c>
      <c r="C761" t="s">
        <v>2770</v>
      </c>
      <c r="D761" t="s">
        <v>3999</v>
      </c>
      <c r="E761">
        <v>38</v>
      </c>
      <c r="F761" t="str">
        <f t="shared" si="11"/>
        <v>36-45</v>
      </c>
      <c r="G761" t="s">
        <v>4006</v>
      </c>
      <c r="H761" t="s">
        <v>4012</v>
      </c>
      <c r="I761" t="s">
        <v>4017</v>
      </c>
      <c r="J761">
        <v>6</v>
      </c>
      <c r="K761">
        <v>268</v>
      </c>
      <c r="L761">
        <v>5</v>
      </c>
      <c r="M761">
        <v>1608</v>
      </c>
      <c r="N761">
        <v>80.400000000000006</v>
      </c>
      <c r="O761">
        <v>1527.6</v>
      </c>
    </row>
    <row r="762" spans="1:15" x14ac:dyDescent="0.3">
      <c r="A762" t="s">
        <v>774</v>
      </c>
      <c r="B762" s="1">
        <v>45056</v>
      </c>
      <c r="C762" t="s">
        <v>2771</v>
      </c>
      <c r="D762" t="s">
        <v>3999</v>
      </c>
      <c r="E762">
        <v>61</v>
      </c>
      <c r="F762" t="str">
        <f t="shared" si="11"/>
        <v>46+</v>
      </c>
      <c r="G762" t="s">
        <v>4003</v>
      </c>
      <c r="H762" t="s">
        <v>4008</v>
      </c>
      <c r="I762" t="s">
        <v>4016</v>
      </c>
      <c r="J762">
        <v>1</v>
      </c>
      <c r="K762">
        <v>2348</v>
      </c>
      <c r="L762">
        <v>15</v>
      </c>
      <c r="M762">
        <v>2348</v>
      </c>
      <c r="N762">
        <v>352.2</v>
      </c>
      <c r="O762">
        <v>1995.8</v>
      </c>
    </row>
    <row r="763" spans="1:15" x14ac:dyDescent="0.3">
      <c r="A763" t="s">
        <v>775</v>
      </c>
      <c r="B763" s="1">
        <v>44804</v>
      </c>
      <c r="C763" t="s">
        <v>2772</v>
      </c>
      <c r="D763" t="s">
        <v>4000</v>
      </c>
      <c r="E763">
        <v>22</v>
      </c>
      <c r="F763" t="str">
        <f t="shared" si="11"/>
        <v>18-25</v>
      </c>
      <c r="G763" t="s">
        <v>4005</v>
      </c>
      <c r="H763" t="s">
        <v>4009</v>
      </c>
      <c r="I763" t="s">
        <v>4015</v>
      </c>
      <c r="J763">
        <v>3</v>
      </c>
      <c r="K763">
        <v>5800</v>
      </c>
      <c r="L763">
        <v>10</v>
      </c>
      <c r="M763">
        <v>17400</v>
      </c>
      <c r="N763">
        <v>1740</v>
      </c>
      <c r="O763">
        <v>15660</v>
      </c>
    </row>
    <row r="764" spans="1:15" x14ac:dyDescent="0.3">
      <c r="A764" t="s">
        <v>776</v>
      </c>
      <c r="B764" s="1">
        <v>44592</v>
      </c>
      <c r="C764" t="s">
        <v>2773</v>
      </c>
      <c r="D764" t="s">
        <v>4000</v>
      </c>
      <c r="E764">
        <v>48</v>
      </c>
      <c r="F764" t="str">
        <f t="shared" si="11"/>
        <v>46+</v>
      </c>
      <c r="G764" t="s">
        <v>4003</v>
      </c>
      <c r="H764" t="s">
        <v>4008</v>
      </c>
      <c r="I764" t="s">
        <v>4013</v>
      </c>
      <c r="J764">
        <v>6</v>
      </c>
      <c r="K764">
        <v>2484</v>
      </c>
      <c r="L764">
        <v>20</v>
      </c>
      <c r="M764">
        <v>14904</v>
      </c>
      <c r="N764">
        <v>2980.8</v>
      </c>
      <c r="O764">
        <v>11923.2</v>
      </c>
    </row>
    <row r="765" spans="1:15" x14ac:dyDescent="0.3">
      <c r="A765" t="s">
        <v>777</v>
      </c>
      <c r="B765" s="1">
        <v>44891</v>
      </c>
      <c r="C765" t="s">
        <v>2774</v>
      </c>
      <c r="D765" t="s">
        <v>3999</v>
      </c>
      <c r="E765">
        <v>55</v>
      </c>
      <c r="F765" t="str">
        <f t="shared" si="11"/>
        <v>46+</v>
      </c>
      <c r="G765" t="s">
        <v>4005</v>
      </c>
      <c r="H765" t="s">
        <v>4007</v>
      </c>
      <c r="I765" t="s">
        <v>4016</v>
      </c>
      <c r="J765">
        <v>5</v>
      </c>
      <c r="K765">
        <v>5472</v>
      </c>
      <c r="L765">
        <v>0</v>
      </c>
      <c r="M765">
        <v>27360</v>
      </c>
      <c r="N765">
        <v>0</v>
      </c>
      <c r="O765">
        <v>27360</v>
      </c>
    </row>
    <row r="766" spans="1:15" x14ac:dyDescent="0.3">
      <c r="A766" t="s">
        <v>778</v>
      </c>
      <c r="B766" s="1">
        <v>44777</v>
      </c>
      <c r="C766" t="s">
        <v>2775</v>
      </c>
      <c r="D766" t="s">
        <v>3999</v>
      </c>
      <c r="E766">
        <v>38</v>
      </c>
      <c r="F766" t="str">
        <f t="shared" si="11"/>
        <v>36-45</v>
      </c>
      <c r="G766" t="s">
        <v>4002</v>
      </c>
      <c r="H766" t="s">
        <v>4007</v>
      </c>
      <c r="I766" t="s">
        <v>4017</v>
      </c>
      <c r="J766">
        <v>3</v>
      </c>
      <c r="K766">
        <v>4777</v>
      </c>
      <c r="L766">
        <v>0</v>
      </c>
      <c r="M766">
        <v>14331</v>
      </c>
      <c r="N766">
        <v>0</v>
      </c>
      <c r="O766">
        <v>14331</v>
      </c>
    </row>
    <row r="767" spans="1:15" x14ac:dyDescent="0.3">
      <c r="A767" t="s">
        <v>779</v>
      </c>
      <c r="B767" s="1">
        <v>44863</v>
      </c>
      <c r="C767" t="s">
        <v>2776</v>
      </c>
      <c r="D767" t="s">
        <v>4000</v>
      </c>
      <c r="E767">
        <v>63</v>
      </c>
      <c r="F767" t="str">
        <f t="shared" si="11"/>
        <v>46+</v>
      </c>
      <c r="G767" t="s">
        <v>4004</v>
      </c>
      <c r="H767" t="s">
        <v>4007</v>
      </c>
      <c r="I767" t="s">
        <v>4013</v>
      </c>
      <c r="J767">
        <v>4</v>
      </c>
      <c r="K767">
        <v>2659</v>
      </c>
      <c r="L767">
        <v>15</v>
      </c>
      <c r="M767">
        <v>10636</v>
      </c>
      <c r="N767">
        <v>1595.4</v>
      </c>
      <c r="O767">
        <v>9040.6</v>
      </c>
    </row>
    <row r="768" spans="1:15" x14ac:dyDescent="0.3">
      <c r="A768" t="s">
        <v>780</v>
      </c>
      <c r="B768" s="1">
        <v>45174</v>
      </c>
      <c r="C768" t="s">
        <v>2777</v>
      </c>
      <c r="D768" t="s">
        <v>4000</v>
      </c>
      <c r="E768">
        <v>42</v>
      </c>
      <c r="F768" t="str">
        <f t="shared" si="11"/>
        <v>36-45</v>
      </c>
      <c r="G768" t="s">
        <v>4002</v>
      </c>
      <c r="H768" t="s">
        <v>4009</v>
      </c>
      <c r="I768" t="s">
        <v>4016</v>
      </c>
      <c r="J768">
        <v>2</v>
      </c>
      <c r="K768">
        <v>1337</v>
      </c>
      <c r="L768">
        <v>0</v>
      </c>
      <c r="M768">
        <v>2674</v>
      </c>
      <c r="N768">
        <v>0</v>
      </c>
      <c r="O768">
        <v>2674</v>
      </c>
    </row>
    <row r="769" spans="1:15" x14ac:dyDescent="0.3">
      <c r="A769" t="s">
        <v>781</v>
      </c>
      <c r="B769" s="1">
        <v>44642</v>
      </c>
      <c r="C769" t="s">
        <v>2778</v>
      </c>
      <c r="D769" t="s">
        <v>3999</v>
      </c>
      <c r="E769">
        <v>46</v>
      </c>
      <c r="F769" t="str">
        <f t="shared" si="11"/>
        <v>46+</v>
      </c>
      <c r="G769" t="s">
        <v>4006</v>
      </c>
      <c r="H769" t="s">
        <v>4009</v>
      </c>
      <c r="I769" t="s">
        <v>4013</v>
      </c>
      <c r="J769">
        <v>4</v>
      </c>
      <c r="K769">
        <v>3008</v>
      </c>
      <c r="L769">
        <v>0</v>
      </c>
      <c r="M769">
        <v>12032</v>
      </c>
      <c r="N769">
        <v>0</v>
      </c>
      <c r="O769">
        <v>12032</v>
      </c>
    </row>
    <row r="770" spans="1:15" x14ac:dyDescent="0.3">
      <c r="A770" t="s">
        <v>782</v>
      </c>
      <c r="B770" s="1">
        <v>44631</v>
      </c>
      <c r="C770" t="s">
        <v>2779</v>
      </c>
      <c r="D770" t="s">
        <v>3999</v>
      </c>
      <c r="E770">
        <v>26</v>
      </c>
      <c r="F770" t="str">
        <f t="shared" ref="F770:F833" si="12">IF(E770&lt;=25,"18-25",IF(E770&lt;=35,"26-35",IF(E770&lt;=45,"36-45","46+")))</f>
        <v>26-35</v>
      </c>
      <c r="G770" t="s">
        <v>4001</v>
      </c>
      <c r="H770" t="s">
        <v>4010</v>
      </c>
      <c r="I770" t="s">
        <v>4015</v>
      </c>
      <c r="J770">
        <v>3</v>
      </c>
      <c r="K770">
        <v>4859</v>
      </c>
      <c r="L770">
        <v>10</v>
      </c>
      <c r="M770">
        <v>14577</v>
      </c>
      <c r="N770">
        <v>1457.7</v>
      </c>
      <c r="O770">
        <v>13119.3</v>
      </c>
    </row>
    <row r="771" spans="1:15" x14ac:dyDescent="0.3">
      <c r="A771" t="s">
        <v>783</v>
      </c>
      <c r="B771" s="1">
        <v>45254</v>
      </c>
      <c r="C771" t="s">
        <v>2780</v>
      </c>
      <c r="D771" t="s">
        <v>4000</v>
      </c>
      <c r="E771">
        <v>22</v>
      </c>
      <c r="F771" t="str">
        <f t="shared" si="12"/>
        <v>18-25</v>
      </c>
      <c r="G771" t="s">
        <v>4003</v>
      </c>
      <c r="H771" t="s">
        <v>4007</v>
      </c>
      <c r="I771" t="s">
        <v>4017</v>
      </c>
      <c r="J771">
        <v>6</v>
      </c>
      <c r="K771">
        <v>3020</v>
      </c>
      <c r="L771">
        <v>15</v>
      </c>
      <c r="M771">
        <v>18120</v>
      </c>
      <c r="N771">
        <v>2718</v>
      </c>
      <c r="O771">
        <v>15402</v>
      </c>
    </row>
    <row r="772" spans="1:15" x14ac:dyDescent="0.3">
      <c r="A772" t="s">
        <v>784</v>
      </c>
      <c r="B772" s="1">
        <v>45241</v>
      </c>
      <c r="C772" t="s">
        <v>2781</v>
      </c>
      <c r="D772" t="s">
        <v>4000</v>
      </c>
      <c r="E772">
        <v>25</v>
      </c>
      <c r="F772" t="str">
        <f t="shared" si="12"/>
        <v>18-25</v>
      </c>
      <c r="G772" t="s">
        <v>4003</v>
      </c>
      <c r="H772" t="s">
        <v>4007</v>
      </c>
      <c r="I772" t="s">
        <v>4015</v>
      </c>
      <c r="J772">
        <v>1</v>
      </c>
      <c r="K772">
        <v>2603</v>
      </c>
      <c r="L772">
        <v>10</v>
      </c>
      <c r="M772">
        <v>2603</v>
      </c>
      <c r="N772">
        <v>260.3</v>
      </c>
      <c r="O772">
        <v>2342.6999999999998</v>
      </c>
    </row>
    <row r="773" spans="1:15" x14ac:dyDescent="0.3">
      <c r="A773" t="s">
        <v>785</v>
      </c>
      <c r="B773" s="1">
        <v>45011</v>
      </c>
      <c r="C773" t="s">
        <v>2782</v>
      </c>
      <c r="D773" t="s">
        <v>4000</v>
      </c>
      <c r="E773">
        <v>46</v>
      </c>
      <c r="F773" t="str">
        <f t="shared" si="12"/>
        <v>46+</v>
      </c>
      <c r="G773" t="s">
        <v>4001</v>
      </c>
      <c r="H773" t="s">
        <v>4007</v>
      </c>
      <c r="I773" t="s">
        <v>4013</v>
      </c>
      <c r="J773">
        <v>1</v>
      </c>
      <c r="K773">
        <v>5347</v>
      </c>
      <c r="L773">
        <v>10</v>
      </c>
      <c r="M773">
        <v>5347</v>
      </c>
      <c r="N773">
        <v>534.70000000000005</v>
      </c>
      <c r="O773">
        <v>4812.3</v>
      </c>
    </row>
    <row r="774" spans="1:15" x14ac:dyDescent="0.3">
      <c r="A774" t="s">
        <v>786</v>
      </c>
      <c r="B774" s="1">
        <v>44780</v>
      </c>
      <c r="C774" t="s">
        <v>2783</v>
      </c>
      <c r="D774" t="s">
        <v>3999</v>
      </c>
      <c r="E774">
        <v>42</v>
      </c>
      <c r="F774" t="str">
        <f t="shared" si="12"/>
        <v>36-45</v>
      </c>
      <c r="G774" t="s">
        <v>4002</v>
      </c>
      <c r="H774" t="s">
        <v>4007</v>
      </c>
      <c r="I774" t="s">
        <v>4015</v>
      </c>
      <c r="J774">
        <v>7</v>
      </c>
      <c r="K774">
        <v>4651</v>
      </c>
      <c r="L774">
        <v>20</v>
      </c>
      <c r="M774">
        <v>32557</v>
      </c>
      <c r="N774">
        <v>6511.4</v>
      </c>
      <c r="O774">
        <v>26045.599999999999</v>
      </c>
    </row>
    <row r="775" spans="1:15" x14ac:dyDescent="0.3">
      <c r="A775" t="s">
        <v>787</v>
      </c>
      <c r="B775" s="1">
        <v>44914</v>
      </c>
      <c r="C775" t="s">
        <v>2784</v>
      </c>
      <c r="D775" t="s">
        <v>4000</v>
      </c>
      <c r="E775">
        <v>45</v>
      </c>
      <c r="F775" t="str">
        <f t="shared" si="12"/>
        <v>36-45</v>
      </c>
      <c r="G775" t="s">
        <v>4002</v>
      </c>
      <c r="H775" t="s">
        <v>4009</v>
      </c>
      <c r="I775" t="s">
        <v>4014</v>
      </c>
      <c r="J775">
        <v>1</v>
      </c>
      <c r="K775">
        <v>4773</v>
      </c>
      <c r="L775">
        <v>5</v>
      </c>
      <c r="M775">
        <v>4773</v>
      </c>
      <c r="N775">
        <v>238.65</v>
      </c>
      <c r="O775">
        <v>4534.3500000000004</v>
      </c>
    </row>
    <row r="776" spans="1:15" x14ac:dyDescent="0.3">
      <c r="A776" t="s">
        <v>788</v>
      </c>
      <c r="B776" s="1">
        <v>45201</v>
      </c>
      <c r="C776" t="s">
        <v>2785</v>
      </c>
      <c r="D776" t="s">
        <v>3999</v>
      </c>
      <c r="E776">
        <v>30</v>
      </c>
      <c r="F776" t="str">
        <f t="shared" si="12"/>
        <v>26-35</v>
      </c>
      <c r="G776" t="s">
        <v>4005</v>
      </c>
      <c r="H776" t="s">
        <v>4011</v>
      </c>
      <c r="I776" t="s">
        <v>4015</v>
      </c>
      <c r="J776">
        <v>5</v>
      </c>
      <c r="K776">
        <v>7458</v>
      </c>
      <c r="L776">
        <v>20</v>
      </c>
      <c r="M776">
        <v>37290</v>
      </c>
      <c r="N776">
        <v>7458</v>
      </c>
      <c r="O776">
        <v>29832</v>
      </c>
    </row>
    <row r="777" spans="1:15" x14ac:dyDescent="0.3">
      <c r="A777" t="s">
        <v>789</v>
      </c>
      <c r="B777" s="1">
        <v>45151</v>
      </c>
      <c r="C777" t="s">
        <v>2786</v>
      </c>
      <c r="D777" t="s">
        <v>4000</v>
      </c>
      <c r="E777">
        <v>28</v>
      </c>
      <c r="F777" t="str">
        <f t="shared" si="12"/>
        <v>26-35</v>
      </c>
      <c r="G777" t="s">
        <v>4001</v>
      </c>
      <c r="H777" t="s">
        <v>4012</v>
      </c>
      <c r="I777" t="s">
        <v>4014</v>
      </c>
      <c r="J777">
        <v>2</v>
      </c>
      <c r="K777">
        <v>7494</v>
      </c>
      <c r="L777">
        <v>0</v>
      </c>
      <c r="M777">
        <v>14988</v>
      </c>
      <c r="N777">
        <v>0</v>
      </c>
      <c r="O777">
        <v>14988</v>
      </c>
    </row>
    <row r="778" spans="1:15" x14ac:dyDescent="0.3">
      <c r="A778" t="s">
        <v>790</v>
      </c>
      <c r="B778" s="1">
        <v>45021</v>
      </c>
      <c r="C778" t="s">
        <v>2787</v>
      </c>
      <c r="D778" t="s">
        <v>3999</v>
      </c>
      <c r="E778">
        <v>50</v>
      </c>
      <c r="F778" t="str">
        <f t="shared" si="12"/>
        <v>46+</v>
      </c>
      <c r="G778" t="s">
        <v>4003</v>
      </c>
      <c r="H778" t="s">
        <v>4010</v>
      </c>
      <c r="I778" t="s">
        <v>4017</v>
      </c>
      <c r="J778">
        <v>7</v>
      </c>
      <c r="K778">
        <v>7928</v>
      </c>
      <c r="L778">
        <v>0</v>
      </c>
      <c r="M778">
        <v>55496</v>
      </c>
      <c r="N778">
        <v>0</v>
      </c>
      <c r="O778">
        <v>55496</v>
      </c>
    </row>
    <row r="779" spans="1:15" x14ac:dyDescent="0.3">
      <c r="A779" t="s">
        <v>791</v>
      </c>
      <c r="B779" s="1">
        <v>44857</v>
      </c>
      <c r="C779" t="s">
        <v>2788</v>
      </c>
      <c r="D779" t="s">
        <v>4000</v>
      </c>
      <c r="E779">
        <v>24</v>
      </c>
      <c r="F779" t="str">
        <f t="shared" si="12"/>
        <v>18-25</v>
      </c>
      <c r="G779" t="s">
        <v>4003</v>
      </c>
      <c r="H779" t="s">
        <v>4008</v>
      </c>
      <c r="I779" t="s">
        <v>4016</v>
      </c>
      <c r="J779">
        <v>5</v>
      </c>
      <c r="K779">
        <v>4247</v>
      </c>
      <c r="L779">
        <v>0</v>
      </c>
      <c r="M779">
        <v>21235</v>
      </c>
      <c r="N779">
        <v>0</v>
      </c>
      <c r="O779">
        <v>21235</v>
      </c>
    </row>
    <row r="780" spans="1:15" x14ac:dyDescent="0.3">
      <c r="A780" t="s">
        <v>792</v>
      </c>
      <c r="B780" s="1">
        <v>44872</v>
      </c>
      <c r="C780" t="s">
        <v>2789</v>
      </c>
      <c r="D780" t="s">
        <v>3999</v>
      </c>
      <c r="E780">
        <v>63</v>
      </c>
      <c r="F780" t="str">
        <f t="shared" si="12"/>
        <v>46+</v>
      </c>
      <c r="G780" t="s">
        <v>4004</v>
      </c>
      <c r="H780" t="s">
        <v>4008</v>
      </c>
      <c r="I780" t="s">
        <v>4016</v>
      </c>
      <c r="J780">
        <v>2</v>
      </c>
      <c r="K780">
        <v>4004</v>
      </c>
      <c r="L780">
        <v>0</v>
      </c>
      <c r="M780">
        <v>8008</v>
      </c>
      <c r="N780">
        <v>0</v>
      </c>
      <c r="O780">
        <v>8008</v>
      </c>
    </row>
    <row r="781" spans="1:15" x14ac:dyDescent="0.3">
      <c r="A781" t="s">
        <v>793</v>
      </c>
      <c r="B781" s="1">
        <v>45162</v>
      </c>
      <c r="C781" t="s">
        <v>2790</v>
      </c>
      <c r="D781" t="s">
        <v>4000</v>
      </c>
      <c r="E781">
        <v>45</v>
      </c>
      <c r="F781" t="str">
        <f t="shared" si="12"/>
        <v>36-45</v>
      </c>
      <c r="G781" t="s">
        <v>4002</v>
      </c>
      <c r="H781" t="s">
        <v>4012</v>
      </c>
      <c r="I781" t="s">
        <v>4013</v>
      </c>
      <c r="J781">
        <v>7</v>
      </c>
      <c r="K781">
        <v>7615</v>
      </c>
      <c r="L781">
        <v>10</v>
      </c>
      <c r="M781">
        <v>53305</v>
      </c>
      <c r="N781">
        <v>5330.5</v>
      </c>
      <c r="O781">
        <v>47974.5</v>
      </c>
    </row>
    <row r="782" spans="1:15" x14ac:dyDescent="0.3">
      <c r="A782" t="s">
        <v>794</v>
      </c>
      <c r="B782" s="1">
        <v>44984</v>
      </c>
      <c r="C782" t="s">
        <v>2791</v>
      </c>
      <c r="D782" t="s">
        <v>3999</v>
      </c>
      <c r="E782">
        <v>20</v>
      </c>
      <c r="F782" t="str">
        <f t="shared" si="12"/>
        <v>18-25</v>
      </c>
      <c r="G782" t="s">
        <v>4003</v>
      </c>
      <c r="H782" t="s">
        <v>4007</v>
      </c>
      <c r="I782" t="s">
        <v>4016</v>
      </c>
      <c r="J782">
        <v>6</v>
      </c>
      <c r="K782">
        <v>636</v>
      </c>
      <c r="L782">
        <v>10</v>
      </c>
      <c r="M782">
        <v>3816</v>
      </c>
      <c r="N782">
        <v>381.6</v>
      </c>
      <c r="O782">
        <v>3434.4</v>
      </c>
    </row>
    <row r="783" spans="1:15" x14ac:dyDescent="0.3">
      <c r="A783" t="s">
        <v>795</v>
      </c>
      <c r="B783" s="1">
        <v>44683</v>
      </c>
      <c r="C783" t="s">
        <v>2792</v>
      </c>
      <c r="D783" t="s">
        <v>3999</v>
      </c>
      <c r="E783">
        <v>48</v>
      </c>
      <c r="F783" t="str">
        <f t="shared" si="12"/>
        <v>46+</v>
      </c>
      <c r="G783" t="s">
        <v>4001</v>
      </c>
      <c r="H783" t="s">
        <v>4012</v>
      </c>
      <c r="I783" t="s">
        <v>4014</v>
      </c>
      <c r="J783">
        <v>1</v>
      </c>
      <c r="K783">
        <v>1389</v>
      </c>
      <c r="L783">
        <v>10</v>
      </c>
      <c r="M783">
        <v>1389</v>
      </c>
      <c r="N783">
        <v>138.9</v>
      </c>
      <c r="O783">
        <v>1250.0999999999999</v>
      </c>
    </row>
    <row r="784" spans="1:15" x14ac:dyDescent="0.3">
      <c r="A784" t="s">
        <v>796</v>
      </c>
      <c r="B784" s="1">
        <v>44869</v>
      </c>
      <c r="C784" t="s">
        <v>2793</v>
      </c>
      <c r="D784" t="s">
        <v>4000</v>
      </c>
      <c r="E784">
        <v>49</v>
      </c>
      <c r="F784" t="str">
        <f t="shared" si="12"/>
        <v>46+</v>
      </c>
      <c r="G784" t="s">
        <v>4001</v>
      </c>
      <c r="H784" t="s">
        <v>4011</v>
      </c>
      <c r="I784" t="s">
        <v>4015</v>
      </c>
      <c r="J784">
        <v>7</v>
      </c>
      <c r="K784">
        <v>4483</v>
      </c>
      <c r="L784">
        <v>0</v>
      </c>
      <c r="M784">
        <v>31381</v>
      </c>
      <c r="N784">
        <v>0</v>
      </c>
      <c r="O784">
        <v>31381</v>
      </c>
    </row>
    <row r="785" spans="1:15" x14ac:dyDescent="0.3">
      <c r="A785" t="s">
        <v>797</v>
      </c>
      <c r="B785" s="1">
        <v>45038</v>
      </c>
      <c r="C785" t="s">
        <v>2794</v>
      </c>
      <c r="D785" t="s">
        <v>4000</v>
      </c>
      <c r="E785">
        <v>39</v>
      </c>
      <c r="F785" t="str">
        <f t="shared" si="12"/>
        <v>36-45</v>
      </c>
      <c r="G785" t="s">
        <v>4004</v>
      </c>
      <c r="H785" t="s">
        <v>4007</v>
      </c>
      <c r="I785" t="s">
        <v>4013</v>
      </c>
      <c r="J785">
        <v>4</v>
      </c>
      <c r="K785">
        <v>2278</v>
      </c>
      <c r="L785">
        <v>5</v>
      </c>
      <c r="M785">
        <v>9112</v>
      </c>
      <c r="N785">
        <v>455.6</v>
      </c>
      <c r="O785">
        <v>8656.4</v>
      </c>
    </row>
    <row r="786" spans="1:15" x14ac:dyDescent="0.3">
      <c r="A786" t="s">
        <v>798</v>
      </c>
      <c r="B786" s="1">
        <v>44674</v>
      </c>
      <c r="C786" t="s">
        <v>2795</v>
      </c>
      <c r="D786" t="s">
        <v>3999</v>
      </c>
      <c r="E786">
        <v>59</v>
      </c>
      <c r="F786" t="str">
        <f t="shared" si="12"/>
        <v>46+</v>
      </c>
      <c r="G786" t="s">
        <v>4006</v>
      </c>
      <c r="H786" t="s">
        <v>4008</v>
      </c>
      <c r="I786" t="s">
        <v>4016</v>
      </c>
      <c r="J786">
        <v>6</v>
      </c>
      <c r="K786">
        <v>5038</v>
      </c>
      <c r="L786">
        <v>10</v>
      </c>
      <c r="M786">
        <v>30228</v>
      </c>
      <c r="N786">
        <v>3022.8</v>
      </c>
      <c r="O786">
        <v>27205.200000000001</v>
      </c>
    </row>
    <row r="787" spans="1:15" x14ac:dyDescent="0.3">
      <c r="A787" t="s">
        <v>799</v>
      </c>
      <c r="B787" s="1">
        <v>45203</v>
      </c>
      <c r="C787" t="s">
        <v>2796</v>
      </c>
      <c r="D787" t="s">
        <v>4000</v>
      </c>
      <c r="E787">
        <v>60</v>
      </c>
      <c r="F787" t="str">
        <f t="shared" si="12"/>
        <v>46+</v>
      </c>
      <c r="G787" t="s">
        <v>4004</v>
      </c>
      <c r="H787" t="s">
        <v>4011</v>
      </c>
      <c r="I787" t="s">
        <v>4015</v>
      </c>
      <c r="J787">
        <v>4</v>
      </c>
      <c r="K787">
        <v>4940</v>
      </c>
      <c r="L787">
        <v>0</v>
      </c>
      <c r="M787">
        <v>19760</v>
      </c>
      <c r="N787">
        <v>0</v>
      </c>
      <c r="O787">
        <v>19760</v>
      </c>
    </row>
    <row r="788" spans="1:15" x14ac:dyDescent="0.3">
      <c r="A788" t="s">
        <v>800</v>
      </c>
      <c r="B788" s="1">
        <v>44990</v>
      </c>
      <c r="C788" t="s">
        <v>2797</v>
      </c>
      <c r="D788" t="s">
        <v>4000</v>
      </c>
      <c r="E788">
        <v>21</v>
      </c>
      <c r="F788" t="str">
        <f t="shared" si="12"/>
        <v>18-25</v>
      </c>
      <c r="G788" t="s">
        <v>4004</v>
      </c>
      <c r="H788" t="s">
        <v>4011</v>
      </c>
      <c r="I788" t="s">
        <v>4014</v>
      </c>
      <c r="J788">
        <v>2</v>
      </c>
      <c r="K788">
        <v>2372</v>
      </c>
      <c r="L788">
        <v>15</v>
      </c>
      <c r="M788">
        <v>4744</v>
      </c>
      <c r="N788">
        <v>711.6</v>
      </c>
      <c r="O788">
        <v>4032.4</v>
      </c>
    </row>
    <row r="789" spans="1:15" x14ac:dyDescent="0.3">
      <c r="A789" t="s">
        <v>801</v>
      </c>
      <c r="B789" s="1">
        <v>44764</v>
      </c>
      <c r="C789" t="s">
        <v>2798</v>
      </c>
      <c r="D789" t="s">
        <v>3999</v>
      </c>
      <c r="E789">
        <v>63</v>
      </c>
      <c r="F789" t="str">
        <f t="shared" si="12"/>
        <v>46+</v>
      </c>
      <c r="G789" t="s">
        <v>4003</v>
      </c>
      <c r="H789" t="s">
        <v>4007</v>
      </c>
      <c r="I789" t="s">
        <v>4014</v>
      </c>
      <c r="J789">
        <v>3</v>
      </c>
      <c r="K789">
        <v>6937</v>
      </c>
      <c r="L789">
        <v>0</v>
      </c>
      <c r="M789">
        <v>20811</v>
      </c>
      <c r="N789">
        <v>0</v>
      </c>
      <c r="O789">
        <v>20811</v>
      </c>
    </row>
    <row r="790" spans="1:15" x14ac:dyDescent="0.3">
      <c r="A790" t="s">
        <v>802</v>
      </c>
      <c r="B790" s="1">
        <v>45122</v>
      </c>
      <c r="C790" t="s">
        <v>2799</v>
      </c>
      <c r="D790" t="s">
        <v>4000</v>
      </c>
      <c r="E790">
        <v>36</v>
      </c>
      <c r="F790" t="str">
        <f t="shared" si="12"/>
        <v>36-45</v>
      </c>
      <c r="G790" t="s">
        <v>4003</v>
      </c>
      <c r="H790" t="s">
        <v>4007</v>
      </c>
      <c r="I790" t="s">
        <v>4017</v>
      </c>
      <c r="J790">
        <v>1</v>
      </c>
      <c r="K790">
        <v>7572</v>
      </c>
      <c r="L790">
        <v>0</v>
      </c>
      <c r="M790">
        <v>7572</v>
      </c>
      <c r="N790">
        <v>0</v>
      </c>
      <c r="O790">
        <v>7572</v>
      </c>
    </row>
    <row r="791" spans="1:15" x14ac:dyDescent="0.3">
      <c r="A791" t="s">
        <v>803</v>
      </c>
      <c r="B791" s="1">
        <v>44922</v>
      </c>
      <c r="C791" t="s">
        <v>2800</v>
      </c>
      <c r="D791" t="s">
        <v>3999</v>
      </c>
      <c r="E791">
        <v>63</v>
      </c>
      <c r="F791" t="str">
        <f t="shared" si="12"/>
        <v>46+</v>
      </c>
      <c r="G791" t="s">
        <v>4003</v>
      </c>
      <c r="H791" t="s">
        <v>4011</v>
      </c>
      <c r="I791" t="s">
        <v>4017</v>
      </c>
      <c r="J791">
        <v>3</v>
      </c>
      <c r="K791">
        <v>6088</v>
      </c>
      <c r="L791">
        <v>5</v>
      </c>
      <c r="M791">
        <v>18264</v>
      </c>
      <c r="N791">
        <v>913.2</v>
      </c>
      <c r="O791">
        <v>17350.8</v>
      </c>
    </row>
    <row r="792" spans="1:15" x14ac:dyDescent="0.3">
      <c r="A792" t="s">
        <v>804</v>
      </c>
      <c r="B792" s="1">
        <v>44564</v>
      </c>
      <c r="C792" t="s">
        <v>2801</v>
      </c>
      <c r="D792" t="s">
        <v>4000</v>
      </c>
      <c r="E792">
        <v>34</v>
      </c>
      <c r="F792" t="str">
        <f t="shared" si="12"/>
        <v>26-35</v>
      </c>
      <c r="G792" t="s">
        <v>4005</v>
      </c>
      <c r="H792" t="s">
        <v>4010</v>
      </c>
      <c r="I792" t="s">
        <v>4015</v>
      </c>
      <c r="J792">
        <v>2</v>
      </c>
      <c r="K792">
        <v>6329</v>
      </c>
      <c r="L792">
        <v>15</v>
      </c>
      <c r="M792">
        <v>12658</v>
      </c>
      <c r="N792">
        <v>1898.7</v>
      </c>
      <c r="O792">
        <v>10759.3</v>
      </c>
    </row>
    <row r="793" spans="1:15" x14ac:dyDescent="0.3">
      <c r="A793" t="s">
        <v>805</v>
      </c>
      <c r="B793" s="1">
        <v>44721</v>
      </c>
      <c r="C793" t="s">
        <v>2802</v>
      </c>
      <c r="D793" t="s">
        <v>3999</v>
      </c>
      <c r="E793">
        <v>41</v>
      </c>
      <c r="F793" t="str">
        <f t="shared" si="12"/>
        <v>36-45</v>
      </c>
      <c r="G793" t="s">
        <v>4006</v>
      </c>
      <c r="H793" t="s">
        <v>4010</v>
      </c>
      <c r="I793" t="s">
        <v>4017</v>
      </c>
      <c r="J793">
        <v>4</v>
      </c>
      <c r="K793">
        <v>4915</v>
      </c>
      <c r="L793">
        <v>10</v>
      </c>
      <c r="M793">
        <v>19660</v>
      </c>
      <c r="N793">
        <v>1966</v>
      </c>
      <c r="O793">
        <v>17694</v>
      </c>
    </row>
    <row r="794" spans="1:15" x14ac:dyDescent="0.3">
      <c r="A794" t="s">
        <v>806</v>
      </c>
      <c r="B794" s="1">
        <v>44995</v>
      </c>
      <c r="C794" t="s">
        <v>2803</v>
      </c>
      <c r="D794" t="s">
        <v>3999</v>
      </c>
      <c r="E794">
        <v>29</v>
      </c>
      <c r="F794" t="str">
        <f t="shared" si="12"/>
        <v>26-35</v>
      </c>
      <c r="G794" t="s">
        <v>4001</v>
      </c>
      <c r="H794" t="s">
        <v>4012</v>
      </c>
      <c r="I794" t="s">
        <v>4017</v>
      </c>
      <c r="J794">
        <v>4</v>
      </c>
      <c r="K794">
        <v>6724</v>
      </c>
      <c r="L794">
        <v>0</v>
      </c>
      <c r="M794">
        <v>26896</v>
      </c>
      <c r="N794">
        <v>0</v>
      </c>
      <c r="O794">
        <v>26896</v>
      </c>
    </row>
    <row r="795" spans="1:15" x14ac:dyDescent="0.3">
      <c r="A795" t="s">
        <v>807</v>
      </c>
      <c r="B795" s="1">
        <v>45089</v>
      </c>
      <c r="C795" t="s">
        <v>2804</v>
      </c>
      <c r="D795" t="s">
        <v>4000</v>
      </c>
      <c r="E795">
        <v>47</v>
      </c>
      <c r="F795" t="str">
        <f t="shared" si="12"/>
        <v>46+</v>
      </c>
      <c r="G795" t="s">
        <v>4002</v>
      </c>
      <c r="H795" t="s">
        <v>4007</v>
      </c>
      <c r="I795" t="s">
        <v>4015</v>
      </c>
      <c r="J795">
        <v>2</v>
      </c>
      <c r="K795">
        <v>1522</v>
      </c>
      <c r="L795">
        <v>0</v>
      </c>
      <c r="M795">
        <v>3044</v>
      </c>
      <c r="N795">
        <v>0</v>
      </c>
      <c r="O795">
        <v>3044</v>
      </c>
    </row>
    <row r="796" spans="1:15" x14ac:dyDescent="0.3">
      <c r="A796" t="s">
        <v>808</v>
      </c>
      <c r="B796" s="1">
        <v>45247</v>
      </c>
      <c r="C796" t="s">
        <v>2805</v>
      </c>
      <c r="D796" t="s">
        <v>3999</v>
      </c>
      <c r="E796">
        <v>64</v>
      </c>
      <c r="F796" t="str">
        <f t="shared" si="12"/>
        <v>46+</v>
      </c>
      <c r="G796" t="s">
        <v>4004</v>
      </c>
      <c r="H796" t="s">
        <v>4011</v>
      </c>
      <c r="I796" t="s">
        <v>4017</v>
      </c>
      <c r="J796">
        <v>6</v>
      </c>
      <c r="K796">
        <v>7409</v>
      </c>
      <c r="L796">
        <v>10</v>
      </c>
      <c r="M796">
        <v>44454</v>
      </c>
      <c r="N796">
        <v>4445.3999999999996</v>
      </c>
      <c r="O796">
        <v>40008.6</v>
      </c>
    </row>
    <row r="797" spans="1:15" x14ac:dyDescent="0.3">
      <c r="A797" t="s">
        <v>809</v>
      </c>
      <c r="B797" s="1">
        <v>45067</v>
      </c>
      <c r="C797" t="s">
        <v>2806</v>
      </c>
      <c r="D797" t="s">
        <v>3999</v>
      </c>
      <c r="E797">
        <v>30</v>
      </c>
      <c r="F797" t="str">
        <f t="shared" si="12"/>
        <v>26-35</v>
      </c>
      <c r="G797" t="s">
        <v>4002</v>
      </c>
      <c r="H797" t="s">
        <v>4012</v>
      </c>
      <c r="I797" t="s">
        <v>4016</v>
      </c>
      <c r="J797">
        <v>4</v>
      </c>
      <c r="K797">
        <v>6724</v>
      </c>
      <c r="L797">
        <v>0</v>
      </c>
      <c r="M797">
        <v>26896</v>
      </c>
      <c r="N797">
        <v>0</v>
      </c>
      <c r="O797">
        <v>26896</v>
      </c>
    </row>
    <row r="798" spans="1:15" x14ac:dyDescent="0.3">
      <c r="A798" t="s">
        <v>810</v>
      </c>
      <c r="B798" s="1">
        <v>45158</v>
      </c>
      <c r="C798" t="s">
        <v>2807</v>
      </c>
      <c r="D798" t="s">
        <v>4000</v>
      </c>
      <c r="E798">
        <v>40</v>
      </c>
      <c r="F798" t="str">
        <f t="shared" si="12"/>
        <v>36-45</v>
      </c>
      <c r="G798" t="s">
        <v>4005</v>
      </c>
      <c r="H798" t="s">
        <v>4009</v>
      </c>
      <c r="I798" t="s">
        <v>4013</v>
      </c>
      <c r="J798">
        <v>4</v>
      </c>
      <c r="K798">
        <v>3064</v>
      </c>
      <c r="L798">
        <v>5</v>
      </c>
      <c r="M798">
        <v>12256</v>
      </c>
      <c r="N798">
        <v>612.79999999999995</v>
      </c>
      <c r="O798">
        <v>11643.2</v>
      </c>
    </row>
    <row r="799" spans="1:15" x14ac:dyDescent="0.3">
      <c r="A799" t="s">
        <v>811</v>
      </c>
      <c r="B799" s="1">
        <v>45224</v>
      </c>
      <c r="C799" t="s">
        <v>2808</v>
      </c>
      <c r="D799" t="s">
        <v>3999</v>
      </c>
      <c r="E799">
        <v>34</v>
      </c>
      <c r="F799" t="str">
        <f t="shared" si="12"/>
        <v>26-35</v>
      </c>
      <c r="G799" t="s">
        <v>4004</v>
      </c>
      <c r="H799" t="s">
        <v>4009</v>
      </c>
      <c r="I799" t="s">
        <v>4013</v>
      </c>
      <c r="J799">
        <v>2</v>
      </c>
      <c r="K799">
        <v>3742</v>
      </c>
      <c r="L799">
        <v>10</v>
      </c>
      <c r="M799">
        <v>7484</v>
      </c>
      <c r="N799">
        <v>748.4</v>
      </c>
      <c r="O799">
        <v>6735.6</v>
      </c>
    </row>
    <row r="800" spans="1:15" x14ac:dyDescent="0.3">
      <c r="A800" t="s">
        <v>812</v>
      </c>
      <c r="B800" s="1">
        <v>45105</v>
      </c>
      <c r="C800" t="s">
        <v>2809</v>
      </c>
      <c r="D800" t="s">
        <v>3999</v>
      </c>
      <c r="E800">
        <v>63</v>
      </c>
      <c r="F800" t="str">
        <f t="shared" si="12"/>
        <v>46+</v>
      </c>
      <c r="G800" t="s">
        <v>4005</v>
      </c>
      <c r="H800" t="s">
        <v>4012</v>
      </c>
      <c r="I800" t="s">
        <v>4015</v>
      </c>
      <c r="J800">
        <v>1</v>
      </c>
      <c r="K800">
        <v>5769</v>
      </c>
      <c r="L800">
        <v>0</v>
      </c>
      <c r="M800">
        <v>5769</v>
      </c>
      <c r="N800">
        <v>0</v>
      </c>
      <c r="O800">
        <v>5769</v>
      </c>
    </row>
    <row r="801" spans="1:15" x14ac:dyDescent="0.3">
      <c r="A801" t="s">
        <v>813</v>
      </c>
      <c r="B801" s="1">
        <v>45017</v>
      </c>
      <c r="C801" t="s">
        <v>2810</v>
      </c>
      <c r="D801" t="s">
        <v>3999</v>
      </c>
      <c r="E801">
        <v>50</v>
      </c>
      <c r="F801" t="str">
        <f t="shared" si="12"/>
        <v>46+</v>
      </c>
      <c r="G801" t="s">
        <v>4003</v>
      </c>
      <c r="H801" t="s">
        <v>4009</v>
      </c>
      <c r="I801" t="s">
        <v>4016</v>
      </c>
      <c r="J801">
        <v>7</v>
      </c>
      <c r="K801">
        <v>2506</v>
      </c>
      <c r="L801">
        <v>0</v>
      </c>
      <c r="M801">
        <v>17542</v>
      </c>
      <c r="N801">
        <v>0</v>
      </c>
      <c r="O801">
        <v>17542</v>
      </c>
    </row>
    <row r="802" spans="1:15" x14ac:dyDescent="0.3">
      <c r="A802" t="s">
        <v>814</v>
      </c>
      <c r="B802" s="1">
        <v>44860</v>
      </c>
      <c r="C802" t="s">
        <v>2811</v>
      </c>
      <c r="D802" t="s">
        <v>4000</v>
      </c>
      <c r="E802">
        <v>44</v>
      </c>
      <c r="F802" t="str">
        <f t="shared" si="12"/>
        <v>36-45</v>
      </c>
      <c r="G802" t="s">
        <v>4003</v>
      </c>
      <c r="H802" t="s">
        <v>4009</v>
      </c>
      <c r="I802" t="s">
        <v>4014</v>
      </c>
      <c r="J802">
        <v>2</v>
      </c>
      <c r="K802">
        <v>434</v>
      </c>
      <c r="L802">
        <v>0</v>
      </c>
      <c r="M802">
        <v>868</v>
      </c>
      <c r="N802">
        <v>0</v>
      </c>
      <c r="O802">
        <v>868</v>
      </c>
    </row>
    <row r="803" spans="1:15" x14ac:dyDescent="0.3">
      <c r="A803" t="s">
        <v>815</v>
      </c>
      <c r="B803" s="1">
        <v>44919</v>
      </c>
      <c r="C803" t="s">
        <v>2812</v>
      </c>
      <c r="D803" t="s">
        <v>4000</v>
      </c>
      <c r="E803">
        <v>47</v>
      </c>
      <c r="F803" t="str">
        <f t="shared" si="12"/>
        <v>46+</v>
      </c>
      <c r="G803" t="s">
        <v>4002</v>
      </c>
      <c r="H803" t="s">
        <v>4010</v>
      </c>
      <c r="I803" t="s">
        <v>4014</v>
      </c>
      <c r="J803">
        <v>4</v>
      </c>
      <c r="K803">
        <v>404</v>
      </c>
      <c r="L803">
        <v>5</v>
      </c>
      <c r="M803">
        <v>1616</v>
      </c>
      <c r="N803">
        <v>80.8</v>
      </c>
      <c r="O803">
        <v>1535.2</v>
      </c>
    </row>
    <row r="804" spans="1:15" x14ac:dyDescent="0.3">
      <c r="A804" t="s">
        <v>816</v>
      </c>
      <c r="B804" s="1">
        <v>44876</v>
      </c>
      <c r="C804" t="s">
        <v>2813</v>
      </c>
      <c r="D804" t="s">
        <v>4000</v>
      </c>
      <c r="E804">
        <v>32</v>
      </c>
      <c r="F804" t="str">
        <f t="shared" si="12"/>
        <v>26-35</v>
      </c>
      <c r="G804" t="s">
        <v>4002</v>
      </c>
      <c r="H804" t="s">
        <v>4010</v>
      </c>
      <c r="I804" t="s">
        <v>4016</v>
      </c>
      <c r="J804">
        <v>1</v>
      </c>
      <c r="K804">
        <v>2300</v>
      </c>
      <c r="L804">
        <v>0</v>
      </c>
      <c r="M804">
        <v>2300</v>
      </c>
      <c r="N804">
        <v>0</v>
      </c>
      <c r="O804">
        <v>2300</v>
      </c>
    </row>
    <row r="805" spans="1:15" x14ac:dyDescent="0.3">
      <c r="A805" t="s">
        <v>817</v>
      </c>
      <c r="B805" s="1">
        <v>44984</v>
      </c>
      <c r="C805" t="s">
        <v>2814</v>
      </c>
      <c r="D805" t="s">
        <v>3999</v>
      </c>
      <c r="E805">
        <v>28</v>
      </c>
      <c r="F805" t="str">
        <f t="shared" si="12"/>
        <v>26-35</v>
      </c>
      <c r="G805" t="s">
        <v>4002</v>
      </c>
      <c r="H805" t="s">
        <v>4007</v>
      </c>
      <c r="I805" t="s">
        <v>4015</v>
      </c>
      <c r="J805">
        <v>2</v>
      </c>
      <c r="K805">
        <v>270</v>
      </c>
      <c r="L805">
        <v>0</v>
      </c>
      <c r="M805">
        <v>540</v>
      </c>
      <c r="N805">
        <v>0</v>
      </c>
      <c r="O805">
        <v>540</v>
      </c>
    </row>
    <row r="806" spans="1:15" x14ac:dyDescent="0.3">
      <c r="A806" t="s">
        <v>818</v>
      </c>
      <c r="B806" s="1">
        <v>44739</v>
      </c>
      <c r="C806" t="s">
        <v>2815</v>
      </c>
      <c r="D806" t="s">
        <v>4000</v>
      </c>
      <c r="E806">
        <v>53</v>
      </c>
      <c r="F806" t="str">
        <f t="shared" si="12"/>
        <v>46+</v>
      </c>
      <c r="G806" t="s">
        <v>4006</v>
      </c>
      <c r="H806" t="s">
        <v>4010</v>
      </c>
      <c r="I806" t="s">
        <v>4017</v>
      </c>
      <c r="J806">
        <v>2</v>
      </c>
      <c r="K806">
        <v>704</v>
      </c>
      <c r="L806">
        <v>15</v>
      </c>
      <c r="M806">
        <v>1408</v>
      </c>
      <c r="N806">
        <v>211.2</v>
      </c>
      <c r="O806">
        <v>1196.8</v>
      </c>
    </row>
    <row r="807" spans="1:15" x14ac:dyDescent="0.3">
      <c r="A807" t="s">
        <v>819</v>
      </c>
      <c r="B807" s="1">
        <v>44946</v>
      </c>
      <c r="C807" t="s">
        <v>2816</v>
      </c>
      <c r="D807" t="s">
        <v>4000</v>
      </c>
      <c r="E807">
        <v>51</v>
      </c>
      <c r="F807" t="str">
        <f t="shared" si="12"/>
        <v>46+</v>
      </c>
      <c r="G807" t="s">
        <v>4005</v>
      </c>
      <c r="H807" t="s">
        <v>4009</v>
      </c>
      <c r="I807" t="s">
        <v>4016</v>
      </c>
      <c r="J807">
        <v>7</v>
      </c>
      <c r="K807">
        <v>7209</v>
      </c>
      <c r="L807">
        <v>15</v>
      </c>
      <c r="M807">
        <v>50463</v>
      </c>
      <c r="N807">
        <v>7569.45</v>
      </c>
      <c r="O807">
        <v>42893.55</v>
      </c>
    </row>
    <row r="808" spans="1:15" x14ac:dyDescent="0.3">
      <c r="A808" t="s">
        <v>820</v>
      </c>
      <c r="B808" s="1">
        <v>45170</v>
      </c>
      <c r="C808" t="s">
        <v>2817</v>
      </c>
      <c r="D808" t="s">
        <v>4000</v>
      </c>
      <c r="E808">
        <v>39</v>
      </c>
      <c r="F808" t="str">
        <f t="shared" si="12"/>
        <v>36-45</v>
      </c>
      <c r="G808" t="s">
        <v>4001</v>
      </c>
      <c r="H808" t="s">
        <v>4007</v>
      </c>
      <c r="I808" t="s">
        <v>4015</v>
      </c>
      <c r="J808">
        <v>3</v>
      </c>
      <c r="K808">
        <v>7034</v>
      </c>
      <c r="L808">
        <v>0</v>
      </c>
      <c r="M808">
        <v>21102</v>
      </c>
      <c r="N808">
        <v>0</v>
      </c>
      <c r="O808">
        <v>21102</v>
      </c>
    </row>
    <row r="809" spans="1:15" x14ac:dyDescent="0.3">
      <c r="A809" t="s">
        <v>821</v>
      </c>
      <c r="B809" s="1">
        <v>44569</v>
      </c>
      <c r="C809" t="s">
        <v>2818</v>
      </c>
      <c r="D809" t="s">
        <v>3999</v>
      </c>
      <c r="E809">
        <v>39</v>
      </c>
      <c r="F809" t="str">
        <f t="shared" si="12"/>
        <v>36-45</v>
      </c>
      <c r="G809" t="s">
        <v>4005</v>
      </c>
      <c r="H809" t="s">
        <v>4008</v>
      </c>
      <c r="I809" t="s">
        <v>4016</v>
      </c>
      <c r="J809">
        <v>7</v>
      </c>
      <c r="K809">
        <v>7001</v>
      </c>
      <c r="L809">
        <v>5</v>
      </c>
      <c r="M809">
        <v>49007</v>
      </c>
      <c r="N809">
        <v>2450.35</v>
      </c>
      <c r="O809">
        <v>46556.65</v>
      </c>
    </row>
    <row r="810" spans="1:15" x14ac:dyDescent="0.3">
      <c r="A810" t="s">
        <v>822</v>
      </c>
      <c r="B810" s="1">
        <v>44818</v>
      </c>
      <c r="C810" t="s">
        <v>2819</v>
      </c>
      <c r="D810" t="s">
        <v>3999</v>
      </c>
      <c r="E810">
        <v>59</v>
      </c>
      <c r="F810" t="str">
        <f t="shared" si="12"/>
        <v>46+</v>
      </c>
      <c r="G810" t="s">
        <v>4003</v>
      </c>
      <c r="H810" t="s">
        <v>4009</v>
      </c>
      <c r="I810" t="s">
        <v>4016</v>
      </c>
      <c r="J810">
        <v>5</v>
      </c>
      <c r="K810">
        <v>1908</v>
      </c>
      <c r="L810">
        <v>15</v>
      </c>
      <c r="M810">
        <v>9540</v>
      </c>
      <c r="N810">
        <v>1431</v>
      </c>
      <c r="O810">
        <v>8109</v>
      </c>
    </row>
    <row r="811" spans="1:15" x14ac:dyDescent="0.3">
      <c r="A811" t="s">
        <v>823</v>
      </c>
      <c r="B811" s="1">
        <v>44877</v>
      </c>
      <c r="C811" t="s">
        <v>2820</v>
      </c>
      <c r="D811" t="s">
        <v>4000</v>
      </c>
      <c r="E811">
        <v>38</v>
      </c>
      <c r="F811" t="str">
        <f t="shared" si="12"/>
        <v>36-45</v>
      </c>
      <c r="G811" t="s">
        <v>4006</v>
      </c>
      <c r="H811" t="s">
        <v>4007</v>
      </c>
      <c r="I811" t="s">
        <v>4014</v>
      </c>
      <c r="J811">
        <v>2</v>
      </c>
      <c r="K811">
        <v>3603</v>
      </c>
      <c r="L811">
        <v>15</v>
      </c>
      <c r="M811">
        <v>7206</v>
      </c>
      <c r="N811">
        <v>1080.9000000000001</v>
      </c>
      <c r="O811">
        <v>6125.1</v>
      </c>
    </row>
    <row r="812" spans="1:15" x14ac:dyDescent="0.3">
      <c r="A812" t="s">
        <v>824</v>
      </c>
      <c r="B812" s="1">
        <v>44720</v>
      </c>
      <c r="C812" t="s">
        <v>2821</v>
      </c>
      <c r="D812" t="s">
        <v>3999</v>
      </c>
      <c r="E812">
        <v>64</v>
      </c>
      <c r="F812" t="str">
        <f t="shared" si="12"/>
        <v>46+</v>
      </c>
      <c r="G812" t="s">
        <v>4002</v>
      </c>
      <c r="H812" t="s">
        <v>4012</v>
      </c>
      <c r="I812" t="s">
        <v>4016</v>
      </c>
      <c r="J812">
        <v>6</v>
      </c>
      <c r="K812">
        <v>7998</v>
      </c>
      <c r="L812">
        <v>10</v>
      </c>
      <c r="M812">
        <v>47988</v>
      </c>
      <c r="N812">
        <v>4798.8</v>
      </c>
      <c r="O812">
        <v>43189.2</v>
      </c>
    </row>
    <row r="813" spans="1:15" x14ac:dyDescent="0.3">
      <c r="A813" t="s">
        <v>825</v>
      </c>
      <c r="B813" s="1">
        <v>45045</v>
      </c>
      <c r="C813" t="s">
        <v>2822</v>
      </c>
      <c r="D813" t="s">
        <v>3999</v>
      </c>
      <c r="E813">
        <v>26</v>
      </c>
      <c r="F813" t="str">
        <f t="shared" si="12"/>
        <v>26-35</v>
      </c>
      <c r="G813" t="s">
        <v>4003</v>
      </c>
      <c r="H813" t="s">
        <v>4008</v>
      </c>
      <c r="I813" t="s">
        <v>4013</v>
      </c>
      <c r="J813">
        <v>5</v>
      </c>
      <c r="K813">
        <v>4696</v>
      </c>
      <c r="L813">
        <v>10</v>
      </c>
      <c r="M813">
        <v>23480</v>
      </c>
      <c r="N813">
        <v>2348</v>
      </c>
      <c r="O813">
        <v>21132</v>
      </c>
    </row>
    <row r="814" spans="1:15" x14ac:dyDescent="0.3">
      <c r="A814" t="s">
        <v>826</v>
      </c>
      <c r="B814" s="1">
        <v>44812</v>
      </c>
      <c r="C814" t="s">
        <v>2823</v>
      </c>
      <c r="D814" t="s">
        <v>4000</v>
      </c>
      <c r="E814">
        <v>31</v>
      </c>
      <c r="F814" t="str">
        <f t="shared" si="12"/>
        <v>26-35</v>
      </c>
      <c r="G814" t="s">
        <v>4005</v>
      </c>
      <c r="H814" t="s">
        <v>4009</v>
      </c>
      <c r="I814" t="s">
        <v>4014</v>
      </c>
      <c r="J814">
        <v>6</v>
      </c>
      <c r="K814">
        <v>7276</v>
      </c>
      <c r="L814">
        <v>0</v>
      </c>
      <c r="M814">
        <v>43656</v>
      </c>
      <c r="N814">
        <v>0</v>
      </c>
      <c r="O814">
        <v>43656</v>
      </c>
    </row>
    <row r="815" spans="1:15" x14ac:dyDescent="0.3">
      <c r="A815" t="s">
        <v>827</v>
      </c>
      <c r="B815" s="1">
        <v>44966</v>
      </c>
      <c r="C815" t="s">
        <v>2824</v>
      </c>
      <c r="D815" t="s">
        <v>4000</v>
      </c>
      <c r="E815">
        <v>30</v>
      </c>
      <c r="F815" t="str">
        <f t="shared" si="12"/>
        <v>26-35</v>
      </c>
      <c r="G815" t="s">
        <v>4006</v>
      </c>
      <c r="H815" t="s">
        <v>4007</v>
      </c>
      <c r="I815" t="s">
        <v>4013</v>
      </c>
      <c r="J815">
        <v>7</v>
      </c>
      <c r="K815">
        <v>7374</v>
      </c>
      <c r="L815">
        <v>10</v>
      </c>
      <c r="M815">
        <v>51618</v>
      </c>
      <c r="N815">
        <v>5161.8</v>
      </c>
      <c r="O815">
        <v>46456.2</v>
      </c>
    </row>
    <row r="816" spans="1:15" x14ac:dyDescent="0.3">
      <c r="A816" t="s">
        <v>828</v>
      </c>
      <c r="B816" s="1">
        <v>44754</v>
      </c>
      <c r="C816" t="s">
        <v>2825</v>
      </c>
      <c r="D816" t="s">
        <v>4000</v>
      </c>
      <c r="E816">
        <v>51</v>
      </c>
      <c r="F816" t="str">
        <f t="shared" si="12"/>
        <v>46+</v>
      </c>
      <c r="G816" t="s">
        <v>4005</v>
      </c>
      <c r="H816" t="s">
        <v>4010</v>
      </c>
      <c r="I816" t="s">
        <v>4014</v>
      </c>
      <c r="J816">
        <v>1</v>
      </c>
      <c r="K816">
        <v>3408</v>
      </c>
      <c r="L816">
        <v>10</v>
      </c>
      <c r="M816">
        <v>3408</v>
      </c>
      <c r="N816">
        <v>340.8</v>
      </c>
      <c r="O816">
        <v>3067.2</v>
      </c>
    </row>
    <row r="817" spans="1:15" x14ac:dyDescent="0.3">
      <c r="A817" t="s">
        <v>829</v>
      </c>
      <c r="B817" s="1">
        <v>45064</v>
      </c>
      <c r="C817" t="s">
        <v>2826</v>
      </c>
      <c r="D817" t="s">
        <v>3999</v>
      </c>
      <c r="E817">
        <v>32</v>
      </c>
      <c r="F817" t="str">
        <f t="shared" si="12"/>
        <v>26-35</v>
      </c>
      <c r="G817" t="s">
        <v>4002</v>
      </c>
      <c r="H817" t="s">
        <v>4010</v>
      </c>
      <c r="I817" t="s">
        <v>4016</v>
      </c>
      <c r="J817">
        <v>6</v>
      </c>
      <c r="K817">
        <v>166</v>
      </c>
      <c r="L817">
        <v>15</v>
      </c>
      <c r="M817">
        <v>996</v>
      </c>
      <c r="N817">
        <v>149.4</v>
      </c>
      <c r="O817">
        <v>846.6</v>
      </c>
    </row>
    <row r="818" spans="1:15" x14ac:dyDescent="0.3">
      <c r="A818" t="s">
        <v>830</v>
      </c>
      <c r="B818" s="1">
        <v>44760</v>
      </c>
      <c r="C818" t="s">
        <v>2827</v>
      </c>
      <c r="D818" t="s">
        <v>4000</v>
      </c>
      <c r="E818">
        <v>30</v>
      </c>
      <c r="F818" t="str">
        <f t="shared" si="12"/>
        <v>26-35</v>
      </c>
      <c r="G818" t="s">
        <v>4002</v>
      </c>
      <c r="H818" t="s">
        <v>4008</v>
      </c>
      <c r="I818" t="s">
        <v>4017</v>
      </c>
      <c r="J818">
        <v>3</v>
      </c>
      <c r="K818">
        <v>3733</v>
      </c>
      <c r="L818">
        <v>10</v>
      </c>
      <c r="M818">
        <v>11199</v>
      </c>
      <c r="N818">
        <v>1119.9000000000001</v>
      </c>
      <c r="O818">
        <v>10079.1</v>
      </c>
    </row>
    <row r="819" spans="1:15" x14ac:dyDescent="0.3">
      <c r="A819" t="s">
        <v>831</v>
      </c>
      <c r="B819" s="1">
        <v>44724</v>
      </c>
      <c r="C819" t="s">
        <v>2828</v>
      </c>
      <c r="D819" t="s">
        <v>4000</v>
      </c>
      <c r="E819">
        <v>39</v>
      </c>
      <c r="F819" t="str">
        <f t="shared" si="12"/>
        <v>36-45</v>
      </c>
      <c r="G819" t="s">
        <v>4001</v>
      </c>
      <c r="H819" t="s">
        <v>4007</v>
      </c>
      <c r="I819" t="s">
        <v>4014</v>
      </c>
      <c r="J819">
        <v>2</v>
      </c>
      <c r="K819">
        <v>6726</v>
      </c>
      <c r="L819">
        <v>15</v>
      </c>
      <c r="M819">
        <v>13452</v>
      </c>
      <c r="N819">
        <v>2017.8</v>
      </c>
      <c r="O819">
        <v>11434.2</v>
      </c>
    </row>
    <row r="820" spans="1:15" x14ac:dyDescent="0.3">
      <c r="A820" t="s">
        <v>832</v>
      </c>
      <c r="B820" s="1">
        <v>45251</v>
      </c>
      <c r="C820" t="s">
        <v>2829</v>
      </c>
      <c r="D820" t="s">
        <v>4000</v>
      </c>
      <c r="E820">
        <v>57</v>
      </c>
      <c r="F820" t="str">
        <f t="shared" si="12"/>
        <v>46+</v>
      </c>
      <c r="G820" t="s">
        <v>4003</v>
      </c>
      <c r="H820" t="s">
        <v>4008</v>
      </c>
      <c r="I820" t="s">
        <v>4015</v>
      </c>
      <c r="J820">
        <v>2</v>
      </c>
      <c r="K820">
        <v>2648</v>
      </c>
      <c r="L820">
        <v>0</v>
      </c>
      <c r="M820">
        <v>5296</v>
      </c>
      <c r="N820">
        <v>0</v>
      </c>
      <c r="O820">
        <v>5296</v>
      </c>
    </row>
    <row r="821" spans="1:15" x14ac:dyDescent="0.3">
      <c r="A821" t="s">
        <v>833</v>
      </c>
      <c r="B821" s="1">
        <v>45151</v>
      </c>
      <c r="C821" t="s">
        <v>2830</v>
      </c>
      <c r="D821" t="s">
        <v>4000</v>
      </c>
      <c r="E821">
        <v>29</v>
      </c>
      <c r="F821" t="str">
        <f t="shared" si="12"/>
        <v>26-35</v>
      </c>
      <c r="G821" t="s">
        <v>4003</v>
      </c>
      <c r="H821" t="s">
        <v>4010</v>
      </c>
      <c r="I821" t="s">
        <v>4015</v>
      </c>
      <c r="J821">
        <v>1</v>
      </c>
      <c r="K821">
        <v>3450</v>
      </c>
      <c r="L821">
        <v>20</v>
      </c>
      <c r="M821">
        <v>3450</v>
      </c>
      <c r="N821">
        <v>690</v>
      </c>
      <c r="O821">
        <v>2760</v>
      </c>
    </row>
    <row r="822" spans="1:15" x14ac:dyDescent="0.3">
      <c r="A822" t="s">
        <v>834</v>
      </c>
      <c r="B822" s="1">
        <v>44927</v>
      </c>
      <c r="C822" t="s">
        <v>2831</v>
      </c>
      <c r="D822" t="s">
        <v>3999</v>
      </c>
      <c r="E822">
        <v>43</v>
      </c>
      <c r="F822" t="str">
        <f t="shared" si="12"/>
        <v>36-45</v>
      </c>
      <c r="G822" t="s">
        <v>4005</v>
      </c>
      <c r="H822" t="s">
        <v>4010</v>
      </c>
      <c r="I822" t="s">
        <v>4015</v>
      </c>
      <c r="J822">
        <v>5</v>
      </c>
      <c r="K822">
        <v>1089</v>
      </c>
      <c r="L822">
        <v>10</v>
      </c>
      <c r="M822">
        <v>5445</v>
      </c>
      <c r="N822">
        <v>544.5</v>
      </c>
      <c r="O822">
        <v>4900.5</v>
      </c>
    </row>
    <row r="823" spans="1:15" x14ac:dyDescent="0.3">
      <c r="A823" t="s">
        <v>835</v>
      </c>
      <c r="B823" s="1">
        <v>44808</v>
      </c>
      <c r="C823" t="s">
        <v>2832</v>
      </c>
      <c r="D823" t="s">
        <v>4000</v>
      </c>
      <c r="E823">
        <v>49</v>
      </c>
      <c r="F823" t="str">
        <f t="shared" si="12"/>
        <v>46+</v>
      </c>
      <c r="G823" t="s">
        <v>4005</v>
      </c>
      <c r="H823" t="s">
        <v>4007</v>
      </c>
      <c r="I823" t="s">
        <v>4015</v>
      </c>
      <c r="J823">
        <v>3</v>
      </c>
      <c r="K823">
        <v>7197</v>
      </c>
      <c r="L823">
        <v>15</v>
      </c>
      <c r="M823">
        <v>21591</v>
      </c>
      <c r="N823">
        <v>3238.65</v>
      </c>
      <c r="O823">
        <v>18352.349999999999</v>
      </c>
    </row>
    <row r="824" spans="1:15" x14ac:dyDescent="0.3">
      <c r="A824" t="s">
        <v>836</v>
      </c>
      <c r="B824" s="1">
        <v>44590</v>
      </c>
      <c r="C824" t="s">
        <v>2833</v>
      </c>
      <c r="D824" t="s">
        <v>4000</v>
      </c>
      <c r="E824">
        <v>53</v>
      </c>
      <c r="F824" t="str">
        <f t="shared" si="12"/>
        <v>46+</v>
      </c>
      <c r="G824" t="s">
        <v>4005</v>
      </c>
      <c r="H824" t="s">
        <v>4007</v>
      </c>
      <c r="I824" t="s">
        <v>4015</v>
      </c>
      <c r="J824">
        <v>2</v>
      </c>
      <c r="K824">
        <v>7859</v>
      </c>
      <c r="L824">
        <v>0</v>
      </c>
      <c r="M824">
        <v>15718</v>
      </c>
      <c r="N824">
        <v>0</v>
      </c>
      <c r="O824">
        <v>15718</v>
      </c>
    </row>
    <row r="825" spans="1:15" x14ac:dyDescent="0.3">
      <c r="A825" t="s">
        <v>837</v>
      </c>
      <c r="B825" s="1">
        <v>44752</v>
      </c>
      <c r="C825" t="s">
        <v>2834</v>
      </c>
      <c r="D825" t="s">
        <v>3999</v>
      </c>
      <c r="E825">
        <v>37</v>
      </c>
      <c r="F825" t="str">
        <f t="shared" si="12"/>
        <v>36-45</v>
      </c>
      <c r="G825" t="s">
        <v>4003</v>
      </c>
      <c r="H825" t="s">
        <v>4012</v>
      </c>
      <c r="I825" t="s">
        <v>4017</v>
      </c>
      <c r="J825">
        <v>2</v>
      </c>
      <c r="K825">
        <v>6568</v>
      </c>
      <c r="L825">
        <v>20</v>
      </c>
      <c r="M825">
        <v>13136</v>
      </c>
      <c r="N825">
        <v>2627.2</v>
      </c>
      <c r="O825">
        <v>10508.8</v>
      </c>
    </row>
    <row r="826" spans="1:15" x14ac:dyDescent="0.3">
      <c r="A826" t="s">
        <v>838</v>
      </c>
      <c r="B826" s="1">
        <v>44865</v>
      </c>
      <c r="C826" t="s">
        <v>2835</v>
      </c>
      <c r="D826" t="s">
        <v>4000</v>
      </c>
      <c r="E826">
        <v>21</v>
      </c>
      <c r="F826" t="str">
        <f t="shared" si="12"/>
        <v>18-25</v>
      </c>
      <c r="G826" t="s">
        <v>4004</v>
      </c>
      <c r="H826" t="s">
        <v>4007</v>
      </c>
      <c r="I826" t="s">
        <v>4015</v>
      </c>
      <c r="J826">
        <v>5</v>
      </c>
      <c r="K826">
        <v>6376</v>
      </c>
      <c r="L826">
        <v>10</v>
      </c>
      <c r="M826">
        <v>31880</v>
      </c>
      <c r="N826">
        <v>3188</v>
      </c>
      <c r="O826">
        <v>28692</v>
      </c>
    </row>
    <row r="827" spans="1:15" x14ac:dyDescent="0.3">
      <c r="A827" t="s">
        <v>839</v>
      </c>
      <c r="B827" s="1">
        <v>44710</v>
      </c>
      <c r="C827" t="s">
        <v>2836</v>
      </c>
      <c r="D827" t="s">
        <v>3999</v>
      </c>
      <c r="E827">
        <v>63</v>
      </c>
      <c r="F827" t="str">
        <f t="shared" si="12"/>
        <v>46+</v>
      </c>
      <c r="G827" t="s">
        <v>4005</v>
      </c>
      <c r="H827" t="s">
        <v>4011</v>
      </c>
      <c r="I827" t="s">
        <v>4014</v>
      </c>
      <c r="J827">
        <v>4</v>
      </c>
      <c r="K827">
        <v>7151</v>
      </c>
      <c r="L827">
        <v>0</v>
      </c>
      <c r="M827">
        <v>28604</v>
      </c>
      <c r="N827">
        <v>0</v>
      </c>
      <c r="O827">
        <v>28604</v>
      </c>
    </row>
    <row r="828" spans="1:15" x14ac:dyDescent="0.3">
      <c r="A828" t="s">
        <v>840</v>
      </c>
      <c r="B828" s="1">
        <v>45219</v>
      </c>
      <c r="C828" t="s">
        <v>2837</v>
      </c>
      <c r="D828" t="s">
        <v>4000</v>
      </c>
      <c r="E828">
        <v>19</v>
      </c>
      <c r="F828" t="str">
        <f t="shared" si="12"/>
        <v>18-25</v>
      </c>
      <c r="G828" t="s">
        <v>4002</v>
      </c>
      <c r="H828" t="s">
        <v>4011</v>
      </c>
      <c r="I828" t="s">
        <v>4016</v>
      </c>
      <c r="J828">
        <v>4</v>
      </c>
      <c r="K828">
        <v>1953</v>
      </c>
      <c r="L828">
        <v>0</v>
      </c>
      <c r="M828">
        <v>7812</v>
      </c>
      <c r="N828">
        <v>0</v>
      </c>
      <c r="O828">
        <v>7812</v>
      </c>
    </row>
    <row r="829" spans="1:15" x14ac:dyDescent="0.3">
      <c r="A829" t="s">
        <v>841</v>
      </c>
      <c r="B829" s="1">
        <v>44857</v>
      </c>
      <c r="C829" t="s">
        <v>2838</v>
      </c>
      <c r="D829" t="s">
        <v>4000</v>
      </c>
      <c r="E829">
        <v>29</v>
      </c>
      <c r="F829" t="str">
        <f t="shared" si="12"/>
        <v>26-35</v>
      </c>
      <c r="G829" t="s">
        <v>4005</v>
      </c>
      <c r="H829" t="s">
        <v>4010</v>
      </c>
      <c r="I829" t="s">
        <v>4014</v>
      </c>
      <c r="J829">
        <v>1</v>
      </c>
      <c r="K829">
        <v>7303</v>
      </c>
      <c r="L829">
        <v>0</v>
      </c>
      <c r="M829">
        <v>7303</v>
      </c>
      <c r="N829">
        <v>0</v>
      </c>
      <c r="O829">
        <v>7303</v>
      </c>
    </row>
    <row r="830" spans="1:15" x14ac:dyDescent="0.3">
      <c r="A830" t="s">
        <v>842</v>
      </c>
      <c r="B830" s="1">
        <v>44900</v>
      </c>
      <c r="C830" t="s">
        <v>2839</v>
      </c>
      <c r="D830" t="s">
        <v>3999</v>
      </c>
      <c r="E830">
        <v>39</v>
      </c>
      <c r="F830" t="str">
        <f t="shared" si="12"/>
        <v>36-45</v>
      </c>
      <c r="G830" t="s">
        <v>4004</v>
      </c>
      <c r="H830" t="s">
        <v>4012</v>
      </c>
      <c r="I830" t="s">
        <v>4016</v>
      </c>
      <c r="J830">
        <v>6</v>
      </c>
      <c r="K830">
        <v>971</v>
      </c>
      <c r="L830">
        <v>10</v>
      </c>
      <c r="M830">
        <v>5826</v>
      </c>
      <c r="N830">
        <v>582.6</v>
      </c>
      <c r="O830">
        <v>5243.4</v>
      </c>
    </row>
    <row r="831" spans="1:15" x14ac:dyDescent="0.3">
      <c r="A831" t="s">
        <v>843</v>
      </c>
      <c r="B831" s="1">
        <v>45041</v>
      </c>
      <c r="C831" t="s">
        <v>2840</v>
      </c>
      <c r="D831" t="s">
        <v>4000</v>
      </c>
      <c r="E831">
        <v>44</v>
      </c>
      <c r="F831" t="str">
        <f t="shared" si="12"/>
        <v>36-45</v>
      </c>
      <c r="G831" t="s">
        <v>4006</v>
      </c>
      <c r="H831" t="s">
        <v>4007</v>
      </c>
      <c r="I831" t="s">
        <v>4013</v>
      </c>
      <c r="J831">
        <v>7</v>
      </c>
      <c r="K831">
        <v>7129</v>
      </c>
      <c r="L831">
        <v>15</v>
      </c>
      <c r="M831">
        <v>49903</v>
      </c>
      <c r="N831">
        <v>7485.45</v>
      </c>
      <c r="O831">
        <v>42417.55</v>
      </c>
    </row>
    <row r="832" spans="1:15" x14ac:dyDescent="0.3">
      <c r="A832" t="s">
        <v>844</v>
      </c>
      <c r="B832" s="1">
        <v>44649</v>
      </c>
      <c r="C832" t="s">
        <v>2841</v>
      </c>
      <c r="D832" t="s">
        <v>3999</v>
      </c>
      <c r="E832">
        <v>44</v>
      </c>
      <c r="F832" t="str">
        <f t="shared" si="12"/>
        <v>36-45</v>
      </c>
      <c r="G832" t="s">
        <v>4003</v>
      </c>
      <c r="H832" t="s">
        <v>4007</v>
      </c>
      <c r="I832" t="s">
        <v>4016</v>
      </c>
      <c r="J832">
        <v>7</v>
      </c>
      <c r="K832">
        <v>2780</v>
      </c>
      <c r="L832">
        <v>5</v>
      </c>
      <c r="M832">
        <v>19460</v>
      </c>
      <c r="N832">
        <v>973</v>
      </c>
      <c r="O832">
        <v>18487</v>
      </c>
    </row>
    <row r="833" spans="1:15" x14ac:dyDescent="0.3">
      <c r="A833" t="s">
        <v>845</v>
      </c>
      <c r="B833" s="1">
        <v>45088</v>
      </c>
      <c r="C833" t="s">
        <v>2842</v>
      </c>
      <c r="D833" t="s">
        <v>3999</v>
      </c>
      <c r="E833">
        <v>19</v>
      </c>
      <c r="F833" t="str">
        <f t="shared" si="12"/>
        <v>18-25</v>
      </c>
      <c r="G833" t="s">
        <v>4001</v>
      </c>
      <c r="H833" t="s">
        <v>4007</v>
      </c>
      <c r="I833" t="s">
        <v>4013</v>
      </c>
      <c r="J833">
        <v>6</v>
      </c>
      <c r="K833">
        <v>6534</v>
      </c>
      <c r="L833">
        <v>0</v>
      </c>
      <c r="M833">
        <v>39204</v>
      </c>
      <c r="N833">
        <v>0</v>
      </c>
      <c r="O833">
        <v>39204</v>
      </c>
    </row>
    <row r="834" spans="1:15" x14ac:dyDescent="0.3">
      <c r="A834" t="s">
        <v>846</v>
      </c>
      <c r="B834" s="1">
        <v>45090</v>
      </c>
      <c r="C834" t="s">
        <v>2843</v>
      </c>
      <c r="D834" t="s">
        <v>4000</v>
      </c>
      <c r="E834">
        <v>43</v>
      </c>
      <c r="F834" t="str">
        <f t="shared" ref="F834:F897" si="13">IF(E834&lt;=25,"18-25",IF(E834&lt;=35,"26-35",IF(E834&lt;=45,"36-45","46+")))</f>
        <v>36-45</v>
      </c>
      <c r="G834" t="s">
        <v>4003</v>
      </c>
      <c r="H834" t="s">
        <v>4009</v>
      </c>
      <c r="I834" t="s">
        <v>4014</v>
      </c>
      <c r="J834">
        <v>2</v>
      </c>
      <c r="K834">
        <v>4633</v>
      </c>
      <c r="L834">
        <v>5</v>
      </c>
      <c r="M834">
        <v>9266</v>
      </c>
      <c r="N834">
        <v>463.3</v>
      </c>
      <c r="O834">
        <v>8802.7000000000007</v>
      </c>
    </row>
    <row r="835" spans="1:15" x14ac:dyDescent="0.3">
      <c r="A835" t="s">
        <v>847</v>
      </c>
      <c r="B835" s="1">
        <v>44707</v>
      </c>
      <c r="C835" t="s">
        <v>2844</v>
      </c>
      <c r="D835" t="s">
        <v>4000</v>
      </c>
      <c r="E835">
        <v>40</v>
      </c>
      <c r="F835" t="str">
        <f t="shared" si="13"/>
        <v>36-45</v>
      </c>
      <c r="G835" t="s">
        <v>4002</v>
      </c>
      <c r="H835" t="s">
        <v>4009</v>
      </c>
      <c r="I835" t="s">
        <v>4016</v>
      </c>
      <c r="J835">
        <v>5</v>
      </c>
      <c r="K835">
        <v>2451</v>
      </c>
      <c r="L835">
        <v>0</v>
      </c>
      <c r="M835">
        <v>12255</v>
      </c>
      <c r="N835">
        <v>0</v>
      </c>
      <c r="O835">
        <v>12255</v>
      </c>
    </row>
    <row r="836" spans="1:15" x14ac:dyDescent="0.3">
      <c r="A836" t="s">
        <v>848</v>
      </c>
      <c r="B836" s="1">
        <v>44697</v>
      </c>
      <c r="C836" t="s">
        <v>2845</v>
      </c>
      <c r="D836" t="s">
        <v>3999</v>
      </c>
      <c r="E836">
        <v>32</v>
      </c>
      <c r="F836" t="str">
        <f t="shared" si="13"/>
        <v>26-35</v>
      </c>
      <c r="G836" t="s">
        <v>4004</v>
      </c>
      <c r="H836" t="s">
        <v>4009</v>
      </c>
      <c r="I836" t="s">
        <v>4014</v>
      </c>
      <c r="J836">
        <v>5</v>
      </c>
      <c r="K836">
        <v>4950</v>
      </c>
      <c r="L836">
        <v>10</v>
      </c>
      <c r="M836">
        <v>24750</v>
      </c>
      <c r="N836">
        <v>2475</v>
      </c>
      <c r="O836">
        <v>22275</v>
      </c>
    </row>
    <row r="837" spans="1:15" x14ac:dyDescent="0.3">
      <c r="A837" t="s">
        <v>849</v>
      </c>
      <c r="B837" s="1">
        <v>44879</v>
      </c>
      <c r="C837" t="s">
        <v>2846</v>
      </c>
      <c r="D837" t="s">
        <v>4000</v>
      </c>
      <c r="E837">
        <v>56</v>
      </c>
      <c r="F837" t="str">
        <f t="shared" si="13"/>
        <v>46+</v>
      </c>
      <c r="G837" t="s">
        <v>4004</v>
      </c>
      <c r="H837" t="s">
        <v>4008</v>
      </c>
      <c r="I837" t="s">
        <v>4016</v>
      </c>
      <c r="J837">
        <v>5</v>
      </c>
      <c r="K837">
        <v>786</v>
      </c>
      <c r="L837">
        <v>0</v>
      </c>
      <c r="M837">
        <v>3930</v>
      </c>
      <c r="N837">
        <v>0</v>
      </c>
      <c r="O837">
        <v>3930</v>
      </c>
    </row>
    <row r="838" spans="1:15" x14ac:dyDescent="0.3">
      <c r="A838" t="s">
        <v>850</v>
      </c>
      <c r="B838" s="1">
        <v>44889</v>
      </c>
      <c r="C838" t="s">
        <v>2847</v>
      </c>
      <c r="D838" t="s">
        <v>4000</v>
      </c>
      <c r="E838">
        <v>29</v>
      </c>
      <c r="F838" t="str">
        <f t="shared" si="13"/>
        <v>26-35</v>
      </c>
      <c r="G838" t="s">
        <v>4005</v>
      </c>
      <c r="H838" t="s">
        <v>4012</v>
      </c>
      <c r="I838" t="s">
        <v>4017</v>
      </c>
      <c r="J838">
        <v>2</v>
      </c>
      <c r="K838">
        <v>7154</v>
      </c>
      <c r="L838">
        <v>0</v>
      </c>
      <c r="M838">
        <v>14308</v>
      </c>
      <c r="N838">
        <v>0</v>
      </c>
      <c r="O838">
        <v>14308</v>
      </c>
    </row>
    <row r="839" spans="1:15" x14ac:dyDescent="0.3">
      <c r="A839" t="s">
        <v>851</v>
      </c>
      <c r="B839" s="1">
        <v>44804</v>
      </c>
      <c r="C839" t="s">
        <v>2848</v>
      </c>
      <c r="D839" t="s">
        <v>4000</v>
      </c>
      <c r="E839">
        <v>36</v>
      </c>
      <c r="F839" t="str">
        <f t="shared" si="13"/>
        <v>36-45</v>
      </c>
      <c r="G839" t="s">
        <v>4005</v>
      </c>
      <c r="H839" t="s">
        <v>4008</v>
      </c>
      <c r="I839" t="s">
        <v>4016</v>
      </c>
      <c r="J839">
        <v>7</v>
      </c>
      <c r="K839">
        <v>4607</v>
      </c>
      <c r="L839">
        <v>5</v>
      </c>
      <c r="M839">
        <v>32249</v>
      </c>
      <c r="N839">
        <v>1612.45</v>
      </c>
      <c r="O839">
        <v>30636.55</v>
      </c>
    </row>
    <row r="840" spans="1:15" x14ac:dyDescent="0.3">
      <c r="A840" t="s">
        <v>852</v>
      </c>
      <c r="B840" s="1">
        <v>44597</v>
      </c>
      <c r="C840" t="s">
        <v>2849</v>
      </c>
      <c r="D840" t="s">
        <v>4000</v>
      </c>
      <c r="E840">
        <v>42</v>
      </c>
      <c r="F840" t="str">
        <f t="shared" si="13"/>
        <v>36-45</v>
      </c>
      <c r="G840" t="s">
        <v>4005</v>
      </c>
      <c r="H840" t="s">
        <v>4011</v>
      </c>
      <c r="I840" t="s">
        <v>4014</v>
      </c>
      <c r="J840">
        <v>2</v>
      </c>
      <c r="K840">
        <v>5140</v>
      </c>
      <c r="L840">
        <v>10</v>
      </c>
      <c r="M840">
        <v>10280</v>
      </c>
      <c r="N840">
        <v>1028</v>
      </c>
      <c r="O840">
        <v>9252</v>
      </c>
    </row>
    <row r="841" spans="1:15" x14ac:dyDescent="0.3">
      <c r="A841" t="s">
        <v>853</v>
      </c>
      <c r="B841" s="1">
        <v>44930</v>
      </c>
      <c r="C841" t="s">
        <v>2850</v>
      </c>
      <c r="D841" t="s">
        <v>3999</v>
      </c>
      <c r="E841">
        <v>34</v>
      </c>
      <c r="F841" t="str">
        <f t="shared" si="13"/>
        <v>26-35</v>
      </c>
      <c r="G841" t="s">
        <v>4004</v>
      </c>
      <c r="H841" t="s">
        <v>4007</v>
      </c>
      <c r="I841" t="s">
        <v>4017</v>
      </c>
      <c r="J841">
        <v>5</v>
      </c>
      <c r="K841">
        <v>2137</v>
      </c>
      <c r="L841">
        <v>0</v>
      </c>
      <c r="M841">
        <v>10685</v>
      </c>
      <c r="N841">
        <v>0</v>
      </c>
      <c r="O841">
        <v>10685</v>
      </c>
    </row>
    <row r="842" spans="1:15" x14ac:dyDescent="0.3">
      <c r="A842" t="s">
        <v>854</v>
      </c>
      <c r="B842" s="1">
        <v>45010</v>
      </c>
      <c r="C842" t="s">
        <v>2851</v>
      </c>
      <c r="D842" t="s">
        <v>3999</v>
      </c>
      <c r="E842">
        <v>42</v>
      </c>
      <c r="F842" t="str">
        <f t="shared" si="13"/>
        <v>36-45</v>
      </c>
      <c r="G842" t="s">
        <v>4004</v>
      </c>
      <c r="H842" t="s">
        <v>4007</v>
      </c>
      <c r="I842" t="s">
        <v>4017</v>
      </c>
      <c r="J842">
        <v>4</v>
      </c>
      <c r="K842">
        <v>3648</v>
      </c>
      <c r="L842">
        <v>0</v>
      </c>
      <c r="M842">
        <v>14592</v>
      </c>
      <c r="N842">
        <v>0</v>
      </c>
      <c r="O842">
        <v>14592</v>
      </c>
    </row>
    <row r="843" spans="1:15" x14ac:dyDescent="0.3">
      <c r="A843" t="s">
        <v>855</v>
      </c>
      <c r="B843" s="1">
        <v>44967</v>
      </c>
      <c r="C843" t="s">
        <v>2852</v>
      </c>
      <c r="D843" t="s">
        <v>4000</v>
      </c>
      <c r="E843">
        <v>50</v>
      </c>
      <c r="F843" t="str">
        <f t="shared" si="13"/>
        <v>46+</v>
      </c>
      <c r="G843" t="s">
        <v>4001</v>
      </c>
      <c r="H843" t="s">
        <v>4007</v>
      </c>
      <c r="I843" t="s">
        <v>4013</v>
      </c>
      <c r="J843">
        <v>2</v>
      </c>
      <c r="K843">
        <v>3197</v>
      </c>
      <c r="L843">
        <v>10</v>
      </c>
      <c r="M843">
        <v>6394</v>
      </c>
      <c r="N843">
        <v>639.4</v>
      </c>
      <c r="O843">
        <v>5754.6</v>
      </c>
    </row>
    <row r="844" spans="1:15" x14ac:dyDescent="0.3">
      <c r="A844" t="s">
        <v>856</v>
      </c>
      <c r="B844" s="1">
        <v>44720</v>
      </c>
      <c r="C844" t="s">
        <v>2853</v>
      </c>
      <c r="D844" t="s">
        <v>3999</v>
      </c>
      <c r="E844">
        <v>58</v>
      </c>
      <c r="F844" t="str">
        <f t="shared" si="13"/>
        <v>46+</v>
      </c>
      <c r="G844" t="s">
        <v>4001</v>
      </c>
      <c r="H844" t="s">
        <v>4008</v>
      </c>
      <c r="I844" t="s">
        <v>4017</v>
      </c>
      <c r="J844">
        <v>1</v>
      </c>
      <c r="K844">
        <v>2182</v>
      </c>
      <c r="L844">
        <v>0</v>
      </c>
      <c r="M844">
        <v>2182</v>
      </c>
      <c r="N844">
        <v>0</v>
      </c>
      <c r="O844">
        <v>2182</v>
      </c>
    </row>
    <row r="845" spans="1:15" x14ac:dyDescent="0.3">
      <c r="A845" t="s">
        <v>857</v>
      </c>
      <c r="B845" s="1">
        <v>44635</v>
      </c>
      <c r="C845" t="s">
        <v>2854</v>
      </c>
      <c r="D845" t="s">
        <v>4000</v>
      </c>
      <c r="E845">
        <v>38</v>
      </c>
      <c r="F845" t="str">
        <f t="shared" si="13"/>
        <v>36-45</v>
      </c>
      <c r="G845" t="s">
        <v>4002</v>
      </c>
      <c r="H845" t="s">
        <v>4007</v>
      </c>
      <c r="I845" t="s">
        <v>4014</v>
      </c>
      <c r="J845">
        <v>1</v>
      </c>
      <c r="K845">
        <v>580</v>
      </c>
      <c r="L845">
        <v>0</v>
      </c>
      <c r="M845">
        <v>580</v>
      </c>
      <c r="N845">
        <v>0</v>
      </c>
      <c r="O845">
        <v>580</v>
      </c>
    </row>
    <row r="846" spans="1:15" x14ac:dyDescent="0.3">
      <c r="A846" t="s">
        <v>858</v>
      </c>
      <c r="B846" s="1">
        <v>45259</v>
      </c>
      <c r="C846" t="s">
        <v>2855</v>
      </c>
      <c r="D846" t="s">
        <v>4000</v>
      </c>
      <c r="E846">
        <v>60</v>
      </c>
      <c r="F846" t="str">
        <f t="shared" si="13"/>
        <v>46+</v>
      </c>
      <c r="G846" t="s">
        <v>4006</v>
      </c>
      <c r="H846" t="s">
        <v>4007</v>
      </c>
      <c r="I846" t="s">
        <v>4014</v>
      </c>
      <c r="J846">
        <v>7</v>
      </c>
      <c r="K846">
        <v>6101</v>
      </c>
      <c r="L846">
        <v>20</v>
      </c>
      <c r="M846">
        <v>42707</v>
      </c>
      <c r="N846">
        <v>8541.4</v>
      </c>
      <c r="O846">
        <v>34165.599999999999</v>
      </c>
    </row>
    <row r="847" spans="1:15" x14ac:dyDescent="0.3">
      <c r="A847" t="s">
        <v>859</v>
      </c>
      <c r="B847" s="1">
        <v>45119</v>
      </c>
      <c r="C847" t="s">
        <v>2856</v>
      </c>
      <c r="D847" t="s">
        <v>3999</v>
      </c>
      <c r="E847">
        <v>64</v>
      </c>
      <c r="F847" t="str">
        <f t="shared" si="13"/>
        <v>46+</v>
      </c>
      <c r="G847" t="s">
        <v>4003</v>
      </c>
      <c r="H847" t="s">
        <v>4007</v>
      </c>
      <c r="I847" t="s">
        <v>4016</v>
      </c>
      <c r="J847">
        <v>2</v>
      </c>
      <c r="K847">
        <v>4639</v>
      </c>
      <c r="L847">
        <v>0</v>
      </c>
      <c r="M847">
        <v>9278</v>
      </c>
      <c r="N847">
        <v>0</v>
      </c>
      <c r="O847">
        <v>9278</v>
      </c>
    </row>
    <row r="848" spans="1:15" x14ac:dyDescent="0.3">
      <c r="A848" t="s">
        <v>860</v>
      </c>
      <c r="B848" s="1">
        <v>44699</v>
      </c>
      <c r="C848" t="s">
        <v>2857</v>
      </c>
      <c r="D848" t="s">
        <v>4000</v>
      </c>
      <c r="E848">
        <v>19</v>
      </c>
      <c r="F848" t="str">
        <f t="shared" si="13"/>
        <v>18-25</v>
      </c>
      <c r="G848" t="s">
        <v>4002</v>
      </c>
      <c r="H848" t="s">
        <v>4010</v>
      </c>
      <c r="I848" t="s">
        <v>4013</v>
      </c>
      <c r="J848">
        <v>1</v>
      </c>
      <c r="K848">
        <v>3684</v>
      </c>
      <c r="L848">
        <v>0</v>
      </c>
      <c r="M848">
        <v>3684</v>
      </c>
      <c r="N848">
        <v>0</v>
      </c>
      <c r="O848">
        <v>3684</v>
      </c>
    </row>
    <row r="849" spans="1:15" x14ac:dyDescent="0.3">
      <c r="A849" t="s">
        <v>861</v>
      </c>
      <c r="B849" s="1">
        <v>45203</v>
      </c>
      <c r="C849" t="s">
        <v>2858</v>
      </c>
      <c r="D849" t="s">
        <v>3999</v>
      </c>
      <c r="E849">
        <v>43</v>
      </c>
      <c r="F849" t="str">
        <f t="shared" si="13"/>
        <v>36-45</v>
      </c>
      <c r="G849" t="s">
        <v>4002</v>
      </c>
      <c r="H849" t="s">
        <v>4008</v>
      </c>
      <c r="I849" t="s">
        <v>4016</v>
      </c>
      <c r="J849">
        <v>7</v>
      </c>
      <c r="K849">
        <v>337</v>
      </c>
      <c r="L849">
        <v>15</v>
      </c>
      <c r="M849">
        <v>2359</v>
      </c>
      <c r="N849">
        <v>353.85</v>
      </c>
      <c r="O849">
        <v>2005.15</v>
      </c>
    </row>
    <row r="850" spans="1:15" x14ac:dyDescent="0.3">
      <c r="A850" t="s">
        <v>862</v>
      </c>
      <c r="B850" s="1">
        <v>44578</v>
      </c>
      <c r="C850" t="s">
        <v>2859</v>
      </c>
      <c r="D850" t="s">
        <v>4000</v>
      </c>
      <c r="E850">
        <v>49</v>
      </c>
      <c r="F850" t="str">
        <f t="shared" si="13"/>
        <v>46+</v>
      </c>
      <c r="G850" t="s">
        <v>4004</v>
      </c>
      <c r="H850" t="s">
        <v>4008</v>
      </c>
      <c r="I850" t="s">
        <v>4017</v>
      </c>
      <c r="J850">
        <v>5</v>
      </c>
      <c r="K850">
        <v>5906</v>
      </c>
      <c r="L850">
        <v>5</v>
      </c>
      <c r="M850">
        <v>29530</v>
      </c>
      <c r="N850">
        <v>1476.5</v>
      </c>
      <c r="O850">
        <v>28053.5</v>
      </c>
    </row>
    <row r="851" spans="1:15" x14ac:dyDescent="0.3">
      <c r="A851" t="s">
        <v>863</v>
      </c>
      <c r="B851" s="1">
        <v>45217</v>
      </c>
      <c r="C851" t="s">
        <v>2860</v>
      </c>
      <c r="D851" t="s">
        <v>3999</v>
      </c>
      <c r="E851">
        <v>45</v>
      </c>
      <c r="F851" t="str">
        <f t="shared" si="13"/>
        <v>36-45</v>
      </c>
      <c r="G851" t="s">
        <v>4005</v>
      </c>
      <c r="H851" t="s">
        <v>4007</v>
      </c>
      <c r="I851" t="s">
        <v>4015</v>
      </c>
      <c r="J851">
        <v>7</v>
      </c>
      <c r="K851">
        <v>2212</v>
      </c>
      <c r="L851">
        <v>15</v>
      </c>
      <c r="M851">
        <v>15484</v>
      </c>
      <c r="N851">
        <v>2322.6</v>
      </c>
      <c r="O851">
        <v>13161.4</v>
      </c>
    </row>
    <row r="852" spans="1:15" x14ac:dyDescent="0.3">
      <c r="A852" t="s">
        <v>864</v>
      </c>
      <c r="B852" s="1">
        <v>45056</v>
      </c>
      <c r="C852" t="s">
        <v>2861</v>
      </c>
      <c r="D852" t="s">
        <v>4000</v>
      </c>
      <c r="E852">
        <v>61</v>
      </c>
      <c r="F852" t="str">
        <f t="shared" si="13"/>
        <v>46+</v>
      </c>
      <c r="G852" t="s">
        <v>4002</v>
      </c>
      <c r="H852" t="s">
        <v>4011</v>
      </c>
      <c r="I852" t="s">
        <v>4014</v>
      </c>
      <c r="J852">
        <v>3</v>
      </c>
      <c r="K852">
        <v>6294</v>
      </c>
      <c r="L852">
        <v>0</v>
      </c>
      <c r="M852">
        <v>18882</v>
      </c>
      <c r="N852">
        <v>0</v>
      </c>
      <c r="O852">
        <v>18882</v>
      </c>
    </row>
    <row r="853" spans="1:15" x14ac:dyDescent="0.3">
      <c r="A853" t="s">
        <v>865</v>
      </c>
      <c r="B853" s="1">
        <v>45180</v>
      </c>
      <c r="C853" t="s">
        <v>2862</v>
      </c>
      <c r="D853" t="s">
        <v>4000</v>
      </c>
      <c r="E853">
        <v>26</v>
      </c>
      <c r="F853" t="str">
        <f t="shared" si="13"/>
        <v>26-35</v>
      </c>
      <c r="G853" t="s">
        <v>4006</v>
      </c>
      <c r="H853" t="s">
        <v>4011</v>
      </c>
      <c r="I853" t="s">
        <v>4017</v>
      </c>
      <c r="J853">
        <v>4</v>
      </c>
      <c r="K853">
        <v>877</v>
      </c>
      <c r="L853">
        <v>5</v>
      </c>
      <c r="M853">
        <v>3508</v>
      </c>
      <c r="N853">
        <v>175.4</v>
      </c>
      <c r="O853">
        <v>3332.6</v>
      </c>
    </row>
    <row r="854" spans="1:15" x14ac:dyDescent="0.3">
      <c r="A854" t="s">
        <v>866</v>
      </c>
      <c r="B854" s="1">
        <v>44780</v>
      </c>
      <c r="C854" t="s">
        <v>2863</v>
      </c>
      <c r="D854" t="s">
        <v>4000</v>
      </c>
      <c r="E854">
        <v>63</v>
      </c>
      <c r="F854" t="str">
        <f t="shared" si="13"/>
        <v>46+</v>
      </c>
      <c r="G854" t="s">
        <v>4002</v>
      </c>
      <c r="H854" t="s">
        <v>4007</v>
      </c>
      <c r="I854" t="s">
        <v>4016</v>
      </c>
      <c r="J854">
        <v>3</v>
      </c>
      <c r="K854">
        <v>2982</v>
      </c>
      <c r="L854">
        <v>5</v>
      </c>
      <c r="M854">
        <v>8946</v>
      </c>
      <c r="N854">
        <v>447.3</v>
      </c>
      <c r="O854">
        <v>8498.7000000000007</v>
      </c>
    </row>
    <row r="855" spans="1:15" x14ac:dyDescent="0.3">
      <c r="A855" t="s">
        <v>867</v>
      </c>
      <c r="B855" s="1">
        <v>45195</v>
      </c>
      <c r="C855" t="s">
        <v>2864</v>
      </c>
      <c r="D855" t="s">
        <v>3999</v>
      </c>
      <c r="E855">
        <v>27</v>
      </c>
      <c r="F855" t="str">
        <f t="shared" si="13"/>
        <v>26-35</v>
      </c>
      <c r="G855" t="s">
        <v>4001</v>
      </c>
      <c r="H855" t="s">
        <v>4007</v>
      </c>
      <c r="I855" t="s">
        <v>4017</v>
      </c>
      <c r="J855">
        <v>1</v>
      </c>
      <c r="K855">
        <v>4704</v>
      </c>
      <c r="L855">
        <v>10</v>
      </c>
      <c r="M855">
        <v>4704</v>
      </c>
      <c r="N855">
        <v>470.4</v>
      </c>
      <c r="O855">
        <v>4233.6000000000004</v>
      </c>
    </row>
    <row r="856" spans="1:15" x14ac:dyDescent="0.3">
      <c r="A856" t="s">
        <v>868</v>
      </c>
      <c r="B856" s="1">
        <v>44597</v>
      </c>
      <c r="C856" t="s">
        <v>2865</v>
      </c>
      <c r="D856" t="s">
        <v>4000</v>
      </c>
      <c r="E856">
        <v>35</v>
      </c>
      <c r="F856" t="str">
        <f t="shared" si="13"/>
        <v>26-35</v>
      </c>
      <c r="G856" t="s">
        <v>4002</v>
      </c>
      <c r="H856" t="s">
        <v>4011</v>
      </c>
      <c r="I856" t="s">
        <v>4014</v>
      </c>
      <c r="J856">
        <v>3</v>
      </c>
      <c r="K856">
        <v>1450</v>
      </c>
      <c r="L856">
        <v>10</v>
      </c>
      <c r="M856">
        <v>4350</v>
      </c>
      <c r="N856">
        <v>435</v>
      </c>
      <c r="O856">
        <v>3915</v>
      </c>
    </row>
    <row r="857" spans="1:15" x14ac:dyDescent="0.3">
      <c r="A857" t="s">
        <v>869</v>
      </c>
      <c r="B857" s="1">
        <v>44581</v>
      </c>
      <c r="C857" t="s">
        <v>2866</v>
      </c>
      <c r="D857" t="s">
        <v>3999</v>
      </c>
      <c r="E857">
        <v>46</v>
      </c>
      <c r="F857" t="str">
        <f t="shared" si="13"/>
        <v>46+</v>
      </c>
      <c r="G857" t="s">
        <v>4003</v>
      </c>
      <c r="H857" t="s">
        <v>4007</v>
      </c>
      <c r="I857" t="s">
        <v>4015</v>
      </c>
      <c r="J857">
        <v>1</v>
      </c>
      <c r="K857">
        <v>5851</v>
      </c>
      <c r="L857">
        <v>10</v>
      </c>
      <c r="M857">
        <v>5851</v>
      </c>
      <c r="N857">
        <v>585.1</v>
      </c>
      <c r="O857">
        <v>5265.9</v>
      </c>
    </row>
    <row r="858" spans="1:15" x14ac:dyDescent="0.3">
      <c r="A858" t="s">
        <v>870</v>
      </c>
      <c r="B858" s="1">
        <v>44631</v>
      </c>
      <c r="C858" t="s">
        <v>2867</v>
      </c>
      <c r="D858" t="s">
        <v>4000</v>
      </c>
      <c r="E858">
        <v>26</v>
      </c>
      <c r="F858" t="str">
        <f t="shared" si="13"/>
        <v>26-35</v>
      </c>
      <c r="G858" t="s">
        <v>4005</v>
      </c>
      <c r="H858" t="s">
        <v>4012</v>
      </c>
      <c r="I858" t="s">
        <v>4015</v>
      </c>
      <c r="J858">
        <v>4</v>
      </c>
      <c r="K858">
        <v>3089</v>
      </c>
      <c r="L858">
        <v>0</v>
      </c>
      <c r="M858">
        <v>12356</v>
      </c>
      <c r="N858">
        <v>0</v>
      </c>
      <c r="O858">
        <v>12356</v>
      </c>
    </row>
    <row r="859" spans="1:15" x14ac:dyDescent="0.3">
      <c r="A859" t="s">
        <v>871</v>
      </c>
      <c r="B859" s="1">
        <v>45140</v>
      </c>
      <c r="C859" t="s">
        <v>2868</v>
      </c>
      <c r="D859" t="s">
        <v>4000</v>
      </c>
      <c r="E859">
        <v>42</v>
      </c>
      <c r="F859" t="str">
        <f t="shared" si="13"/>
        <v>36-45</v>
      </c>
      <c r="G859" t="s">
        <v>4004</v>
      </c>
      <c r="H859" t="s">
        <v>4010</v>
      </c>
      <c r="I859" t="s">
        <v>4017</v>
      </c>
      <c r="J859">
        <v>7</v>
      </c>
      <c r="K859">
        <v>7502</v>
      </c>
      <c r="L859">
        <v>15</v>
      </c>
      <c r="M859">
        <v>52514</v>
      </c>
      <c r="N859">
        <v>7877.1</v>
      </c>
      <c r="O859">
        <v>44636.9</v>
      </c>
    </row>
    <row r="860" spans="1:15" x14ac:dyDescent="0.3">
      <c r="A860" t="s">
        <v>872</v>
      </c>
      <c r="B860" s="1">
        <v>45042</v>
      </c>
      <c r="C860" t="s">
        <v>2869</v>
      </c>
      <c r="D860" t="s">
        <v>4000</v>
      </c>
      <c r="E860">
        <v>25</v>
      </c>
      <c r="F860" t="str">
        <f t="shared" si="13"/>
        <v>18-25</v>
      </c>
      <c r="G860" t="s">
        <v>4003</v>
      </c>
      <c r="H860" t="s">
        <v>4007</v>
      </c>
      <c r="I860" t="s">
        <v>4017</v>
      </c>
      <c r="J860">
        <v>3</v>
      </c>
      <c r="K860">
        <v>5570</v>
      </c>
      <c r="L860">
        <v>0</v>
      </c>
      <c r="M860">
        <v>16710</v>
      </c>
      <c r="N860">
        <v>0</v>
      </c>
      <c r="O860">
        <v>16710</v>
      </c>
    </row>
    <row r="861" spans="1:15" x14ac:dyDescent="0.3">
      <c r="A861" t="s">
        <v>873</v>
      </c>
      <c r="B861" s="1">
        <v>44593</v>
      </c>
      <c r="C861" t="s">
        <v>2870</v>
      </c>
      <c r="D861" t="s">
        <v>4000</v>
      </c>
      <c r="E861">
        <v>30</v>
      </c>
      <c r="F861" t="str">
        <f t="shared" si="13"/>
        <v>26-35</v>
      </c>
      <c r="G861" t="s">
        <v>4001</v>
      </c>
      <c r="H861" t="s">
        <v>4007</v>
      </c>
      <c r="I861" t="s">
        <v>4013</v>
      </c>
      <c r="J861">
        <v>5</v>
      </c>
      <c r="K861">
        <v>884</v>
      </c>
      <c r="L861">
        <v>0</v>
      </c>
      <c r="M861">
        <v>4420</v>
      </c>
      <c r="N861">
        <v>0</v>
      </c>
      <c r="O861">
        <v>4420</v>
      </c>
    </row>
    <row r="862" spans="1:15" x14ac:dyDescent="0.3">
      <c r="A862" t="s">
        <v>874</v>
      </c>
      <c r="B862" s="1">
        <v>45085</v>
      </c>
      <c r="C862" t="s">
        <v>2871</v>
      </c>
      <c r="D862" t="s">
        <v>4000</v>
      </c>
      <c r="E862">
        <v>57</v>
      </c>
      <c r="F862" t="str">
        <f t="shared" si="13"/>
        <v>46+</v>
      </c>
      <c r="G862" t="s">
        <v>4002</v>
      </c>
      <c r="H862" t="s">
        <v>4007</v>
      </c>
      <c r="I862" t="s">
        <v>4016</v>
      </c>
      <c r="J862">
        <v>7</v>
      </c>
      <c r="K862">
        <v>5104</v>
      </c>
      <c r="L862">
        <v>0</v>
      </c>
      <c r="M862">
        <v>35728</v>
      </c>
      <c r="N862">
        <v>0</v>
      </c>
      <c r="O862">
        <v>35728</v>
      </c>
    </row>
    <row r="863" spans="1:15" x14ac:dyDescent="0.3">
      <c r="A863" t="s">
        <v>875</v>
      </c>
      <c r="B863" s="1">
        <v>45288</v>
      </c>
      <c r="C863" t="s">
        <v>2872</v>
      </c>
      <c r="D863" t="s">
        <v>3999</v>
      </c>
      <c r="E863">
        <v>52</v>
      </c>
      <c r="F863" t="str">
        <f t="shared" si="13"/>
        <v>46+</v>
      </c>
      <c r="G863" t="s">
        <v>4001</v>
      </c>
      <c r="H863" t="s">
        <v>4007</v>
      </c>
      <c r="I863" t="s">
        <v>4013</v>
      </c>
      <c r="J863">
        <v>5</v>
      </c>
      <c r="K863">
        <v>2201</v>
      </c>
      <c r="L863">
        <v>15</v>
      </c>
      <c r="M863">
        <v>11005</v>
      </c>
      <c r="N863">
        <v>1650.75</v>
      </c>
      <c r="O863">
        <v>9354.25</v>
      </c>
    </row>
    <row r="864" spans="1:15" x14ac:dyDescent="0.3">
      <c r="A864" t="s">
        <v>876</v>
      </c>
      <c r="B864" s="1">
        <v>44583</v>
      </c>
      <c r="C864" t="s">
        <v>2873</v>
      </c>
      <c r="D864" t="s">
        <v>3999</v>
      </c>
      <c r="E864">
        <v>62</v>
      </c>
      <c r="F864" t="str">
        <f t="shared" si="13"/>
        <v>46+</v>
      </c>
      <c r="G864" t="s">
        <v>4003</v>
      </c>
      <c r="H864" t="s">
        <v>4009</v>
      </c>
      <c r="I864" t="s">
        <v>4014</v>
      </c>
      <c r="J864">
        <v>3</v>
      </c>
      <c r="K864">
        <v>330</v>
      </c>
      <c r="L864">
        <v>0</v>
      </c>
      <c r="M864">
        <v>990</v>
      </c>
      <c r="N864">
        <v>0</v>
      </c>
      <c r="O864">
        <v>990</v>
      </c>
    </row>
    <row r="865" spans="1:15" x14ac:dyDescent="0.3">
      <c r="A865" t="s">
        <v>877</v>
      </c>
      <c r="B865" s="1">
        <v>45117</v>
      </c>
      <c r="C865" t="s">
        <v>2874</v>
      </c>
      <c r="D865" t="s">
        <v>3999</v>
      </c>
      <c r="E865">
        <v>51</v>
      </c>
      <c r="F865" t="str">
        <f t="shared" si="13"/>
        <v>46+</v>
      </c>
      <c r="G865" t="s">
        <v>4001</v>
      </c>
      <c r="H865" t="s">
        <v>4007</v>
      </c>
      <c r="I865" t="s">
        <v>4013</v>
      </c>
      <c r="J865">
        <v>7</v>
      </c>
      <c r="K865">
        <v>3553</v>
      </c>
      <c r="L865">
        <v>0</v>
      </c>
      <c r="M865">
        <v>24871</v>
      </c>
      <c r="N865">
        <v>0</v>
      </c>
      <c r="O865">
        <v>24871</v>
      </c>
    </row>
    <row r="866" spans="1:15" x14ac:dyDescent="0.3">
      <c r="A866" t="s">
        <v>878</v>
      </c>
      <c r="B866" s="1">
        <v>44563</v>
      </c>
      <c r="C866" t="s">
        <v>2875</v>
      </c>
      <c r="D866" t="s">
        <v>3999</v>
      </c>
      <c r="E866">
        <v>32</v>
      </c>
      <c r="F866" t="str">
        <f t="shared" si="13"/>
        <v>26-35</v>
      </c>
      <c r="G866" t="s">
        <v>4001</v>
      </c>
      <c r="H866" t="s">
        <v>4008</v>
      </c>
      <c r="I866" t="s">
        <v>4017</v>
      </c>
      <c r="J866">
        <v>7</v>
      </c>
      <c r="K866">
        <v>1510</v>
      </c>
      <c r="L866">
        <v>10</v>
      </c>
      <c r="M866">
        <v>10570</v>
      </c>
      <c r="N866">
        <v>1057</v>
      </c>
      <c r="O866">
        <v>9513</v>
      </c>
    </row>
    <row r="867" spans="1:15" x14ac:dyDescent="0.3">
      <c r="A867" t="s">
        <v>879</v>
      </c>
      <c r="B867" s="1">
        <v>45216</v>
      </c>
      <c r="C867" t="s">
        <v>2876</v>
      </c>
      <c r="D867" t="s">
        <v>3999</v>
      </c>
      <c r="E867">
        <v>34</v>
      </c>
      <c r="F867" t="str">
        <f t="shared" si="13"/>
        <v>26-35</v>
      </c>
      <c r="G867" t="s">
        <v>4003</v>
      </c>
      <c r="H867" t="s">
        <v>4010</v>
      </c>
      <c r="I867" t="s">
        <v>4016</v>
      </c>
      <c r="J867">
        <v>1</v>
      </c>
      <c r="K867">
        <v>2021</v>
      </c>
      <c r="L867">
        <v>0</v>
      </c>
      <c r="M867">
        <v>2021</v>
      </c>
      <c r="N867">
        <v>0</v>
      </c>
      <c r="O867">
        <v>2021</v>
      </c>
    </row>
    <row r="868" spans="1:15" x14ac:dyDescent="0.3">
      <c r="A868" t="s">
        <v>880</v>
      </c>
      <c r="B868" s="1">
        <v>45156</v>
      </c>
      <c r="C868" t="s">
        <v>2877</v>
      </c>
      <c r="D868" t="s">
        <v>4000</v>
      </c>
      <c r="E868">
        <v>48</v>
      </c>
      <c r="F868" t="str">
        <f t="shared" si="13"/>
        <v>46+</v>
      </c>
      <c r="G868" t="s">
        <v>4002</v>
      </c>
      <c r="H868" t="s">
        <v>4010</v>
      </c>
      <c r="I868" t="s">
        <v>4013</v>
      </c>
      <c r="J868">
        <v>7</v>
      </c>
      <c r="K868">
        <v>5331</v>
      </c>
      <c r="L868">
        <v>0</v>
      </c>
      <c r="M868">
        <v>37317</v>
      </c>
      <c r="N868">
        <v>0</v>
      </c>
      <c r="O868">
        <v>37317</v>
      </c>
    </row>
    <row r="869" spans="1:15" x14ac:dyDescent="0.3">
      <c r="A869" t="s">
        <v>881</v>
      </c>
      <c r="B869" s="1">
        <v>45001</v>
      </c>
      <c r="C869" t="s">
        <v>2878</v>
      </c>
      <c r="D869" t="s">
        <v>4000</v>
      </c>
      <c r="E869">
        <v>33</v>
      </c>
      <c r="F869" t="str">
        <f t="shared" si="13"/>
        <v>26-35</v>
      </c>
      <c r="G869" t="s">
        <v>4001</v>
      </c>
      <c r="H869" t="s">
        <v>4009</v>
      </c>
      <c r="I869" t="s">
        <v>4016</v>
      </c>
      <c r="J869">
        <v>7</v>
      </c>
      <c r="K869">
        <v>3067</v>
      </c>
      <c r="L869">
        <v>0</v>
      </c>
      <c r="M869">
        <v>21469</v>
      </c>
      <c r="N869">
        <v>0</v>
      </c>
      <c r="O869">
        <v>21469</v>
      </c>
    </row>
    <row r="870" spans="1:15" x14ac:dyDescent="0.3">
      <c r="A870" t="s">
        <v>882</v>
      </c>
      <c r="B870" s="1">
        <v>44725</v>
      </c>
      <c r="C870" t="s">
        <v>2879</v>
      </c>
      <c r="D870" t="s">
        <v>4000</v>
      </c>
      <c r="E870">
        <v>58</v>
      </c>
      <c r="F870" t="str">
        <f t="shared" si="13"/>
        <v>46+</v>
      </c>
      <c r="G870" t="s">
        <v>4006</v>
      </c>
      <c r="H870" t="s">
        <v>4010</v>
      </c>
      <c r="I870" t="s">
        <v>4016</v>
      </c>
      <c r="J870">
        <v>3</v>
      </c>
      <c r="K870">
        <v>7999</v>
      </c>
      <c r="L870">
        <v>15</v>
      </c>
      <c r="M870">
        <v>23997</v>
      </c>
      <c r="N870">
        <v>3599.55</v>
      </c>
      <c r="O870">
        <v>20397.45</v>
      </c>
    </row>
    <row r="871" spans="1:15" x14ac:dyDescent="0.3">
      <c r="A871" t="s">
        <v>883</v>
      </c>
      <c r="B871" s="1">
        <v>44700</v>
      </c>
      <c r="C871" t="s">
        <v>2880</v>
      </c>
      <c r="D871" t="s">
        <v>4000</v>
      </c>
      <c r="E871">
        <v>52</v>
      </c>
      <c r="F871" t="str">
        <f t="shared" si="13"/>
        <v>46+</v>
      </c>
      <c r="G871" t="s">
        <v>4005</v>
      </c>
      <c r="H871" t="s">
        <v>4010</v>
      </c>
      <c r="I871" t="s">
        <v>4015</v>
      </c>
      <c r="J871">
        <v>4</v>
      </c>
      <c r="K871">
        <v>2228</v>
      </c>
      <c r="L871">
        <v>15</v>
      </c>
      <c r="M871">
        <v>8912</v>
      </c>
      <c r="N871">
        <v>1336.8</v>
      </c>
      <c r="O871">
        <v>7575.2</v>
      </c>
    </row>
    <row r="872" spans="1:15" x14ac:dyDescent="0.3">
      <c r="A872" t="s">
        <v>884</v>
      </c>
      <c r="B872" s="1">
        <v>45196</v>
      </c>
      <c r="C872" t="s">
        <v>2881</v>
      </c>
      <c r="D872" t="s">
        <v>4000</v>
      </c>
      <c r="E872">
        <v>60</v>
      </c>
      <c r="F872" t="str">
        <f t="shared" si="13"/>
        <v>46+</v>
      </c>
      <c r="G872" t="s">
        <v>4006</v>
      </c>
      <c r="H872" t="s">
        <v>4007</v>
      </c>
      <c r="I872" t="s">
        <v>4017</v>
      </c>
      <c r="J872">
        <v>3</v>
      </c>
      <c r="K872">
        <v>6639</v>
      </c>
      <c r="L872">
        <v>5</v>
      </c>
      <c r="M872">
        <v>19917</v>
      </c>
      <c r="N872">
        <v>995.85</v>
      </c>
      <c r="O872">
        <v>18921.150000000001</v>
      </c>
    </row>
    <row r="873" spans="1:15" x14ac:dyDescent="0.3">
      <c r="A873" t="s">
        <v>885</v>
      </c>
      <c r="B873" s="1">
        <v>45251</v>
      </c>
      <c r="C873" t="s">
        <v>2882</v>
      </c>
      <c r="D873" t="s">
        <v>4000</v>
      </c>
      <c r="E873">
        <v>21</v>
      </c>
      <c r="F873" t="str">
        <f t="shared" si="13"/>
        <v>18-25</v>
      </c>
      <c r="G873" t="s">
        <v>4006</v>
      </c>
      <c r="H873" t="s">
        <v>4008</v>
      </c>
      <c r="I873" t="s">
        <v>4014</v>
      </c>
      <c r="J873">
        <v>3</v>
      </c>
      <c r="K873">
        <v>3128</v>
      </c>
      <c r="L873">
        <v>15</v>
      </c>
      <c r="M873">
        <v>9384</v>
      </c>
      <c r="N873">
        <v>1407.6</v>
      </c>
      <c r="O873">
        <v>7976.4</v>
      </c>
    </row>
    <row r="874" spans="1:15" x14ac:dyDescent="0.3">
      <c r="A874" t="s">
        <v>886</v>
      </c>
      <c r="B874" s="1">
        <v>44568</v>
      </c>
      <c r="C874" t="s">
        <v>2883</v>
      </c>
      <c r="D874" t="s">
        <v>3999</v>
      </c>
      <c r="E874">
        <v>40</v>
      </c>
      <c r="F874" t="str">
        <f t="shared" si="13"/>
        <v>36-45</v>
      </c>
      <c r="G874" t="s">
        <v>4006</v>
      </c>
      <c r="H874" t="s">
        <v>4010</v>
      </c>
      <c r="I874" t="s">
        <v>4016</v>
      </c>
      <c r="J874">
        <v>2</v>
      </c>
      <c r="K874">
        <v>3242</v>
      </c>
      <c r="L874">
        <v>10</v>
      </c>
      <c r="M874">
        <v>6484</v>
      </c>
      <c r="N874">
        <v>648.4</v>
      </c>
      <c r="O874">
        <v>5835.6</v>
      </c>
    </row>
    <row r="875" spans="1:15" x14ac:dyDescent="0.3">
      <c r="A875" t="s">
        <v>887</v>
      </c>
      <c r="B875" s="1">
        <v>44828</v>
      </c>
      <c r="C875" t="s">
        <v>2884</v>
      </c>
      <c r="D875" t="s">
        <v>4000</v>
      </c>
      <c r="E875">
        <v>43</v>
      </c>
      <c r="F875" t="str">
        <f t="shared" si="13"/>
        <v>36-45</v>
      </c>
      <c r="G875" t="s">
        <v>4003</v>
      </c>
      <c r="H875" t="s">
        <v>4010</v>
      </c>
      <c r="I875" t="s">
        <v>4017</v>
      </c>
      <c r="J875">
        <v>6</v>
      </c>
      <c r="K875">
        <v>370</v>
      </c>
      <c r="L875">
        <v>15</v>
      </c>
      <c r="M875">
        <v>2220</v>
      </c>
      <c r="N875">
        <v>333</v>
      </c>
      <c r="O875">
        <v>1887</v>
      </c>
    </row>
    <row r="876" spans="1:15" x14ac:dyDescent="0.3">
      <c r="A876" t="s">
        <v>888</v>
      </c>
      <c r="B876" s="1">
        <v>44736</v>
      </c>
      <c r="C876" t="s">
        <v>2885</v>
      </c>
      <c r="D876" t="s">
        <v>3999</v>
      </c>
      <c r="E876">
        <v>37</v>
      </c>
      <c r="F876" t="str">
        <f t="shared" si="13"/>
        <v>36-45</v>
      </c>
      <c r="G876" t="s">
        <v>4001</v>
      </c>
      <c r="H876" t="s">
        <v>4011</v>
      </c>
      <c r="I876" t="s">
        <v>4013</v>
      </c>
      <c r="J876">
        <v>6</v>
      </c>
      <c r="K876">
        <v>828</v>
      </c>
      <c r="L876">
        <v>0</v>
      </c>
      <c r="M876">
        <v>4968</v>
      </c>
      <c r="N876">
        <v>0</v>
      </c>
      <c r="O876">
        <v>4968</v>
      </c>
    </row>
    <row r="877" spans="1:15" x14ac:dyDescent="0.3">
      <c r="A877" t="s">
        <v>889</v>
      </c>
      <c r="B877" s="1">
        <v>45191</v>
      </c>
      <c r="C877" t="s">
        <v>2886</v>
      </c>
      <c r="D877" t="s">
        <v>3999</v>
      </c>
      <c r="E877">
        <v>49</v>
      </c>
      <c r="F877" t="str">
        <f t="shared" si="13"/>
        <v>46+</v>
      </c>
      <c r="G877" t="s">
        <v>4003</v>
      </c>
      <c r="H877" t="s">
        <v>4008</v>
      </c>
      <c r="I877" t="s">
        <v>4015</v>
      </c>
      <c r="J877">
        <v>3</v>
      </c>
      <c r="K877">
        <v>430</v>
      </c>
      <c r="L877">
        <v>0</v>
      </c>
      <c r="M877">
        <v>1290</v>
      </c>
      <c r="N877">
        <v>0</v>
      </c>
      <c r="O877">
        <v>1290</v>
      </c>
    </row>
    <row r="878" spans="1:15" x14ac:dyDescent="0.3">
      <c r="A878" t="s">
        <v>890</v>
      </c>
      <c r="B878" s="1">
        <v>45081</v>
      </c>
      <c r="C878" t="s">
        <v>2887</v>
      </c>
      <c r="D878" t="s">
        <v>4000</v>
      </c>
      <c r="E878">
        <v>52</v>
      </c>
      <c r="F878" t="str">
        <f t="shared" si="13"/>
        <v>46+</v>
      </c>
      <c r="G878" t="s">
        <v>4006</v>
      </c>
      <c r="H878" t="s">
        <v>4009</v>
      </c>
      <c r="I878" t="s">
        <v>4014</v>
      </c>
      <c r="J878">
        <v>6</v>
      </c>
      <c r="K878">
        <v>4419</v>
      </c>
      <c r="L878">
        <v>5</v>
      </c>
      <c r="M878">
        <v>26514</v>
      </c>
      <c r="N878">
        <v>1325.7</v>
      </c>
      <c r="O878">
        <v>25188.3</v>
      </c>
    </row>
    <row r="879" spans="1:15" x14ac:dyDescent="0.3">
      <c r="A879" t="s">
        <v>891</v>
      </c>
      <c r="B879" s="1">
        <v>44881</v>
      </c>
      <c r="C879" t="s">
        <v>2888</v>
      </c>
      <c r="D879" t="s">
        <v>3999</v>
      </c>
      <c r="E879">
        <v>38</v>
      </c>
      <c r="F879" t="str">
        <f t="shared" si="13"/>
        <v>36-45</v>
      </c>
      <c r="G879" t="s">
        <v>4001</v>
      </c>
      <c r="H879" t="s">
        <v>4009</v>
      </c>
      <c r="I879" t="s">
        <v>4015</v>
      </c>
      <c r="J879">
        <v>3</v>
      </c>
      <c r="K879">
        <v>6531</v>
      </c>
      <c r="L879">
        <v>0</v>
      </c>
      <c r="M879">
        <v>19593</v>
      </c>
      <c r="N879">
        <v>0</v>
      </c>
      <c r="O879">
        <v>19593</v>
      </c>
    </row>
    <row r="880" spans="1:15" x14ac:dyDescent="0.3">
      <c r="A880" t="s">
        <v>892</v>
      </c>
      <c r="B880" s="1">
        <v>44783</v>
      </c>
      <c r="C880" t="s">
        <v>2889</v>
      </c>
      <c r="D880" t="s">
        <v>4000</v>
      </c>
      <c r="E880">
        <v>26</v>
      </c>
      <c r="F880" t="str">
        <f t="shared" si="13"/>
        <v>26-35</v>
      </c>
      <c r="G880" t="s">
        <v>4003</v>
      </c>
      <c r="H880" t="s">
        <v>4010</v>
      </c>
      <c r="I880" t="s">
        <v>4017</v>
      </c>
      <c r="J880">
        <v>6</v>
      </c>
      <c r="K880">
        <v>5779</v>
      </c>
      <c r="L880">
        <v>0</v>
      </c>
      <c r="M880">
        <v>34674</v>
      </c>
      <c r="N880">
        <v>0</v>
      </c>
      <c r="O880">
        <v>34674</v>
      </c>
    </row>
    <row r="881" spans="1:15" x14ac:dyDescent="0.3">
      <c r="A881" t="s">
        <v>893</v>
      </c>
      <c r="B881" s="1">
        <v>44668</v>
      </c>
      <c r="C881" t="s">
        <v>2890</v>
      </c>
      <c r="D881" t="s">
        <v>4000</v>
      </c>
      <c r="E881">
        <v>53</v>
      </c>
      <c r="F881" t="str">
        <f t="shared" si="13"/>
        <v>46+</v>
      </c>
      <c r="G881" t="s">
        <v>4002</v>
      </c>
      <c r="H881" t="s">
        <v>4008</v>
      </c>
      <c r="I881" t="s">
        <v>4017</v>
      </c>
      <c r="J881">
        <v>6</v>
      </c>
      <c r="K881">
        <v>3718</v>
      </c>
      <c r="L881">
        <v>5</v>
      </c>
      <c r="M881">
        <v>22308</v>
      </c>
      <c r="N881">
        <v>1115.4000000000001</v>
      </c>
      <c r="O881">
        <v>21192.6</v>
      </c>
    </row>
    <row r="882" spans="1:15" x14ac:dyDescent="0.3">
      <c r="A882" t="s">
        <v>894</v>
      </c>
      <c r="B882" s="1">
        <v>44735</v>
      </c>
      <c r="C882" t="s">
        <v>2891</v>
      </c>
      <c r="D882" t="s">
        <v>4000</v>
      </c>
      <c r="E882">
        <v>39</v>
      </c>
      <c r="F882" t="str">
        <f t="shared" si="13"/>
        <v>36-45</v>
      </c>
      <c r="G882" t="s">
        <v>4004</v>
      </c>
      <c r="H882" t="s">
        <v>4009</v>
      </c>
      <c r="I882" t="s">
        <v>4017</v>
      </c>
      <c r="J882">
        <v>7</v>
      </c>
      <c r="K882">
        <v>7524</v>
      </c>
      <c r="L882">
        <v>15</v>
      </c>
      <c r="M882">
        <v>52668</v>
      </c>
      <c r="N882">
        <v>7900.2</v>
      </c>
      <c r="O882">
        <v>44767.8</v>
      </c>
    </row>
    <row r="883" spans="1:15" x14ac:dyDescent="0.3">
      <c r="A883" t="s">
        <v>895</v>
      </c>
      <c r="B883" s="1">
        <v>44606</v>
      </c>
      <c r="C883" t="s">
        <v>2892</v>
      </c>
      <c r="D883" t="s">
        <v>4000</v>
      </c>
      <c r="E883">
        <v>49</v>
      </c>
      <c r="F883" t="str">
        <f t="shared" si="13"/>
        <v>46+</v>
      </c>
      <c r="G883" t="s">
        <v>4003</v>
      </c>
      <c r="H883" t="s">
        <v>4007</v>
      </c>
      <c r="I883" t="s">
        <v>4016</v>
      </c>
      <c r="J883">
        <v>7</v>
      </c>
      <c r="K883">
        <v>2131</v>
      </c>
      <c r="L883">
        <v>0</v>
      </c>
      <c r="M883">
        <v>14917</v>
      </c>
      <c r="N883">
        <v>0</v>
      </c>
      <c r="O883">
        <v>14917</v>
      </c>
    </row>
    <row r="884" spans="1:15" x14ac:dyDescent="0.3">
      <c r="A884" t="s">
        <v>896</v>
      </c>
      <c r="B884" s="1">
        <v>45274</v>
      </c>
      <c r="C884" t="s">
        <v>2893</v>
      </c>
      <c r="D884" t="s">
        <v>3999</v>
      </c>
      <c r="E884">
        <v>54</v>
      </c>
      <c r="F884" t="str">
        <f t="shared" si="13"/>
        <v>46+</v>
      </c>
      <c r="G884" t="s">
        <v>4006</v>
      </c>
      <c r="H884" t="s">
        <v>4007</v>
      </c>
      <c r="I884" t="s">
        <v>4016</v>
      </c>
      <c r="J884">
        <v>5</v>
      </c>
      <c r="K884">
        <v>1081</v>
      </c>
      <c r="L884">
        <v>0</v>
      </c>
      <c r="M884">
        <v>5405</v>
      </c>
      <c r="N884">
        <v>0</v>
      </c>
      <c r="O884">
        <v>5405</v>
      </c>
    </row>
    <row r="885" spans="1:15" x14ac:dyDescent="0.3">
      <c r="A885" t="s">
        <v>897</v>
      </c>
      <c r="B885" s="1">
        <v>44779</v>
      </c>
      <c r="C885" t="s">
        <v>2894</v>
      </c>
      <c r="D885" t="s">
        <v>4000</v>
      </c>
      <c r="E885">
        <v>39</v>
      </c>
      <c r="F885" t="str">
        <f t="shared" si="13"/>
        <v>36-45</v>
      </c>
      <c r="G885" t="s">
        <v>4002</v>
      </c>
      <c r="H885" t="s">
        <v>4010</v>
      </c>
      <c r="I885" t="s">
        <v>4015</v>
      </c>
      <c r="J885">
        <v>4</v>
      </c>
      <c r="K885">
        <v>3586</v>
      </c>
      <c r="L885">
        <v>0</v>
      </c>
      <c r="M885">
        <v>14344</v>
      </c>
      <c r="N885">
        <v>0</v>
      </c>
      <c r="O885">
        <v>14344</v>
      </c>
    </row>
    <row r="886" spans="1:15" x14ac:dyDescent="0.3">
      <c r="A886" t="s">
        <v>898</v>
      </c>
      <c r="B886" s="1">
        <v>45105</v>
      </c>
      <c r="C886" t="s">
        <v>2895</v>
      </c>
      <c r="D886" t="s">
        <v>3999</v>
      </c>
      <c r="E886">
        <v>55</v>
      </c>
      <c r="F886" t="str">
        <f t="shared" si="13"/>
        <v>46+</v>
      </c>
      <c r="G886" t="s">
        <v>4002</v>
      </c>
      <c r="H886" t="s">
        <v>4007</v>
      </c>
      <c r="I886" t="s">
        <v>4017</v>
      </c>
      <c r="J886">
        <v>1</v>
      </c>
      <c r="K886">
        <v>1207</v>
      </c>
      <c r="L886">
        <v>0</v>
      </c>
      <c r="M886">
        <v>1207</v>
      </c>
      <c r="N886">
        <v>0</v>
      </c>
      <c r="O886">
        <v>1207</v>
      </c>
    </row>
    <row r="887" spans="1:15" x14ac:dyDescent="0.3">
      <c r="A887" t="s">
        <v>899</v>
      </c>
      <c r="B887" s="1">
        <v>44650</v>
      </c>
      <c r="C887" t="s">
        <v>2896</v>
      </c>
      <c r="D887" t="s">
        <v>4000</v>
      </c>
      <c r="E887">
        <v>23</v>
      </c>
      <c r="F887" t="str">
        <f t="shared" si="13"/>
        <v>18-25</v>
      </c>
      <c r="G887" t="s">
        <v>4005</v>
      </c>
      <c r="H887" t="s">
        <v>4011</v>
      </c>
      <c r="I887" t="s">
        <v>4017</v>
      </c>
      <c r="J887">
        <v>4</v>
      </c>
      <c r="K887">
        <v>5768</v>
      </c>
      <c r="L887">
        <v>5</v>
      </c>
      <c r="M887">
        <v>23072</v>
      </c>
      <c r="N887">
        <v>1153.5999999999999</v>
      </c>
      <c r="O887">
        <v>21918.400000000001</v>
      </c>
    </row>
    <row r="888" spans="1:15" x14ac:dyDescent="0.3">
      <c r="A888" t="s">
        <v>900</v>
      </c>
      <c r="B888" s="1">
        <v>45152</v>
      </c>
      <c r="C888" t="s">
        <v>2897</v>
      </c>
      <c r="D888" t="s">
        <v>3999</v>
      </c>
      <c r="E888">
        <v>20</v>
      </c>
      <c r="F888" t="str">
        <f t="shared" si="13"/>
        <v>18-25</v>
      </c>
      <c r="G888" t="s">
        <v>4002</v>
      </c>
      <c r="H888" t="s">
        <v>4007</v>
      </c>
      <c r="I888" t="s">
        <v>4016</v>
      </c>
      <c r="J888">
        <v>5</v>
      </c>
      <c r="K888">
        <v>4602</v>
      </c>
      <c r="L888">
        <v>10</v>
      </c>
      <c r="M888">
        <v>23010</v>
      </c>
      <c r="N888">
        <v>2301</v>
      </c>
      <c r="O888">
        <v>20709</v>
      </c>
    </row>
    <row r="889" spans="1:15" x14ac:dyDescent="0.3">
      <c r="A889" t="s">
        <v>901</v>
      </c>
      <c r="B889" s="1">
        <v>45131</v>
      </c>
      <c r="C889" t="s">
        <v>2898</v>
      </c>
      <c r="D889" t="s">
        <v>3999</v>
      </c>
      <c r="E889">
        <v>51</v>
      </c>
      <c r="F889" t="str">
        <f t="shared" si="13"/>
        <v>46+</v>
      </c>
      <c r="G889" t="s">
        <v>4004</v>
      </c>
      <c r="H889" t="s">
        <v>4009</v>
      </c>
      <c r="I889" t="s">
        <v>4015</v>
      </c>
      <c r="J889">
        <v>6</v>
      </c>
      <c r="K889">
        <v>5680</v>
      </c>
      <c r="L889">
        <v>5</v>
      </c>
      <c r="M889">
        <v>34080</v>
      </c>
      <c r="N889">
        <v>1704</v>
      </c>
      <c r="O889">
        <v>32376</v>
      </c>
    </row>
    <row r="890" spans="1:15" x14ac:dyDescent="0.3">
      <c r="A890" t="s">
        <v>902</v>
      </c>
      <c r="B890" s="1">
        <v>44897</v>
      </c>
      <c r="C890" t="s">
        <v>2899</v>
      </c>
      <c r="D890" t="s">
        <v>4000</v>
      </c>
      <c r="E890">
        <v>28</v>
      </c>
      <c r="F890" t="str">
        <f t="shared" si="13"/>
        <v>26-35</v>
      </c>
      <c r="G890" t="s">
        <v>4005</v>
      </c>
      <c r="H890" t="s">
        <v>4008</v>
      </c>
      <c r="I890" t="s">
        <v>4013</v>
      </c>
      <c r="J890">
        <v>1</v>
      </c>
      <c r="K890">
        <v>4123</v>
      </c>
      <c r="L890">
        <v>15</v>
      </c>
      <c r="M890">
        <v>4123</v>
      </c>
      <c r="N890">
        <v>618.45000000000005</v>
      </c>
      <c r="O890">
        <v>3504.55</v>
      </c>
    </row>
    <row r="891" spans="1:15" x14ac:dyDescent="0.3">
      <c r="A891" t="s">
        <v>903</v>
      </c>
      <c r="B891" s="1">
        <v>45084</v>
      </c>
      <c r="C891" t="s">
        <v>2900</v>
      </c>
      <c r="D891" t="s">
        <v>4000</v>
      </c>
      <c r="E891">
        <v>26</v>
      </c>
      <c r="F891" t="str">
        <f t="shared" si="13"/>
        <v>26-35</v>
      </c>
      <c r="G891" t="s">
        <v>4006</v>
      </c>
      <c r="H891" t="s">
        <v>4009</v>
      </c>
      <c r="I891" t="s">
        <v>4015</v>
      </c>
      <c r="J891">
        <v>4</v>
      </c>
      <c r="K891">
        <v>157</v>
      </c>
      <c r="L891">
        <v>0</v>
      </c>
      <c r="M891">
        <v>628</v>
      </c>
      <c r="N891">
        <v>0</v>
      </c>
      <c r="O891">
        <v>628</v>
      </c>
    </row>
    <row r="892" spans="1:15" x14ac:dyDescent="0.3">
      <c r="A892" t="s">
        <v>904</v>
      </c>
      <c r="B892" s="1">
        <v>44979</v>
      </c>
      <c r="C892" t="s">
        <v>2901</v>
      </c>
      <c r="D892" t="s">
        <v>4000</v>
      </c>
      <c r="E892">
        <v>46</v>
      </c>
      <c r="F892" t="str">
        <f t="shared" si="13"/>
        <v>46+</v>
      </c>
      <c r="G892" t="s">
        <v>4006</v>
      </c>
      <c r="H892" t="s">
        <v>4007</v>
      </c>
      <c r="I892" t="s">
        <v>4013</v>
      </c>
      <c r="J892">
        <v>7</v>
      </c>
      <c r="K892">
        <v>3276</v>
      </c>
      <c r="L892">
        <v>20</v>
      </c>
      <c r="M892">
        <v>22932</v>
      </c>
      <c r="N892">
        <v>4586.3999999999996</v>
      </c>
      <c r="O892">
        <v>18345.599999999999</v>
      </c>
    </row>
    <row r="893" spans="1:15" x14ac:dyDescent="0.3">
      <c r="A893" t="s">
        <v>905</v>
      </c>
      <c r="B893" s="1">
        <v>44636</v>
      </c>
      <c r="C893" t="s">
        <v>2902</v>
      </c>
      <c r="D893" t="s">
        <v>3999</v>
      </c>
      <c r="E893">
        <v>43</v>
      </c>
      <c r="F893" t="str">
        <f t="shared" si="13"/>
        <v>36-45</v>
      </c>
      <c r="G893" t="s">
        <v>4002</v>
      </c>
      <c r="H893" t="s">
        <v>4010</v>
      </c>
      <c r="I893" t="s">
        <v>4016</v>
      </c>
      <c r="J893">
        <v>6</v>
      </c>
      <c r="K893">
        <v>6057</v>
      </c>
      <c r="L893">
        <v>0</v>
      </c>
      <c r="M893">
        <v>36342</v>
      </c>
      <c r="N893">
        <v>0</v>
      </c>
      <c r="O893">
        <v>36342</v>
      </c>
    </row>
    <row r="894" spans="1:15" x14ac:dyDescent="0.3">
      <c r="A894" t="s">
        <v>906</v>
      </c>
      <c r="B894" s="1">
        <v>45201</v>
      </c>
      <c r="C894" t="s">
        <v>2903</v>
      </c>
      <c r="D894" t="s">
        <v>4000</v>
      </c>
      <c r="E894">
        <v>62</v>
      </c>
      <c r="F894" t="str">
        <f t="shared" si="13"/>
        <v>46+</v>
      </c>
      <c r="G894" t="s">
        <v>4001</v>
      </c>
      <c r="H894" t="s">
        <v>4008</v>
      </c>
      <c r="I894" t="s">
        <v>4014</v>
      </c>
      <c r="J894">
        <v>7</v>
      </c>
      <c r="K894">
        <v>6787</v>
      </c>
      <c r="L894">
        <v>5</v>
      </c>
      <c r="M894">
        <v>47509</v>
      </c>
      <c r="N894">
        <v>2375.4499999999998</v>
      </c>
      <c r="O894">
        <v>45133.55</v>
      </c>
    </row>
    <row r="895" spans="1:15" x14ac:dyDescent="0.3">
      <c r="A895" t="s">
        <v>907</v>
      </c>
      <c r="B895" s="1">
        <v>44796</v>
      </c>
      <c r="C895" t="s">
        <v>2904</v>
      </c>
      <c r="D895" t="s">
        <v>3999</v>
      </c>
      <c r="E895">
        <v>29</v>
      </c>
      <c r="F895" t="str">
        <f t="shared" si="13"/>
        <v>26-35</v>
      </c>
      <c r="G895" t="s">
        <v>4005</v>
      </c>
      <c r="H895" t="s">
        <v>4007</v>
      </c>
      <c r="I895" t="s">
        <v>4014</v>
      </c>
      <c r="J895">
        <v>2</v>
      </c>
      <c r="K895">
        <v>2566</v>
      </c>
      <c r="L895">
        <v>10</v>
      </c>
      <c r="M895">
        <v>5132</v>
      </c>
      <c r="N895">
        <v>513.20000000000005</v>
      </c>
      <c r="O895">
        <v>4618.8</v>
      </c>
    </row>
    <row r="896" spans="1:15" x14ac:dyDescent="0.3">
      <c r="A896" t="s">
        <v>908</v>
      </c>
      <c r="B896" s="1">
        <v>44866</v>
      </c>
      <c r="C896" t="s">
        <v>2905</v>
      </c>
      <c r="D896" t="s">
        <v>4000</v>
      </c>
      <c r="E896">
        <v>37</v>
      </c>
      <c r="F896" t="str">
        <f t="shared" si="13"/>
        <v>36-45</v>
      </c>
      <c r="G896" t="s">
        <v>4006</v>
      </c>
      <c r="H896" t="s">
        <v>4011</v>
      </c>
      <c r="I896" t="s">
        <v>4017</v>
      </c>
      <c r="J896">
        <v>3</v>
      </c>
      <c r="K896">
        <v>5708</v>
      </c>
      <c r="L896">
        <v>15</v>
      </c>
      <c r="M896">
        <v>17124</v>
      </c>
      <c r="N896">
        <v>2568.6</v>
      </c>
      <c r="O896">
        <v>14555.4</v>
      </c>
    </row>
    <row r="897" spans="1:15" x14ac:dyDescent="0.3">
      <c r="A897" t="s">
        <v>909</v>
      </c>
      <c r="B897" s="1">
        <v>45037</v>
      </c>
      <c r="C897" t="s">
        <v>2906</v>
      </c>
      <c r="D897" t="s">
        <v>3999</v>
      </c>
      <c r="E897">
        <v>26</v>
      </c>
      <c r="F897" t="str">
        <f t="shared" si="13"/>
        <v>26-35</v>
      </c>
      <c r="G897" t="s">
        <v>4005</v>
      </c>
      <c r="H897" t="s">
        <v>4008</v>
      </c>
      <c r="I897" t="s">
        <v>4017</v>
      </c>
      <c r="J897">
        <v>3</v>
      </c>
      <c r="K897">
        <v>7210</v>
      </c>
      <c r="L897">
        <v>10</v>
      </c>
      <c r="M897">
        <v>21630</v>
      </c>
      <c r="N897">
        <v>2163</v>
      </c>
      <c r="O897">
        <v>19467</v>
      </c>
    </row>
    <row r="898" spans="1:15" x14ac:dyDescent="0.3">
      <c r="A898" t="s">
        <v>910</v>
      </c>
      <c r="B898" s="1">
        <v>44611</v>
      </c>
      <c r="C898" t="s">
        <v>2204</v>
      </c>
      <c r="D898" t="s">
        <v>4000</v>
      </c>
      <c r="E898">
        <v>49</v>
      </c>
      <c r="F898" t="str">
        <f t="shared" ref="F898:F961" si="14">IF(E898&lt;=25,"18-25",IF(E898&lt;=35,"26-35",IF(E898&lt;=45,"36-45","46+")))</f>
        <v>46+</v>
      </c>
      <c r="G898" t="s">
        <v>4002</v>
      </c>
      <c r="H898" t="s">
        <v>4007</v>
      </c>
      <c r="I898" t="s">
        <v>4017</v>
      </c>
      <c r="J898">
        <v>3</v>
      </c>
      <c r="K898">
        <v>7669</v>
      </c>
      <c r="L898">
        <v>5</v>
      </c>
      <c r="M898">
        <v>23007</v>
      </c>
      <c r="N898">
        <v>1150.3499999999999</v>
      </c>
      <c r="O898">
        <v>21856.65</v>
      </c>
    </row>
    <row r="899" spans="1:15" x14ac:dyDescent="0.3">
      <c r="A899" t="s">
        <v>911</v>
      </c>
      <c r="B899" s="1">
        <v>44591</v>
      </c>
      <c r="C899" t="s">
        <v>2907</v>
      </c>
      <c r="D899" t="s">
        <v>4000</v>
      </c>
      <c r="E899">
        <v>55</v>
      </c>
      <c r="F899" t="str">
        <f t="shared" si="14"/>
        <v>46+</v>
      </c>
      <c r="G899" t="s">
        <v>4001</v>
      </c>
      <c r="H899" t="s">
        <v>4007</v>
      </c>
      <c r="I899" t="s">
        <v>4015</v>
      </c>
      <c r="J899">
        <v>4</v>
      </c>
      <c r="K899">
        <v>7138</v>
      </c>
      <c r="L899">
        <v>10</v>
      </c>
      <c r="M899">
        <v>28552</v>
      </c>
      <c r="N899">
        <v>2855.2</v>
      </c>
      <c r="O899">
        <v>25696.799999999999</v>
      </c>
    </row>
    <row r="900" spans="1:15" x14ac:dyDescent="0.3">
      <c r="A900" t="s">
        <v>912</v>
      </c>
      <c r="B900" s="1">
        <v>44570</v>
      </c>
      <c r="C900" t="s">
        <v>2908</v>
      </c>
      <c r="D900" t="s">
        <v>3999</v>
      </c>
      <c r="E900">
        <v>58</v>
      </c>
      <c r="F900" t="str">
        <f t="shared" si="14"/>
        <v>46+</v>
      </c>
      <c r="G900" t="s">
        <v>4003</v>
      </c>
      <c r="H900" t="s">
        <v>4010</v>
      </c>
      <c r="I900" t="s">
        <v>4016</v>
      </c>
      <c r="J900">
        <v>7</v>
      </c>
      <c r="K900">
        <v>931</v>
      </c>
      <c r="L900">
        <v>0</v>
      </c>
      <c r="M900">
        <v>6517</v>
      </c>
      <c r="N900">
        <v>0</v>
      </c>
      <c r="O900">
        <v>6517</v>
      </c>
    </row>
    <row r="901" spans="1:15" x14ac:dyDescent="0.3">
      <c r="A901" t="s">
        <v>913</v>
      </c>
      <c r="B901" s="1">
        <v>44816</v>
      </c>
      <c r="C901" t="s">
        <v>2909</v>
      </c>
      <c r="D901" t="s">
        <v>3999</v>
      </c>
      <c r="E901">
        <v>39</v>
      </c>
      <c r="F901" t="str">
        <f t="shared" si="14"/>
        <v>36-45</v>
      </c>
      <c r="G901" t="s">
        <v>4005</v>
      </c>
      <c r="H901" t="s">
        <v>4010</v>
      </c>
      <c r="I901" t="s">
        <v>4016</v>
      </c>
      <c r="J901">
        <v>4</v>
      </c>
      <c r="K901">
        <v>2056</v>
      </c>
      <c r="L901">
        <v>0</v>
      </c>
      <c r="M901">
        <v>8224</v>
      </c>
      <c r="N901">
        <v>0</v>
      </c>
      <c r="O901">
        <v>8224</v>
      </c>
    </row>
    <row r="902" spans="1:15" x14ac:dyDescent="0.3">
      <c r="A902" t="s">
        <v>914</v>
      </c>
      <c r="B902" s="1">
        <v>45186</v>
      </c>
      <c r="C902" t="s">
        <v>2910</v>
      </c>
      <c r="D902" t="s">
        <v>4000</v>
      </c>
      <c r="E902">
        <v>64</v>
      </c>
      <c r="F902" t="str">
        <f t="shared" si="14"/>
        <v>46+</v>
      </c>
      <c r="G902" t="s">
        <v>4006</v>
      </c>
      <c r="H902" t="s">
        <v>4010</v>
      </c>
      <c r="I902" t="s">
        <v>4014</v>
      </c>
      <c r="J902">
        <v>3</v>
      </c>
      <c r="K902">
        <v>3819</v>
      </c>
      <c r="L902">
        <v>5</v>
      </c>
      <c r="M902">
        <v>11457</v>
      </c>
      <c r="N902">
        <v>572.85</v>
      </c>
      <c r="O902">
        <v>10884.15</v>
      </c>
    </row>
    <row r="903" spans="1:15" x14ac:dyDescent="0.3">
      <c r="A903" t="s">
        <v>915</v>
      </c>
      <c r="B903" s="1">
        <v>45018</v>
      </c>
      <c r="C903" t="s">
        <v>2911</v>
      </c>
      <c r="D903" t="s">
        <v>4000</v>
      </c>
      <c r="E903">
        <v>39</v>
      </c>
      <c r="F903" t="str">
        <f t="shared" si="14"/>
        <v>36-45</v>
      </c>
      <c r="G903" t="s">
        <v>4003</v>
      </c>
      <c r="H903" t="s">
        <v>4010</v>
      </c>
      <c r="I903" t="s">
        <v>4015</v>
      </c>
      <c r="J903">
        <v>7</v>
      </c>
      <c r="K903">
        <v>5265</v>
      </c>
      <c r="L903">
        <v>0</v>
      </c>
      <c r="M903">
        <v>36855</v>
      </c>
      <c r="N903">
        <v>0</v>
      </c>
      <c r="O903">
        <v>36855</v>
      </c>
    </row>
    <row r="904" spans="1:15" x14ac:dyDescent="0.3">
      <c r="A904" t="s">
        <v>916</v>
      </c>
      <c r="B904" s="1">
        <v>45161</v>
      </c>
      <c r="C904" t="s">
        <v>2912</v>
      </c>
      <c r="D904" t="s">
        <v>4000</v>
      </c>
      <c r="E904">
        <v>47</v>
      </c>
      <c r="F904" t="str">
        <f t="shared" si="14"/>
        <v>46+</v>
      </c>
      <c r="G904" t="s">
        <v>4006</v>
      </c>
      <c r="H904" t="s">
        <v>4007</v>
      </c>
      <c r="I904" t="s">
        <v>4016</v>
      </c>
      <c r="J904">
        <v>4</v>
      </c>
      <c r="K904">
        <v>1809</v>
      </c>
      <c r="L904">
        <v>10</v>
      </c>
      <c r="M904">
        <v>7236</v>
      </c>
      <c r="N904">
        <v>723.6</v>
      </c>
      <c r="O904">
        <v>6512.4</v>
      </c>
    </row>
    <row r="905" spans="1:15" x14ac:dyDescent="0.3">
      <c r="A905" t="s">
        <v>917</v>
      </c>
      <c r="B905" s="1">
        <v>44817</v>
      </c>
      <c r="C905" t="s">
        <v>2913</v>
      </c>
      <c r="D905" t="s">
        <v>4000</v>
      </c>
      <c r="E905">
        <v>49</v>
      </c>
      <c r="F905" t="str">
        <f t="shared" si="14"/>
        <v>46+</v>
      </c>
      <c r="G905" t="s">
        <v>4006</v>
      </c>
      <c r="H905" t="s">
        <v>4010</v>
      </c>
      <c r="I905" t="s">
        <v>4017</v>
      </c>
      <c r="J905">
        <v>6</v>
      </c>
      <c r="K905">
        <v>3686</v>
      </c>
      <c r="L905">
        <v>15</v>
      </c>
      <c r="M905">
        <v>22116</v>
      </c>
      <c r="N905">
        <v>3317.4</v>
      </c>
      <c r="O905">
        <v>18798.599999999999</v>
      </c>
    </row>
    <row r="906" spans="1:15" x14ac:dyDescent="0.3">
      <c r="A906" t="s">
        <v>918</v>
      </c>
      <c r="B906" s="1">
        <v>44854</v>
      </c>
      <c r="C906" t="s">
        <v>2914</v>
      </c>
      <c r="D906" t="s">
        <v>3999</v>
      </c>
      <c r="E906">
        <v>44</v>
      </c>
      <c r="F906" t="str">
        <f t="shared" si="14"/>
        <v>36-45</v>
      </c>
      <c r="G906" t="s">
        <v>4001</v>
      </c>
      <c r="H906" t="s">
        <v>4008</v>
      </c>
      <c r="I906" t="s">
        <v>4016</v>
      </c>
      <c r="J906">
        <v>2</v>
      </c>
      <c r="K906">
        <v>7278</v>
      </c>
      <c r="L906">
        <v>15</v>
      </c>
      <c r="M906">
        <v>14556</v>
      </c>
      <c r="N906">
        <v>2183.4</v>
      </c>
      <c r="O906">
        <v>12372.6</v>
      </c>
    </row>
    <row r="907" spans="1:15" x14ac:dyDescent="0.3">
      <c r="A907" t="s">
        <v>919</v>
      </c>
      <c r="B907" s="1">
        <v>44998</v>
      </c>
      <c r="C907" t="s">
        <v>2915</v>
      </c>
      <c r="D907" t="s">
        <v>4000</v>
      </c>
      <c r="E907">
        <v>43</v>
      </c>
      <c r="F907" t="str">
        <f t="shared" si="14"/>
        <v>36-45</v>
      </c>
      <c r="G907" t="s">
        <v>4006</v>
      </c>
      <c r="H907" t="s">
        <v>4011</v>
      </c>
      <c r="I907" t="s">
        <v>4013</v>
      </c>
      <c r="J907">
        <v>2</v>
      </c>
      <c r="K907">
        <v>5723</v>
      </c>
      <c r="L907">
        <v>0</v>
      </c>
      <c r="M907">
        <v>11446</v>
      </c>
      <c r="N907">
        <v>0</v>
      </c>
      <c r="O907">
        <v>11446</v>
      </c>
    </row>
    <row r="908" spans="1:15" x14ac:dyDescent="0.3">
      <c r="A908" t="s">
        <v>920</v>
      </c>
      <c r="B908" s="1">
        <v>45136</v>
      </c>
      <c r="C908" t="s">
        <v>2916</v>
      </c>
      <c r="D908" t="s">
        <v>4000</v>
      </c>
      <c r="E908">
        <v>35</v>
      </c>
      <c r="F908" t="str">
        <f t="shared" si="14"/>
        <v>26-35</v>
      </c>
      <c r="G908" t="s">
        <v>4001</v>
      </c>
      <c r="H908" t="s">
        <v>4008</v>
      </c>
      <c r="I908" t="s">
        <v>4016</v>
      </c>
      <c r="J908">
        <v>7</v>
      </c>
      <c r="K908">
        <v>6757</v>
      </c>
      <c r="L908">
        <v>15</v>
      </c>
      <c r="M908">
        <v>47299</v>
      </c>
      <c r="N908">
        <v>7094.85</v>
      </c>
      <c r="O908">
        <v>40204.15</v>
      </c>
    </row>
    <row r="909" spans="1:15" x14ac:dyDescent="0.3">
      <c r="A909" t="s">
        <v>921</v>
      </c>
      <c r="B909" s="1">
        <v>44962</v>
      </c>
      <c r="C909" t="s">
        <v>2917</v>
      </c>
      <c r="D909" t="s">
        <v>4000</v>
      </c>
      <c r="E909">
        <v>32</v>
      </c>
      <c r="F909" t="str">
        <f t="shared" si="14"/>
        <v>26-35</v>
      </c>
      <c r="G909" t="s">
        <v>4002</v>
      </c>
      <c r="H909" t="s">
        <v>4009</v>
      </c>
      <c r="I909" t="s">
        <v>4014</v>
      </c>
      <c r="J909">
        <v>4</v>
      </c>
      <c r="K909">
        <v>7409</v>
      </c>
      <c r="L909">
        <v>0</v>
      </c>
      <c r="M909">
        <v>29636</v>
      </c>
      <c r="N909">
        <v>0</v>
      </c>
      <c r="O909">
        <v>29636</v>
      </c>
    </row>
    <row r="910" spans="1:15" x14ac:dyDescent="0.3">
      <c r="A910" t="s">
        <v>922</v>
      </c>
      <c r="B910" s="1">
        <v>44894</v>
      </c>
      <c r="C910" t="s">
        <v>2918</v>
      </c>
      <c r="D910" t="s">
        <v>3999</v>
      </c>
      <c r="E910">
        <v>48</v>
      </c>
      <c r="F910" t="str">
        <f t="shared" si="14"/>
        <v>46+</v>
      </c>
      <c r="G910" t="s">
        <v>4001</v>
      </c>
      <c r="H910" t="s">
        <v>4011</v>
      </c>
      <c r="I910" t="s">
        <v>4013</v>
      </c>
      <c r="J910">
        <v>5</v>
      </c>
      <c r="K910">
        <v>6344</v>
      </c>
      <c r="L910">
        <v>5</v>
      </c>
      <c r="M910">
        <v>31720</v>
      </c>
      <c r="N910">
        <v>1586</v>
      </c>
      <c r="O910">
        <v>30134</v>
      </c>
    </row>
    <row r="911" spans="1:15" x14ac:dyDescent="0.3">
      <c r="A911" t="s">
        <v>923</v>
      </c>
      <c r="B911" s="1">
        <v>44792</v>
      </c>
      <c r="C911" t="s">
        <v>2919</v>
      </c>
      <c r="D911" t="s">
        <v>4000</v>
      </c>
      <c r="E911">
        <v>43</v>
      </c>
      <c r="F911" t="str">
        <f t="shared" si="14"/>
        <v>36-45</v>
      </c>
      <c r="G911" t="s">
        <v>4004</v>
      </c>
      <c r="H911" t="s">
        <v>4012</v>
      </c>
      <c r="I911" t="s">
        <v>4017</v>
      </c>
      <c r="J911">
        <v>7</v>
      </c>
      <c r="K911">
        <v>7473</v>
      </c>
      <c r="L911">
        <v>0</v>
      </c>
      <c r="M911">
        <v>52311</v>
      </c>
      <c r="N911">
        <v>0</v>
      </c>
      <c r="O911">
        <v>52311</v>
      </c>
    </row>
    <row r="912" spans="1:15" x14ac:dyDescent="0.3">
      <c r="A912" t="s">
        <v>924</v>
      </c>
      <c r="B912" s="1">
        <v>44611</v>
      </c>
      <c r="C912" t="s">
        <v>2920</v>
      </c>
      <c r="D912" t="s">
        <v>4000</v>
      </c>
      <c r="E912">
        <v>35</v>
      </c>
      <c r="F912" t="str">
        <f t="shared" si="14"/>
        <v>26-35</v>
      </c>
      <c r="G912" t="s">
        <v>4003</v>
      </c>
      <c r="H912" t="s">
        <v>4009</v>
      </c>
      <c r="I912" t="s">
        <v>4016</v>
      </c>
      <c r="J912">
        <v>5</v>
      </c>
      <c r="K912">
        <v>7015</v>
      </c>
      <c r="L912">
        <v>15</v>
      </c>
      <c r="M912">
        <v>35075</v>
      </c>
      <c r="N912">
        <v>5261.25</v>
      </c>
      <c r="O912">
        <v>29813.75</v>
      </c>
    </row>
    <row r="913" spans="1:15" x14ac:dyDescent="0.3">
      <c r="A913" t="s">
        <v>925</v>
      </c>
      <c r="B913" s="1">
        <v>45135</v>
      </c>
      <c r="C913" t="s">
        <v>2921</v>
      </c>
      <c r="D913" t="s">
        <v>4000</v>
      </c>
      <c r="E913">
        <v>49</v>
      </c>
      <c r="F913" t="str">
        <f t="shared" si="14"/>
        <v>46+</v>
      </c>
      <c r="G913" t="s">
        <v>4006</v>
      </c>
      <c r="H913" t="s">
        <v>4008</v>
      </c>
      <c r="I913" t="s">
        <v>4017</v>
      </c>
      <c r="J913">
        <v>1</v>
      </c>
      <c r="K913">
        <v>7944</v>
      </c>
      <c r="L913">
        <v>0</v>
      </c>
      <c r="M913">
        <v>7944</v>
      </c>
      <c r="N913">
        <v>0</v>
      </c>
      <c r="O913">
        <v>7944</v>
      </c>
    </row>
    <row r="914" spans="1:15" x14ac:dyDescent="0.3">
      <c r="A914" t="s">
        <v>926</v>
      </c>
      <c r="B914" s="1">
        <v>45059</v>
      </c>
      <c r="C914" t="s">
        <v>2922</v>
      </c>
      <c r="D914" t="s">
        <v>4000</v>
      </c>
      <c r="E914">
        <v>30</v>
      </c>
      <c r="F914" t="str">
        <f t="shared" si="14"/>
        <v>26-35</v>
      </c>
      <c r="G914" t="s">
        <v>4006</v>
      </c>
      <c r="H914" t="s">
        <v>4012</v>
      </c>
      <c r="I914" t="s">
        <v>4014</v>
      </c>
      <c r="J914">
        <v>7</v>
      </c>
      <c r="K914">
        <v>4762</v>
      </c>
      <c r="L914">
        <v>5</v>
      </c>
      <c r="M914">
        <v>33334</v>
      </c>
      <c r="N914">
        <v>1666.7</v>
      </c>
      <c r="O914">
        <v>31667.3</v>
      </c>
    </row>
    <row r="915" spans="1:15" x14ac:dyDescent="0.3">
      <c r="A915" t="s">
        <v>927</v>
      </c>
      <c r="B915" s="1">
        <v>45022</v>
      </c>
      <c r="C915" t="s">
        <v>2923</v>
      </c>
      <c r="D915" t="s">
        <v>3999</v>
      </c>
      <c r="E915">
        <v>24</v>
      </c>
      <c r="F915" t="str">
        <f t="shared" si="14"/>
        <v>18-25</v>
      </c>
      <c r="G915" t="s">
        <v>4004</v>
      </c>
      <c r="H915" t="s">
        <v>4009</v>
      </c>
      <c r="I915" t="s">
        <v>4015</v>
      </c>
      <c r="J915">
        <v>4</v>
      </c>
      <c r="K915">
        <v>7721</v>
      </c>
      <c r="L915">
        <v>15</v>
      </c>
      <c r="M915">
        <v>30884</v>
      </c>
      <c r="N915">
        <v>4632.6000000000004</v>
      </c>
      <c r="O915">
        <v>26251.4</v>
      </c>
    </row>
    <row r="916" spans="1:15" x14ac:dyDescent="0.3">
      <c r="A916" t="s">
        <v>928</v>
      </c>
      <c r="B916" s="1">
        <v>44999</v>
      </c>
      <c r="C916" t="s">
        <v>2924</v>
      </c>
      <c r="D916" t="s">
        <v>4000</v>
      </c>
      <c r="E916">
        <v>31</v>
      </c>
      <c r="F916" t="str">
        <f t="shared" si="14"/>
        <v>26-35</v>
      </c>
      <c r="G916" t="s">
        <v>4006</v>
      </c>
      <c r="H916" t="s">
        <v>4008</v>
      </c>
      <c r="I916" t="s">
        <v>4015</v>
      </c>
      <c r="J916">
        <v>5</v>
      </c>
      <c r="K916">
        <v>4441</v>
      </c>
      <c r="L916">
        <v>15</v>
      </c>
      <c r="M916">
        <v>22205</v>
      </c>
      <c r="N916">
        <v>3330.75</v>
      </c>
      <c r="O916">
        <v>18874.25</v>
      </c>
    </row>
    <row r="917" spans="1:15" x14ac:dyDescent="0.3">
      <c r="A917" t="s">
        <v>929</v>
      </c>
      <c r="B917" s="1">
        <v>44980</v>
      </c>
      <c r="C917" t="s">
        <v>2925</v>
      </c>
      <c r="D917" t="s">
        <v>3999</v>
      </c>
      <c r="E917">
        <v>58</v>
      </c>
      <c r="F917" t="str">
        <f t="shared" si="14"/>
        <v>46+</v>
      </c>
      <c r="G917" t="s">
        <v>4003</v>
      </c>
      <c r="H917" t="s">
        <v>4009</v>
      </c>
      <c r="I917" t="s">
        <v>4016</v>
      </c>
      <c r="J917">
        <v>3</v>
      </c>
      <c r="K917">
        <v>6951</v>
      </c>
      <c r="L917">
        <v>0</v>
      </c>
      <c r="M917">
        <v>20853</v>
      </c>
      <c r="N917">
        <v>0</v>
      </c>
      <c r="O917">
        <v>20853</v>
      </c>
    </row>
    <row r="918" spans="1:15" x14ac:dyDescent="0.3">
      <c r="A918" t="s">
        <v>930</v>
      </c>
      <c r="B918" s="1">
        <v>45186</v>
      </c>
      <c r="C918" t="s">
        <v>2926</v>
      </c>
      <c r="D918" t="s">
        <v>4000</v>
      </c>
      <c r="E918">
        <v>35</v>
      </c>
      <c r="F918" t="str">
        <f t="shared" si="14"/>
        <v>26-35</v>
      </c>
      <c r="G918" t="s">
        <v>4006</v>
      </c>
      <c r="H918" t="s">
        <v>4009</v>
      </c>
      <c r="I918" t="s">
        <v>4013</v>
      </c>
      <c r="J918">
        <v>5</v>
      </c>
      <c r="K918">
        <v>6248</v>
      </c>
      <c r="L918">
        <v>15</v>
      </c>
      <c r="M918">
        <v>31240</v>
      </c>
      <c r="N918">
        <v>4686</v>
      </c>
      <c r="O918">
        <v>26554</v>
      </c>
    </row>
    <row r="919" spans="1:15" x14ac:dyDescent="0.3">
      <c r="A919" t="s">
        <v>931</v>
      </c>
      <c r="B919" s="1">
        <v>45271</v>
      </c>
      <c r="C919" t="s">
        <v>2927</v>
      </c>
      <c r="D919" t="s">
        <v>4000</v>
      </c>
      <c r="E919">
        <v>59</v>
      </c>
      <c r="F919" t="str">
        <f t="shared" si="14"/>
        <v>46+</v>
      </c>
      <c r="G919" t="s">
        <v>4005</v>
      </c>
      <c r="H919" t="s">
        <v>4008</v>
      </c>
      <c r="I919" t="s">
        <v>4014</v>
      </c>
      <c r="J919">
        <v>4</v>
      </c>
      <c r="K919">
        <v>7257</v>
      </c>
      <c r="L919">
        <v>15</v>
      </c>
      <c r="M919">
        <v>29028</v>
      </c>
      <c r="N919">
        <v>4354.2</v>
      </c>
      <c r="O919">
        <v>24673.8</v>
      </c>
    </row>
    <row r="920" spans="1:15" x14ac:dyDescent="0.3">
      <c r="A920" t="s">
        <v>932</v>
      </c>
      <c r="B920" s="1">
        <v>44642</v>
      </c>
      <c r="C920" t="s">
        <v>2928</v>
      </c>
      <c r="D920" t="s">
        <v>3999</v>
      </c>
      <c r="E920">
        <v>55</v>
      </c>
      <c r="F920" t="str">
        <f t="shared" si="14"/>
        <v>46+</v>
      </c>
      <c r="G920" t="s">
        <v>4006</v>
      </c>
      <c r="H920" t="s">
        <v>4008</v>
      </c>
      <c r="I920" t="s">
        <v>4017</v>
      </c>
      <c r="J920">
        <v>7</v>
      </c>
      <c r="K920">
        <v>3407</v>
      </c>
      <c r="L920">
        <v>5</v>
      </c>
      <c r="M920">
        <v>23849</v>
      </c>
      <c r="N920">
        <v>1192.45</v>
      </c>
      <c r="O920">
        <v>22656.55</v>
      </c>
    </row>
    <row r="921" spans="1:15" x14ac:dyDescent="0.3">
      <c r="A921" t="s">
        <v>933</v>
      </c>
      <c r="B921" s="1">
        <v>45237</v>
      </c>
      <c r="C921" t="s">
        <v>2929</v>
      </c>
      <c r="D921" t="s">
        <v>3999</v>
      </c>
      <c r="E921">
        <v>64</v>
      </c>
      <c r="F921" t="str">
        <f t="shared" si="14"/>
        <v>46+</v>
      </c>
      <c r="G921" t="s">
        <v>4002</v>
      </c>
      <c r="H921" t="s">
        <v>4011</v>
      </c>
      <c r="I921" t="s">
        <v>4017</v>
      </c>
      <c r="J921">
        <v>6</v>
      </c>
      <c r="K921">
        <v>1737</v>
      </c>
      <c r="L921">
        <v>15</v>
      </c>
      <c r="M921">
        <v>10422</v>
      </c>
      <c r="N921">
        <v>1563.3</v>
      </c>
      <c r="O921">
        <v>8858.7000000000007</v>
      </c>
    </row>
    <row r="922" spans="1:15" x14ac:dyDescent="0.3">
      <c r="A922" t="s">
        <v>934</v>
      </c>
      <c r="B922" s="1">
        <v>45100</v>
      </c>
      <c r="C922" t="s">
        <v>2930</v>
      </c>
      <c r="D922" t="s">
        <v>4000</v>
      </c>
      <c r="E922">
        <v>31</v>
      </c>
      <c r="F922" t="str">
        <f t="shared" si="14"/>
        <v>26-35</v>
      </c>
      <c r="G922" t="s">
        <v>4005</v>
      </c>
      <c r="H922" t="s">
        <v>4012</v>
      </c>
      <c r="I922" t="s">
        <v>4017</v>
      </c>
      <c r="J922">
        <v>7</v>
      </c>
      <c r="K922">
        <v>2751</v>
      </c>
      <c r="L922">
        <v>15</v>
      </c>
      <c r="M922">
        <v>19257</v>
      </c>
      <c r="N922">
        <v>2888.55</v>
      </c>
      <c r="O922">
        <v>16368.45</v>
      </c>
    </row>
    <row r="923" spans="1:15" x14ac:dyDescent="0.3">
      <c r="A923" t="s">
        <v>935</v>
      </c>
      <c r="B923" s="1">
        <v>44991</v>
      </c>
      <c r="C923" t="s">
        <v>2931</v>
      </c>
      <c r="D923" t="s">
        <v>3999</v>
      </c>
      <c r="E923">
        <v>37</v>
      </c>
      <c r="F923" t="str">
        <f t="shared" si="14"/>
        <v>36-45</v>
      </c>
      <c r="G923" t="s">
        <v>4005</v>
      </c>
      <c r="H923" t="s">
        <v>4009</v>
      </c>
      <c r="I923" t="s">
        <v>4016</v>
      </c>
      <c r="J923">
        <v>3</v>
      </c>
      <c r="K923">
        <v>1705</v>
      </c>
      <c r="L923">
        <v>20</v>
      </c>
      <c r="M923">
        <v>5115</v>
      </c>
      <c r="N923">
        <v>1023</v>
      </c>
      <c r="O923">
        <v>4092</v>
      </c>
    </row>
    <row r="924" spans="1:15" x14ac:dyDescent="0.3">
      <c r="A924" t="s">
        <v>936</v>
      </c>
      <c r="B924" s="1">
        <v>44986</v>
      </c>
      <c r="C924" t="s">
        <v>2932</v>
      </c>
      <c r="D924" t="s">
        <v>3999</v>
      </c>
      <c r="E924">
        <v>30</v>
      </c>
      <c r="F924" t="str">
        <f t="shared" si="14"/>
        <v>26-35</v>
      </c>
      <c r="G924" t="s">
        <v>4004</v>
      </c>
      <c r="H924" t="s">
        <v>4012</v>
      </c>
      <c r="I924" t="s">
        <v>4016</v>
      </c>
      <c r="J924">
        <v>3</v>
      </c>
      <c r="K924">
        <v>5812</v>
      </c>
      <c r="L924">
        <v>5</v>
      </c>
      <c r="M924">
        <v>17436</v>
      </c>
      <c r="N924">
        <v>871.8</v>
      </c>
      <c r="O924">
        <v>16564.2</v>
      </c>
    </row>
    <row r="925" spans="1:15" x14ac:dyDescent="0.3">
      <c r="A925" t="s">
        <v>937</v>
      </c>
      <c r="B925" s="1">
        <v>44647</v>
      </c>
      <c r="C925" t="s">
        <v>2933</v>
      </c>
      <c r="D925" t="s">
        <v>3999</v>
      </c>
      <c r="E925">
        <v>49</v>
      </c>
      <c r="F925" t="str">
        <f t="shared" si="14"/>
        <v>46+</v>
      </c>
      <c r="G925" t="s">
        <v>4004</v>
      </c>
      <c r="H925" t="s">
        <v>4010</v>
      </c>
      <c r="I925" t="s">
        <v>4015</v>
      </c>
      <c r="J925">
        <v>1</v>
      </c>
      <c r="K925">
        <v>193</v>
      </c>
      <c r="L925">
        <v>0</v>
      </c>
      <c r="M925">
        <v>193</v>
      </c>
      <c r="N925">
        <v>0</v>
      </c>
      <c r="O925">
        <v>193</v>
      </c>
    </row>
    <row r="926" spans="1:15" x14ac:dyDescent="0.3">
      <c r="A926" t="s">
        <v>938</v>
      </c>
      <c r="B926" s="1">
        <v>45270</v>
      </c>
      <c r="C926" t="s">
        <v>2934</v>
      </c>
      <c r="D926" t="s">
        <v>3999</v>
      </c>
      <c r="E926">
        <v>52</v>
      </c>
      <c r="F926" t="str">
        <f t="shared" si="14"/>
        <v>46+</v>
      </c>
      <c r="G926" t="s">
        <v>4002</v>
      </c>
      <c r="H926" t="s">
        <v>4007</v>
      </c>
      <c r="I926" t="s">
        <v>4014</v>
      </c>
      <c r="J926">
        <v>6</v>
      </c>
      <c r="K926">
        <v>850</v>
      </c>
      <c r="L926">
        <v>5</v>
      </c>
      <c r="M926">
        <v>5100</v>
      </c>
      <c r="N926">
        <v>255</v>
      </c>
      <c r="O926">
        <v>4845</v>
      </c>
    </row>
    <row r="927" spans="1:15" x14ac:dyDescent="0.3">
      <c r="A927" t="s">
        <v>939</v>
      </c>
      <c r="B927" s="1">
        <v>45284</v>
      </c>
      <c r="C927" t="s">
        <v>2935</v>
      </c>
      <c r="D927" t="s">
        <v>3999</v>
      </c>
      <c r="E927">
        <v>38</v>
      </c>
      <c r="F927" t="str">
        <f t="shared" si="14"/>
        <v>36-45</v>
      </c>
      <c r="G927" t="s">
        <v>4003</v>
      </c>
      <c r="H927" t="s">
        <v>4007</v>
      </c>
      <c r="I927" t="s">
        <v>4016</v>
      </c>
      <c r="J927">
        <v>7</v>
      </c>
      <c r="K927">
        <v>3746</v>
      </c>
      <c r="L927">
        <v>10</v>
      </c>
      <c r="M927">
        <v>26222</v>
      </c>
      <c r="N927">
        <v>2622.2</v>
      </c>
      <c r="O927">
        <v>23599.8</v>
      </c>
    </row>
    <row r="928" spans="1:15" x14ac:dyDescent="0.3">
      <c r="A928" t="s">
        <v>940</v>
      </c>
      <c r="B928" s="1">
        <v>44787</v>
      </c>
      <c r="C928" t="s">
        <v>2936</v>
      </c>
      <c r="D928" t="s">
        <v>4000</v>
      </c>
      <c r="E928">
        <v>27</v>
      </c>
      <c r="F928" t="str">
        <f t="shared" si="14"/>
        <v>26-35</v>
      </c>
      <c r="G928" t="s">
        <v>4004</v>
      </c>
      <c r="H928" t="s">
        <v>4007</v>
      </c>
      <c r="I928" t="s">
        <v>4013</v>
      </c>
      <c r="J928">
        <v>7</v>
      </c>
      <c r="K928">
        <v>3083</v>
      </c>
      <c r="L928">
        <v>0</v>
      </c>
      <c r="M928">
        <v>21581</v>
      </c>
      <c r="N928">
        <v>0</v>
      </c>
      <c r="O928">
        <v>21581</v>
      </c>
    </row>
    <row r="929" spans="1:15" x14ac:dyDescent="0.3">
      <c r="A929" t="s">
        <v>941</v>
      </c>
      <c r="B929" s="1">
        <v>45077</v>
      </c>
      <c r="C929" t="s">
        <v>2937</v>
      </c>
      <c r="D929" t="s">
        <v>4000</v>
      </c>
      <c r="E929">
        <v>55</v>
      </c>
      <c r="F929" t="str">
        <f t="shared" si="14"/>
        <v>46+</v>
      </c>
      <c r="G929" t="s">
        <v>4005</v>
      </c>
      <c r="H929" t="s">
        <v>4012</v>
      </c>
      <c r="I929" t="s">
        <v>4017</v>
      </c>
      <c r="J929">
        <v>5</v>
      </c>
      <c r="K929">
        <v>3269</v>
      </c>
      <c r="L929">
        <v>0</v>
      </c>
      <c r="M929">
        <v>16345</v>
      </c>
      <c r="N929">
        <v>0</v>
      </c>
      <c r="O929">
        <v>16345</v>
      </c>
    </row>
    <row r="930" spans="1:15" x14ac:dyDescent="0.3">
      <c r="A930" t="s">
        <v>942</v>
      </c>
      <c r="B930" s="1">
        <v>45265</v>
      </c>
      <c r="C930" t="s">
        <v>2938</v>
      </c>
      <c r="D930" t="s">
        <v>4000</v>
      </c>
      <c r="E930">
        <v>28</v>
      </c>
      <c r="F930" t="str">
        <f t="shared" si="14"/>
        <v>26-35</v>
      </c>
      <c r="G930" t="s">
        <v>4005</v>
      </c>
      <c r="H930" t="s">
        <v>4007</v>
      </c>
      <c r="I930" t="s">
        <v>4013</v>
      </c>
      <c r="J930">
        <v>4</v>
      </c>
      <c r="K930">
        <v>4078</v>
      </c>
      <c r="L930">
        <v>5</v>
      </c>
      <c r="M930">
        <v>16312</v>
      </c>
      <c r="N930">
        <v>815.6</v>
      </c>
      <c r="O930">
        <v>15496.4</v>
      </c>
    </row>
    <row r="931" spans="1:15" x14ac:dyDescent="0.3">
      <c r="A931" t="s">
        <v>943</v>
      </c>
      <c r="B931" s="1">
        <v>44896</v>
      </c>
      <c r="C931" t="s">
        <v>2939</v>
      </c>
      <c r="D931" t="s">
        <v>4000</v>
      </c>
      <c r="E931">
        <v>31</v>
      </c>
      <c r="F931" t="str">
        <f t="shared" si="14"/>
        <v>26-35</v>
      </c>
      <c r="G931" t="s">
        <v>4003</v>
      </c>
      <c r="H931" t="s">
        <v>4008</v>
      </c>
      <c r="I931" t="s">
        <v>4017</v>
      </c>
      <c r="J931">
        <v>1</v>
      </c>
      <c r="K931">
        <v>1190</v>
      </c>
      <c r="L931">
        <v>10</v>
      </c>
      <c r="M931">
        <v>1190</v>
      </c>
      <c r="N931">
        <v>119</v>
      </c>
      <c r="O931">
        <v>1071</v>
      </c>
    </row>
    <row r="932" spans="1:15" x14ac:dyDescent="0.3">
      <c r="A932" t="s">
        <v>944</v>
      </c>
      <c r="B932" s="1">
        <v>45123</v>
      </c>
      <c r="C932" t="s">
        <v>2940</v>
      </c>
      <c r="D932" t="s">
        <v>4000</v>
      </c>
      <c r="E932">
        <v>18</v>
      </c>
      <c r="F932" t="str">
        <f t="shared" si="14"/>
        <v>18-25</v>
      </c>
      <c r="G932" t="s">
        <v>4006</v>
      </c>
      <c r="H932" t="s">
        <v>4010</v>
      </c>
      <c r="I932" t="s">
        <v>4014</v>
      </c>
      <c r="J932">
        <v>6</v>
      </c>
      <c r="K932">
        <v>2368</v>
      </c>
      <c r="L932">
        <v>15</v>
      </c>
      <c r="M932">
        <v>14208</v>
      </c>
      <c r="N932">
        <v>2131.1999999999998</v>
      </c>
      <c r="O932">
        <v>12076.8</v>
      </c>
    </row>
    <row r="933" spans="1:15" x14ac:dyDescent="0.3">
      <c r="A933" t="s">
        <v>945</v>
      </c>
      <c r="B933" s="1">
        <v>45208</v>
      </c>
      <c r="C933" t="s">
        <v>2941</v>
      </c>
      <c r="D933" t="s">
        <v>4000</v>
      </c>
      <c r="E933">
        <v>43</v>
      </c>
      <c r="F933" t="str">
        <f t="shared" si="14"/>
        <v>36-45</v>
      </c>
      <c r="G933" t="s">
        <v>4001</v>
      </c>
      <c r="H933" t="s">
        <v>4008</v>
      </c>
      <c r="I933" t="s">
        <v>4013</v>
      </c>
      <c r="J933">
        <v>7</v>
      </c>
      <c r="K933">
        <v>6072</v>
      </c>
      <c r="L933">
        <v>0</v>
      </c>
      <c r="M933">
        <v>42504</v>
      </c>
      <c r="N933">
        <v>0</v>
      </c>
      <c r="O933">
        <v>42504</v>
      </c>
    </row>
    <row r="934" spans="1:15" x14ac:dyDescent="0.3">
      <c r="A934" t="s">
        <v>946</v>
      </c>
      <c r="B934" s="1">
        <v>44648</v>
      </c>
      <c r="C934" t="s">
        <v>2942</v>
      </c>
      <c r="D934" t="s">
        <v>4000</v>
      </c>
      <c r="E934">
        <v>21</v>
      </c>
      <c r="F934" t="str">
        <f t="shared" si="14"/>
        <v>18-25</v>
      </c>
      <c r="G934" t="s">
        <v>4004</v>
      </c>
      <c r="H934" t="s">
        <v>4009</v>
      </c>
      <c r="I934" t="s">
        <v>4014</v>
      </c>
      <c r="J934">
        <v>3</v>
      </c>
      <c r="K934">
        <v>686</v>
      </c>
      <c r="L934">
        <v>10</v>
      </c>
      <c r="M934">
        <v>2058</v>
      </c>
      <c r="N934">
        <v>205.8</v>
      </c>
      <c r="O934">
        <v>1852.2</v>
      </c>
    </row>
    <row r="935" spans="1:15" x14ac:dyDescent="0.3">
      <c r="A935" t="s">
        <v>947</v>
      </c>
      <c r="B935" s="1">
        <v>45039</v>
      </c>
      <c r="C935" t="s">
        <v>2943</v>
      </c>
      <c r="D935" t="s">
        <v>4000</v>
      </c>
      <c r="E935">
        <v>24</v>
      </c>
      <c r="F935" t="str">
        <f t="shared" si="14"/>
        <v>18-25</v>
      </c>
      <c r="G935" t="s">
        <v>4004</v>
      </c>
      <c r="H935" t="s">
        <v>4011</v>
      </c>
      <c r="I935" t="s">
        <v>4017</v>
      </c>
      <c r="J935">
        <v>3</v>
      </c>
      <c r="K935">
        <v>1835</v>
      </c>
      <c r="L935">
        <v>10</v>
      </c>
      <c r="M935">
        <v>5505</v>
      </c>
      <c r="N935">
        <v>550.5</v>
      </c>
      <c r="O935">
        <v>4954.5</v>
      </c>
    </row>
    <row r="936" spans="1:15" x14ac:dyDescent="0.3">
      <c r="A936" t="s">
        <v>948</v>
      </c>
      <c r="B936" s="1">
        <v>45001</v>
      </c>
      <c r="C936" t="s">
        <v>2944</v>
      </c>
      <c r="D936" t="s">
        <v>4000</v>
      </c>
      <c r="E936">
        <v>32</v>
      </c>
      <c r="F936" t="str">
        <f t="shared" si="14"/>
        <v>26-35</v>
      </c>
      <c r="G936" t="s">
        <v>4006</v>
      </c>
      <c r="H936" t="s">
        <v>4009</v>
      </c>
      <c r="I936" t="s">
        <v>4015</v>
      </c>
      <c r="J936">
        <v>2</v>
      </c>
      <c r="K936">
        <v>1291</v>
      </c>
      <c r="L936">
        <v>0</v>
      </c>
      <c r="M936">
        <v>2582</v>
      </c>
      <c r="N936">
        <v>0</v>
      </c>
      <c r="O936">
        <v>2582</v>
      </c>
    </row>
    <row r="937" spans="1:15" x14ac:dyDescent="0.3">
      <c r="A937" t="s">
        <v>949</v>
      </c>
      <c r="B937" s="1">
        <v>45273</v>
      </c>
      <c r="C937" t="s">
        <v>2945</v>
      </c>
      <c r="D937" t="s">
        <v>4000</v>
      </c>
      <c r="E937">
        <v>41</v>
      </c>
      <c r="F937" t="str">
        <f t="shared" si="14"/>
        <v>36-45</v>
      </c>
      <c r="G937" t="s">
        <v>4003</v>
      </c>
      <c r="H937" t="s">
        <v>4008</v>
      </c>
      <c r="I937" t="s">
        <v>4016</v>
      </c>
      <c r="J937">
        <v>1</v>
      </c>
      <c r="K937">
        <v>6267</v>
      </c>
      <c r="L937">
        <v>10</v>
      </c>
      <c r="M937">
        <v>6267</v>
      </c>
      <c r="N937">
        <v>626.70000000000005</v>
      </c>
      <c r="O937">
        <v>5640.3</v>
      </c>
    </row>
    <row r="938" spans="1:15" x14ac:dyDescent="0.3">
      <c r="A938" t="s">
        <v>950</v>
      </c>
      <c r="B938" s="1">
        <v>44883</v>
      </c>
      <c r="C938" t="s">
        <v>2946</v>
      </c>
      <c r="D938" t="s">
        <v>3999</v>
      </c>
      <c r="E938">
        <v>42</v>
      </c>
      <c r="F938" t="str">
        <f t="shared" si="14"/>
        <v>36-45</v>
      </c>
      <c r="G938" t="s">
        <v>4003</v>
      </c>
      <c r="H938" t="s">
        <v>4011</v>
      </c>
      <c r="I938" t="s">
        <v>4013</v>
      </c>
      <c r="J938">
        <v>3</v>
      </c>
      <c r="K938">
        <v>4849</v>
      </c>
      <c r="L938">
        <v>0</v>
      </c>
      <c r="M938">
        <v>14547</v>
      </c>
      <c r="N938">
        <v>0</v>
      </c>
      <c r="O938">
        <v>14547</v>
      </c>
    </row>
    <row r="939" spans="1:15" x14ac:dyDescent="0.3">
      <c r="A939" t="s">
        <v>951</v>
      </c>
      <c r="B939" s="1">
        <v>45151</v>
      </c>
      <c r="C939" t="s">
        <v>2947</v>
      </c>
      <c r="D939" t="s">
        <v>4000</v>
      </c>
      <c r="E939">
        <v>49</v>
      </c>
      <c r="F939" t="str">
        <f t="shared" si="14"/>
        <v>46+</v>
      </c>
      <c r="G939" t="s">
        <v>4002</v>
      </c>
      <c r="H939" t="s">
        <v>4011</v>
      </c>
      <c r="I939" t="s">
        <v>4015</v>
      </c>
      <c r="J939">
        <v>3</v>
      </c>
      <c r="K939">
        <v>6680</v>
      </c>
      <c r="L939">
        <v>10</v>
      </c>
      <c r="M939">
        <v>20040</v>
      </c>
      <c r="N939">
        <v>2004</v>
      </c>
      <c r="O939">
        <v>18036</v>
      </c>
    </row>
    <row r="940" spans="1:15" x14ac:dyDescent="0.3">
      <c r="A940" t="s">
        <v>952</v>
      </c>
      <c r="B940" s="1">
        <v>44664</v>
      </c>
      <c r="C940" t="s">
        <v>2948</v>
      </c>
      <c r="D940" t="s">
        <v>4000</v>
      </c>
      <c r="E940">
        <v>31</v>
      </c>
      <c r="F940" t="str">
        <f t="shared" si="14"/>
        <v>26-35</v>
      </c>
      <c r="G940" t="s">
        <v>4004</v>
      </c>
      <c r="H940" t="s">
        <v>4007</v>
      </c>
      <c r="I940" t="s">
        <v>4013</v>
      </c>
      <c r="J940">
        <v>5</v>
      </c>
      <c r="K940">
        <v>2035</v>
      </c>
      <c r="L940">
        <v>0</v>
      </c>
      <c r="M940">
        <v>10175</v>
      </c>
      <c r="N940">
        <v>0</v>
      </c>
      <c r="O940">
        <v>10175</v>
      </c>
    </row>
    <row r="941" spans="1:15" x14ac:dyDescent="0.3">
      <c r="A941" t="s">
        <v>953</v>
      </c>
      <c r="B941" s="1">
        <v>44758</v>
      </c>
      <c r="C941" t="s">
        <v>2949</v>
      </c>
      <c r="D941" t="s">
        <v>4000</v>
      </c>
      <c r="E941">
        <v>34</v>
      </c>
      <c r="F941" t="str">
        <f t="shared" si="14"/>
        <v>26-35</v>
      </c>
      <c r="G941" t="s">
        <v>4002</v>
      </c>
      <c r="H941" t="s">
        <v>4009</v>
      </c>
      <c r="I941" t="s">
        <v>4014</v>
      </c>
      <c r="J941">
        <v>3</v>
      </c>
      <c r="K941">
        <v>204</v>
      </c>
      <c r="L941">
        <v>10</v>
      </c>
      <c r="M941">
        <v>612</v>
      </c>
      <c r="N941">
        <v>61.2</v>
      </c>
      <c r="O941">
        <v>550.79999999999995</v>
      </c>
    </row>
    <row r="942" spans="1:15" x14ac:dyDescent="0.3">
      <c r="A942" t="s">
        <v>954</v>
      </c>
      <c r="B942" s="1">
        <v>44619</v>
      </c>
      <c r="C942" t="s">
        <v>2950</v>
      </c>
      <c r="D942" t="s">
        <v>3999</v>
      </c>
      <c r="E942">
        <v>29</v>
      </c>
      <c r="F942" t="str">
        <f t="shared" si="14"/>
        <v>26-35</v>
      </c>
      <c r="G942" t="s">
        <v>4001</v>
      </c>
      <c r="H942" t="s">
        <v>4009</v>
      </c>
      <c r="I942" t="s">
        <v>4015</v>
      </c>
      <c r="J942">
        <v>1</v>
      </c>
      <c r="K942">
        <v>3478</v>
      </c>
      <c r="L942">
        <v>0</v>
      </c>
      <c r="M942">
        <v>3478</v>
      </c>
      <c r="N942">
        <v>0</v>
      </c>
      <c r="O942">
        <v>3478</v>
      </c>
    </row>
    <row r="943" spans="1:15" x14ac:dyDescent="0.3">
      <c r="A943" t="s">
        <v>955</v>
      </c>
      <c r="B943" s="1">
        <v>44770</v>
      </c>
      <c r="C943" t="s">
        <v>2951</v>
      </c>
      <c r="D943" t="s">
        <v>4000</v>
      </c>
      <c r="E943">
        <v>41</v>
      </c>
      <c r="F943" t="str">
        <f t="shared" si="14"/>
        <v>36-45</v>
      </c>
      <c r="G943" t="s">
        <v>4006</v>
      </c>
      <c r="H943" t="s">
        <v>4009</v>
      </c>
      <c r="I943" t="s">
        <v>4014</v>
      </c>
      <c r="J943">
        <v>6</v>
      </c>
      <c r="K943">
        <v>6092</v>
      </c>
      <c r="L943">
        <v>15</v>
      </c>
      <c r="M943">
        <v>36552</v>
      </c>
      <c r="N943">
        <v>5482.8</v>
      </c>
      <c r="O943">
        <v>31069.200000000001</v>
      </c>
    </row>
    <row r="944" spans="1:15" x14ac:dyDescent="0.3">
      <c r="A944" t="s">
        <v>956</v>
      </c>
      <c r="B944" s="1">
        <v>44598</v>
      </c>
      <c r="C944" t="s">
        <v>2952</v>
      </c>
      <c r="D944" t="s">
        <v>4000</v>
      </c>
      <c r="E944">
        <v>42</v>
      </c>
      <c r="F944" t="str">
        <f t="shared" si="14"/>
        <v>36-45</v>
      </c>
      <c r="G944" t="s">
        <v>4003</v>
      </c>
      <c r="H944" t="s">
        <v>4012</v>
      </c>
      <c r="I944" t="s">
        <v>4015</v>
      </c>
      <c r="J944">
        <v>2</v>
      </c>
      <c r="K944">
        <v>5668</v>
      </c>
      <c r="L944">
        <v>0</v>
      </c>
      <c r="M944">
        <v>11336</v>
      </c>
      <c r="N944">
        <v>0</v>
      </c>
      <c r="O944">
        <v>11336</v>
      </c>
    </row>
    <row r="945" spans="1:15" x14ac:dyDescent="0.3">
      <c r="A945" t="s">
        <v>957</v>
      </c>
      <c r="B945" s="1">
        <v>44637</v>
      </c>
      <c r="C945" t="s">
        <v>2953</v>
      </c>
      <c r="D945" t="s">
        <v>3999</v>
      </c>
      <c r="E945">
        <v>21</v>
      </c>
      <c r="F945" t="str">
        <f t="shared" si="14"/>
        <v>18-25</v>
      </c>
      <c r="G945" t="s">
        <v>4005</v>
      </c>
      <c r="H945" t="s">
        <v>4008</v>
      </c>
      <c r="I945" t="s">
        <v>4016</v>
      </c>
      <c r="J945">
        <v>2</v>
      </c>
      <c r="K945">
        <v>7987</v>
      </c>
      <c r="L945">
        <v>5</v>
      </c>
      <c r="M945">
        <v>15974</v>
      </c>
      <c r="N945">
        <v>798.7</v>
      </c>
      <c r="O945">
        <v>15175.3</v>
      </c>
    </row>
    <row r="946" spans="1:15" x14ac:dyDescent="0.3">
      <c r="A946" t="s">
        <v>958</v>
      </c>
      <c r="B946" s="1">
        <v>44773</v>
      </c>
      <c r="C946" t="s">
        <v>2954</v>
      </c>
      <c r="D946" t="s">
        <v>4000</v>
      </c>
      <c r="E946">
        <v>22</v>
      </c>
      <c r="F946" t="str">
        <f t="shared" si="14"/>
        <v>18-25</v>
      </c>
      <c r="G946" t="s">
        <v>4004</v>
      </c>
      <c r="H946" t="s">
        <v>4012</v>
      </c>
      <c r="I946" t="s">
        <v>4015</v>
      </c>
      <c r="J946">
        <v>3</v>
      </c>
      <c r="K946">
        <v>1257</v>
      </c>
      <c r="L946">
        <v>0</v>
      </c>
      <c r="M946">
        <v>3771</v>
      </c>
      <c r="N946">
        <v>0</v>
      </c>
      <c r="O946">
        <v>3771</v>
      </c>
    </row>
    <row r="947" spans="1:15" x14ac:dyDescent="0.3">
      <c r="A947" t="s">
        <v>959</v>
      </c>
      <c r="B947" s="1">
        <v>45274</v>
      </c>
      <c r="C947" t="s">
        <v>2955</v>
      </c>
      <c r="D947" t="s">
        <v>4000</v>
      </c>
      <c r="E947">
        <v>60</v>
      </c>
      <c r="F947" t="str">
        <f t="shared" si="14"/>
        <v>46+</v>
      </c>
      <c r="G947" t="s">
        <v>4005</v>
      </c>
      <c r="H947" t="s">
        <v>4007</v>
      </c>
      <c r="I947" t="s">
        <v>4016</v>
      </c>
      <c r="J947">
        <v>3</v>
      </c>
      <c r="K947">
        <v>728</v>
      </c>
      <c r="L947">
        <v>5</v>
      </c>
      <c r="M947">
        <v>2184</v>
      </c>
      <c r="N947">
        <v>109.2</v>
      </c>
      <c r="O947">
        <v>2074.8000000000002</v>
      </c>
    </row>
    <row r="948" spans="1:15" x14ac:dyDescent="0.3">
      <c r="A948" t="s">
        <v>960</v>
      </c>
      <c r="B948" s="1">
        <v>45070</v>
      </c>
      <c r="C948" t="s">
        <v>2956</v>
      </c>
      <c r="D948" t="s">
        <v>3999</v>
      </c>
      <c r="E948">
        <v>40</v>
      </c>
      <c r="F948" t="str">
        <f t="shared" si="14"/>
        <v>36-45</v>
      </c>
      <c r="G948" t="s">
        <v>4003</v>
      </c>
      <c r="H948" t="s">
        <v>4010</v>
      </c>
      <c r="I948" t="s">
        <v>4015</v>
      </c>
      <c r="J948">
        <v>6</v>
      </c>
      <c r="K948">
        <v>5931</v>
      </c>
      <c r="L948">
        <v>5</v>
      </c>
      <c r="M948">
        <v>35586</v>
      </c>
      <c r="N948">
        <v>1779.3</v>
      </c>
      <c r="O948">
        <v>33806.699999999997</v>
      </c>
    </row>
    <row r="949" spans="1:15" x14ac:dyDescent="0.3">
      <c r="A949" t="s">
        <v>961</v>
      </c>
      <c r="B949" s="1">
        <v>44897</v>
      </c>
      <c r="C949" t="s">
        <v>2957</v>
      </c>
      <c r="D949" t="s">
        <v>3999</v>
      </c>
      <c r="E949">
        <v>19</v>
      </c>
      <c r="F949" t="str">
        <f t="shared" si="14"/>
        <v>18-25</v>
      </c>
      <c r="G949" t="s">
        <v>4006</v>
      </c>
      <c r="H949" t="s">
        <v>4007</v>
      </c>
      <c r="I949" t="s">
        <v>4015</v>
      </c>
      <c r="J949">
        <v>7</v>
      </c>
      <c r="K949">
        <v>7750</v>
      </c>
      <c r="L949">
        <v>10</v>
      </c>
      <c r="M949">
        <v>54250</v>
      </c>
      <c r="N949">
        <v>5425</v>
      </c>
      <c r="O949">
        <v>48825</v>
      </c>
    </row>
    <row r="950" spans="1:15" x14ac:dyDescent="0.3">
      <c r="A950" t="s">
        <v>962</v>
      </c>
      <c r="B950" s="1">
        <v>45006</v>
      </c>
      <c r="C950" t="s">
        <v>2958</v>
      </c>
      <c r="D950" t="s">
        <v>4000</v>
      </c>
      <c r="E950">
        <v>28</v>
      </c>
      <c r="F950" t="str">
        <f t="shared" si="14"/>
        <v>26-35</v>
      </c>
      <c r="G950" t="s">
        <v>4001</v>
      </c>
      <c r="H950" t="s">
        <v>4012</v>
      </c>
      <c r="I950" t="s">
        <v>4015</v>
      </c>
      <c r="J950">
        <v>6</v>
      </c>
      <c r="K950">
        <v>6127</v>
      </c>
      <c r="L950">
        <v>10</v>
      </c>
      <c r="M950">
        <v>36762</v>
      </c>
      <c r="N950">
        <v>3676.2</v>
      </c>
      <c r="O950">
        <v>33085.800000000003</v>
      </c>
    </row>
    <row r="951" spans="1:15" x14ac:dyDescent="0.3">
      <c r="A951" t="s">
        <v>963</v>
      </c>
      <c r="B951" s="1">
        <v>45178</v>
      </c>
      <c r="C951" t="s">
        <v>2959</v>
      </c>
      <c r="D951" t="s">
        <v>4000</v>
      </c>
      <c r="E951">
        <v>54</v>
      </c>
      <c r="F951" t="str">
        <f t="shared" si="14"/>
        <v>46+</v>
      </c>
      <c r="G951" t="s">
        <v>4004</v>
      </c>
      <c r="H951" t="s">
        <v>4008</v>
      </c>
      <c r="I951" t="s">
        <v>4013</v>
      </c>
      <c r="J951">
        <v>5</v>
      </c>
      <c r="K951">
        <v>5998</v>
      </c>
      <c r="L951">
        <v>0</v>
      </c>
      <c r="M951">
        <v>29990</v>
      </c>
      <c r="N951">
        <v>0</v>
      </c>
      <c r="O951">
        <v>29990</v>
      </c>
    </row>
    <row r="952" spans="1:15" x14ac:dyDescent="0.3">
      <c r="A952" t="s">
        <v>964</v>
      </c>
      <c r="B952" s="1">
        <v>44693</v>
      </c>
      <c r="C952" t="s">
        <v>2960</v>
      </c>
      <c r="D952" t="s">
        <v>3999</v>
      </c>
      <c r="E952">
        <v>25</v>
      </c>
      <c r="F952" t="str">
        <f t="shared" si="14"/>
        <v>18-25</v>
      </c>
      <c r="G952" t="s">
        <v>4003</v>
      </c>
      <c r="H952" t="s">
        <v>4010</v>
      </c>
      <c r="I952" t="s">
        <v>4014</v>
      </c>
      <c r="J952">
        <v>4</v>
      </c>
      <c r="K952">
        <v>5050</v>
      </c>
      <c r="L952">
        <v>10</v>
      </c>
      <c r="M952">
        <v>20200</v>
      </c>
      <c r="N952">
        <v>2020</v>
      </c>
      <c r="O952">
        <v>18180</v>
      </c>
    </row>
    <row r="953" spans="1:15" x14ac:dyDescent="0.3">
      <c r="A953" t="s">
        <v>965</v>
      </c>
      <c r="B953" s="1">
        <v>45071</v>
      </c>
      <c r="C953" t="s">
        <v>2961</v>
      </c>
      <c r="D953" t="s">
        <v>3999</v>
      </c>
      <c r="E953">
        <v>60</v>
      </c>
      <c r="F953" t="str">
        <f t="shared" si="14"/>
        <v>46+</v>
      </c>
      <c r="G953" t="s">
        <v>4005</v>
      </c>
      <c r="H953" t="s">
        <v>4007</v>
      </c>
      <c r="I953" t="s">
        <v>4017</v>
      </c>
      <c r="J953">
        <v>3</v>
      </c>
      <c r="K953">
        <v>4410</v>
      </c>
      <c r="L953">
        <v>5</v>
      </c>
      <c r="M953">
        <v>13230</v>
      </c>
      <c r="N953">
        <v>661.5</v>
      </c>
      <c r="O953">
        <v>12568.5</v>
      </c>
    </row>
    <row r="954" spans="1:15" x14ac:dyDescent="0.3">
      <c r="A954" t="s">
        <v>966</v>
      </c>
      <c r="B954" s="1">
        <v>45227</v>
      </c>
      <c r="C954" t="s">
        <v>2962</v>
      </c>
      <c r="D954" t="s">
        <v>3999</v>
      </c>
      <c r="E954">
        <v>26</v>
      </c>
      <c r="F954" t="str">
        <f t="shared" si="14"/>
        <v>26-35</v>
      </c>
      <c r="G954" t="s">
        <v>4003</v>
      </c>
      <c r="H954" t="s">
        <v>4008</v>
      </c>
      <c r="I954" t="s">
        <v>4013</v>
      </c>
      <c r="J954">
        <v>5</v>
      </c>
      <c r="K954">
        <v>1140</v>
      </c>
      <c r="L954">
        <v>15</v>
      </c>
      <c r="M954">
        <v>5700</v>
      </c>
      <c r="N954">
        <v>855</v>
      </c>
      <c r="O954">
        <v>4845</v>
      </c>
    </row>
    <row r="955" spans="1:15" x14ac:dyDescent="0.3">
      <c r="A955" t="s">
        <v>967</v>
      </c>
      <c r="B955" s="1">
        <v>45038</v>
      </c>
      <c r="C955" t="s">
        <v>2963</v>
      </c>
      <c r="D955" t="s">
        <v>4000</v>
      </c>
      <c r="E955">
        <v>37</v>
      </c>
      <c r="F955" t="str">
        <f t="shared" si="14"/>
        <v>36-45</v>
      </c>
      <c r="G955" t="s">
        <v>4004</v>
      </c>
      <c r="H955" t="s">
        <v>4007</v>
      </c>
      <c r="I955" t="s">
        <v>4013</v>
      </c>
      <c r="J955">
        <v>2</v>
      </c>
      <c r="K955">
        <v>4652</v>
      </c>
      <c r="L955">
        <v>0</v>
      </c>
      <c r="M955">
        <v>9304</v>
      </c>
      <c r="N955">
        <v>0</v>
      </c>
      <c r="O955">
        <v>9304</v>
      </c>
    </row>
    <row r="956" spans="1:15" x14ac:dyDescent="0.3">
      <c r="A956" t="s">
        <v>968</v>
      </c>
      <c r="B956" s="1">
        <v>45204</v>
      </c>
      <c r="C956" t="s">
        <v>2964</v>
      </c>
      <c r="D956" t="s">
        <v>3999</v>
      </c>
      <c r="E956">
        <v>27</v>
      </c>
      <c r="F956" t="str">
        <f t="shared" si="14"/>
        <v>26-35</v>
      </c>
      <c r="G956" t="s">
        <v>4002</v>
      </c>
      <c r="H956" t="s">
        <v>4007</v>
      </c>
      <c r="I956" t="s">
        <v>4014</v>
      </c>
      <c r="J956">
        <v>1</v>
      </c>
      <c r="K956">
        <v>4719</v>
      </c>
      <c r="L956">
        <v>10</v>
      </c>
      <c r="M956">
        <v>4719</v>
      </c>
      <c r="N956">
        <v>471.9</v>
      </c>
      <c r="O956">
        <v>4247.1000000000004</v>
      </c>
    </row>
    <row r="957" spans="1:15" x14ac:dyDescent="0.3">
      <c r="A957" t="s">
        <v>969</v>
      </c>
      <c r="B957" s="1">
        <v>45235</v>
      </c>
      <c r="C957" t="s">
        <v>2965</v>
      </c>
      <c r="D957" t="s">
        <v>3999</v>
      </c>
      <c r="E957">
        <v>58</v>
      </c>
      <c r="F957" t="str">
        <f t="shared" si="14"/>
        <v>46+</v>
      </c>
      <c r="G957" t="s">
        <v>4006</v>
      </c>
      <c r="H957" t="s">
        <v>4009</v>
      </c>
      <c r="I957" t="s">
        <v>4015</v>
      </c>
      <c r="J957">
        <v>4</v>
      </c>
      <c r="K957">
        <v>4964</v>
      </c>
      <c r="L957">
        <v>0</v>
      </c>
      <c r="M957">
        <v>19856</v>
      </c>
      <c r="N957">
        <v>0</v>
      </c>
      <c r="O957">
        <v>19856</v>
      </c>
    </row>
    <row r="958" spans="1:15" x14ac:dyDescent="0.3">
      <c r="A958" t="s">
        <v>970</v>
      </c>
      <c r="B958" s="1">
        <v>44667</v>
      </c>
      <c r="C958" t="s">
        <v>2966</v>
      </c>
      <c r="D958" t="s">
        <v>4000</v>
      </c>
      <c r="E958">
        <v>20</v>
      </c>
      <c r="F958" t="str">
        <f t="shared" si="14"/>
        <v>18-25</v>
      </c>
      <c r="G958" t="s">
        <v>4004</v>
      </c>
      <c r="H958" t="s">
        <v>4012</v>
      </c>
      <c r="I958" t="s">
        <v>4016</v>
      </c>
      <c r="J958">
        <v>4</v>
      </c>
      <c r="K958">
        <v>1169</v>
      </c>
      <c r="L958">
        <v>5</v>
      </c>
      <c r="M958">
        <v>4676</v>
      </c>
      <c r="N958">
        <v>233.8</v>
      </c>
      <c r="O958">
        <v>4442.2</v>
      </c>
    </row>
    <row r="959" spans="1:15" x14ac:dyDescent="0.3">
      <c r="A959" t="s">
        <v>971</v>
      </c>
      <c r="B959" s="1">
        <v>44669</v>
      </c>
      <c r="C959" t="s">
        <v>2967</v>
      </c>
      <c r="D959" t="s">
        <v>3999</v>
      </c>
      <c r="E959">
        <v>21</v>
      </c>
      <c r="F959" t="str">
        <f t="shared" si="14"/>
        <v>18-25</v>
      </c>
      <c r="G959" t="s">
        <v>4006</v>
      </c>
      <c r="H959" t="s">
        <v>4008</v>
      </c>
      <c r="I959" t="s">
        <v>4014</v>
      </c>
      <c r="J959">
        <v>4</v>
      </c>
      <c r="K959">
        <v>4261</v>
      </c>
      <c r="L959">
        <v>0</v>
      </c>
      <c r="M959">
        <v>17044</v>
      </c>
      <c r="N959">
        <v>0</v>
      </c>
      <c r="O959">
        <v>17044</v>
      </c>
    </row>
    <row r="960" spans="1:15" x14ac:dyDescent="0.3">
      <c r="A960" t="s">
        <v>972</v>
      </c>
      <c r="B960" s="1">
        <v>44784</v>
      </c>
      <c r="C960" t="s">
        <v>2968</v>
      </c>
      <c r="D960" t="s">
        <v>3999</v>
      </c>
      <c r="E960">
        <v>55</v>
      </c>
      <c r="F960" t="str">
        <f t="shared" si="14"/>
        <v>46+</v>
      </c>
      <c r="G960" t="s">
        <v>4004</v>
      </c>
      <c r="H960" t="s">
        <v>4007</v>
      </c>
      <c r="I960" t="s">
        <v>4013</v>
      </c>
      <c r="J960">
        <v>1</v>
      </c>
      <c r="K960">
        <v>5680</v>
      </c>
      <c r="L960">
        <v>0</v>
      </c>
      <c r="M960">
        <v>5680</v>
      </c>
      <c r="N960">
        <v>0</v>
      </c>
      <c r="O960">
        <v>5680</v>
      </c>
    </row>
    <row r="961" spans="1:15" x14ac:dyDescent="0.3">
      <c r="A961" t="s">
        <v>973</v>
      </c>
      <c r="B961" s="1">
        <v>44587</v>
      </c>
      <c r="C961" t="s">
        <v>2969</v>
      </c>
      <c r="D961" t="s">
        <v>4000</v>
      </c>
      <c r="E961">
        <v>27</v>
      </c>
      <c r="F961" t="str">
        <f t="shared" si="14"/>
        <v>26-35</v>
      </c>
      <c r="G961" t="s">
        <v>4005</v>
      </c>
      <c r="H961" t="s">
        <v>4012</v>
      </c>
      <c r="I961" t="s">
        <v>4013</v>
      </c>
      <c r="J961">
        <v>7</v>
      </c>
      <c r="K961">
        <v>902</v>
      </c>
      <c r="L961">
        <v>0</v>
      </c>
      <c r="M961">
        <v>6314</v>
      </c>
      <c r="N961">
        <v>0</v>
      </c>
      <c r="O961">
        <v>6314</v>
      </c>
    </row>
    <row r="962" spans="1:15" x14ac:dyDescent="0.3">
      <c r="A962" t="s">
        <v>974</v>
      </c>
      <c r="B962" s="1">
        <v>44806</v>
      </c>
      <c r="C962" t="s">
        <v>2970</v>
      </c>
      <c r="D962" t="s">
        <v>4000</v>
      </c>
      <c r="E962">
        <v>55</v>
      </c>
      <c r="F962" t="str">
        <f t="shared" ref="F962:F1025" si="15">IF(E962&lt;=25,"18-25",IF(E962&lt;=35,"26-35",IF(E962&lt;=45,"36-45","46+")))</f>
        <v>46+</v>
      </c>
      <c r="G962" t="s">
        <v>4001</v>
      </c>
      <c r="H962" t="s">
        <v>4008</v>
      </c>
      <c r="I962" t="s">
        <v>4017</v>
      </c>
      <c r="J962">
        <v>5</v>
      </c>
      <c r="K962">
        <v>7103</v>
      </c>
      <c r="L962">
        <v>0</v>
      </c>
      <c r="M962">
        <v>35515</v>
      </c>
      <c r="N962">
        <v>0</v>
      </c>
      <c r="O962">
        <v>35515</v>
      </c>
    </row>
    <row r="963" spans="1:15" x14ac:dyDescent="0.3">
      <c r="A963" t="s">
        <v>975</v>
      </c>
      <c r="B963" s="1">
        <v>44797</v>
      </c>
      <c r="C963" t="s">
        <v>2971</v>
      </c>
      <c r="D963" t="s">
        <v>3999</v>
      </c>
      <c r="E963">
        <v>54</v>
      </c>
      <c r="F963" t="str">
        <f t="shared" si="15"/>
        <v>46+</v>
      </c>
      <c r="G963" t="s">
        <v>4004</v>
      </c>
      <c r="H963" t="s">
        <v>4009</v>
      </c>
      <c r="I963" t="s">
        <v>4017</v>
      </c>
      <c r="J963">
        <v>1</v>
      </c>
      <c r="K963">
        <v>995</v>
      </c>
      <c r="L963">
        <v>15</v>
      </c>
      <c r="M963">
        <v>995</v>
      </c>
      <c r="N963">
        <v>149.25</v>
      </c>
      <c r="O963">
        <v>845.75</v>
      </c>
    </row>
    <row r="964" spans="1:15" x14ac:dyDescent="0.3">
      <c r="A964" t="s">
        <v>976</v>
      </c>
      <c r="B964" s="1">
        <v>44953</v>
      </c>
      <c r="C964" t="s">
        <v>2972</v>
      </c>
      <c r="D964" t="s">
        <v>3999</v>
      </c>
      <c r="E964">
        <v>25</v>
      </c>
      <c r="F964" t="str">
        <f t="shared" si="15"/>
        <v>18-25</v>
      </c>
      <c r="G964" t="s">
        <v>4005</v>
      </c>
      <c r="H964" t="s">
        <v>4010</v>
      </c>
      <c r="I964" t="s">
        <v>4015</v>
      </c>
      <c r="J964">
        <v>4</v>
      </c>
      <c r="K964">
        <v>4504</v>
      </c>
      <c r="L964">
        <v>5</v>
      </c>
      <c r="M964">
        <v>18016</v>
      </c>
      <c r="N964">
        <v>900.8</v>
      </c>
      <c r="O964">
        <v>17115.2</v>
      </c>
    </row>
    <row r="965" spans="1:15" x14ac:dyDescent="0.3">
      <c r="A965" t="s">
        <v>977</v>
      </c>
      <c r="B965" s="1">
        <v>45098</v>
      </c>
      <c r="C965" t="s">
        <v>2973</v>
      </c>
      <c r="D965" t="s">
        <v>3999</v>
      </c>
      <c r="E965">
        <v>52</v>
      </c>
      <c r="F965" t="str">
        <f t="shared" si="15"/>
        <v>46+</v>
      </c>
      <c r="G965" t="s">
        <v>4001</v>
      </c>
      <c r="H965" t="s">
        <v>4007</v>
      </c>
      <c r="I965" t="s">
        <v>4016</v>
      </c>
      <c r="J965">
        <v>2</v>
      </c>
      <c r="K965">
        <v>2813</v>
      </c>
      <c r="L965">
        <v>15</v>
      </c>
      <c r="M965">
        <v>5626</v>
      </c>
      <c r="N965">
        <v>843.9</v>
      </c>
      <c r="O965">
        <v>4782.1000000000004</v>
      </c>
    </row>
    <row r="966" spans="1:15" x14ac:dyDescent="0.3">
      <c r="A966" t="s">
        <v>978</v>
      </c>
      <c r="B966" s="1">
        <v>44785</v>
      </c>
      <c r="C966" t="s">
        <v>2974</v>
      </c>
      <c r="D966" t="s">
        <v>4000</v>
      </c>
      <c r="E966">
        <v>63</v>
      </c>
      <c r="F966" t="str">
        <f t="shared" si="15"/>
        <v>46+</v>
      </c>
      <c r="G966" t="s">
        <v>4005</v>
      </c>
      <c r="H966" t="s">
        <v>4009</v>
      </c>
      <c r="I966" t="s">
        <v>4013</v>
      </c>
      <c r="J966">
        <v>3</v>
      </c>
      <c r="K966">
        <v>3884</v>
      </c>
      <c r="L966">
        <v>0</v>
      </c>
      <c r="M966">
        <v>11652</v>
      </c>
      <c r="N966">
        <v>0</v>
      </c>
      <c r="O966">
        <v>11652</v>
      </c>
    </row>
    <row r="967" spans="1:15" x14ac:dyDescent="0.3">
      <c r="A967" t="s">
        <v>979</v>
      </c>
      <c r="B967" s="1">
        <v>44623</v>
      </c>
      <c r="C967" t="s">
        <v>2975</v>
      </c>
      <c r="D967" t="s">
        <v>4000</v>
      </c>
      <c r="E967">
        <v>38</v>
      </c>
      <c r="F967" t="str">
        <f t="shared" si="15"/>
        <v>36-45</v>
      </c>
      <c r="G967" t="s">
        <v>4002</v>
      </c>
      <c r="H967" t="s">
        <v>4009</v>
      </c>
      <c r="I967" t="s">
        <v>4015</v>
      </c>
      <c r="J967">
        <v>2</v>
      </c>
      <c r="K967">
        <v>1198</v>
      </c>
      <c r="L967">
        <v>0</v>
      </c>
      <c r="M967">
        <v>2396</v>
      </c>
      <c r="N967">
        <v>0</v>
      </c>
      <c r="O967">
        <v>2396</v>
      </c>
    </row>
    <row r="968" spans="1:15" x14ac:dyDescent="0.3">
      <c r="A968" t="s">
        <v>980</v>
      </c>
      <c r="B968" s="1">
        <v>44636</v>
      </c>
      <c r="C968" t="s">
        <v>2976</v>
      </c>
      <c r="D968" t="s">
        <v>3999</v>
      </c>
      <c r="E968">
        <v>54</v>
      </c>
      <c r="F968" t="str">
        <f t="shared" si="15"/>
        <v>46+</v>
      </c>
      <c r="G968" t="s">
        <v>4001</v>
      </c>
      <c r="H968" t="s">
        <v>4010</v>
      </c>
      <c r="I968" t="s">
        <v>4017</v>
      </c>
      <c r="J968">
        <v>4</v>
      </c>
      <c r="K968">
        <v>4745</v>
      </c>
      <c r="L968">
        <v>5</v>
      </c>
      <c r="M968">
        <v>18980</v>
      </c>
      <c r="N968">
        <v>949</v>
      </c>
      <c r="O968">
        <v>18031</v>
      </c>
    </row>
    <row r="969" spans="1:15" x14ac:dyDescent="0.3">
      <c r="A969" t="s">
        <v>981</v>
      </c>
      <c r="B969" s="1">
        <v>45132</v>
      </c>
      <c r="C969" t="s">
        <v>2977</v>
      </c>
      <c r="D969" t="s">
        <v>4000</v>
      </c>
      <c r="E969">
        <v>38</v>
      </c>
      <c r="F969" t="str">
        <f t="shared" si="15"/>
        <v>36-45</v>
      </c>
      <c r="G969" t="s">
        <v>4004</v>
      </c>
      <c r="H969" t="s">
        <v>4009</v>
      </c>
      <c r="I969" t="s">
        <v>4015</v>
      </c>
      <c r="J969">
        <v>2</v>
      </c>
      <c r="K969">
        <v>7677</v>
      </c>
      <c r="L969">
        <v>15</v>
      </c>
      <c r="M969">
        <v>15354</v>
      </c>
      <c r="N969">
        <v>2303.1</v>
      </c>
      <c r="O969">
        <v>13050.9</v>
      </c>
    </row>
    <row r="970" spans="1:15" x14ac:dyDescent="0.3">
      <c r="A970" t="s">
        <v>982</v>
      </c>
      <c r="B970" s="1">
        <v>45105</v>
      </c>
      <c r="C970" t="s">
        <v>2978</v>
      </c>
      <c r="D970" t="s">
        <v>3999</v>
      </c>
      <c r="E970">
        <v>49</v>
      </c>
      <c r="F970" t="str">
        <f t="shared" si="15"/>
        <v>46+</v>
      </c>
      <c r="G970" t="s">
        <v>4002</v>
      </c>
      <c r="H970" t="s">
        <v>4012</v>
      </c>
      <c r="I970" t="s">
        <v>4013</v>
      </c>
      <c r="J970">
        <v>1</v>
      </c>
      <c r="K970">
        <v>6528</v>
      </c>
      <c r="L970">
        <v>0</v>
      </c>
      <c r="M970">
        <v>6528</v>
      </c>
      <c r="N970">
        <v>0</v>
      </c>
      <c r="O970">
        <v>6528</v>
      </c>
    </row>
    <row r="971" spans="1:15" x14ac:dyDescent="0.3">
      <c r="A971" t="s">
        <v>983</v>
      </c>
      <c r="B971" s="1">
        <v>45227</v>
      </c>
      <c r="C971" t="s">
        <v>2979</v>
      </c>
      <c r="D971" t="s">
        <v>4000</v>
      </c>
      <c r="E971">
        <v>62</v>
      </c>
      <c r="F971" t="str">
        <f t="shared" si="15"/>
        <v>46+</v>
      </c>
      <c r="G971" t="s">
        <v>4006</v>
      </c>
      <c r="H971" t="s">
        <v>4010</v>
      </c>
      <c r="I971" t="s">
        <v>4017</v>
      </c>
      <c r="J971">
        <v>6</v>
      </c>
      <c r="K971">
        <v>7100</v>
      </c>
      <c r="L971">
        <v>5</v>
      </c>
      <c r="M971">
        <v>42600</v>
      </c>
      <c r="N971">
        <v>2130</v>
      </c>
      <c r="O971">
        <v>40470</v>
      </c>
    </row>
    <row r="972" spans="1:15" x14ac:dyDescent="0.3">
      <c r="A972" t="s">
        <v>984</v>
      </c>
      <c r="B972" s="1">
        <v>45160</v>
      </c>
      <c r="C972" t="s">
        <v>2980</v>
      </c>
      <c r="D972" t="s">
        <v>3999</v>
      </c>
      <c r="E972">
        <v>30</v>
      </c>
      <c r="F972" t="str">
        <f t="shared" si="15"/>
        <v>26-35</v>
      </c>
      <c r="G972" t="s">
        <v>4005</v>
      </c>
      <c r="H972" t="s">
        <v>4012</v>
      </c>
      <c r="I972" t="s">
        <v>4015</v>
      </c>
      <c r="J972">
        <v>2</v>
      </c>
      <c r="K972">
        <v>5170</v>
      </c>
      <c r="L972">
        <v>0</v>
      </c>
      <c r="M972">
        <v>10340</v>
      </c>
      <c r="N972">
        <v>0</v>
      </c>
      <c r="O972">
        <v>10340</v>
      </c>
    </row>
    <row r="973" spans="1:15" x14ac:dyDescent="0.3">
      <c r="A973" t="s">
        <v>985</v>
      </c>
      <c r="B973" s="1">
        <v>44904</v>
      </c>
      <c r="C973" t="s">
        <v>2981</v>
      </c>
      <c r="D973" t="s">
        <v>3999</v>
      </c>
      <c r="E973">
        <v>23</v>
      </c>
      <c r="F973" t="str">
        <f t="shared" si="15"/>
        <v>18-25</v>
      </c>
      <c r="G973" t="s">
        <v>4004</v>
      </c>
      <c r="H973" t="s">
        <v>4008</v>
      </c>
      <c r="I973" t="s">
        <v>4015</v>
      </c>
      <c r="J973">
        <v>6</v>
      </c>
      <c r="K973">
        <v>5796</v>
      </c>
      <c r="L973">
        <v>0</v>
      </c>
      <c r="M973">
        <v>34776</v>
      </c>
      <c r="N973">
        <v>0</v>
      </c>
      <c r="O973">
        <v>34776</v>
      </c>
    </row>
    <row r="974" spans="1:15" x14ac:dyDescent="0.3">
      <c r="A974" t="s">
        <v>986</v>
      </c>
      <c r="B974" s="1">
        <v>45169</v>
      </c>
      <c r="C974" t="s">
        <v>2982</v>
      </c>
      <c r="D974" t="s">
        <v>4000</v>
      </c>
      <c r="E974">
        <v>38</v>
      </c>
      <c r="F974" t="str">
        <f t="shared" si="15"/>
        <v>36-45</v>
      </c>
      <c r="G974" t="s">
        <v>4002</v>
      </c>
      <c r="H974" t="s">
        <v>4011</v>
      </c>
      <c r="I974" t="s">
        <v>4013</v>
      </c>
      <c r="J974">
        <v>5</v>
      </c>
      <c r="K974">
        <v>7884</v>
      </c>
      <c r="L974">
        <v>10</v>
      </c>
      <c r="M974">
        <v>39420</v>
      </c>
      <c r="N974">
        <v>3942</v>
      </c>
      <c r="O974">
        <v>35478</v>
      </c>
    </row>
    <row r="975" spans="1:15" x14ac:dyDescent="0.3">
      <c r="A975" t="s">
        <v>987</v>
      </c>
      <c r="B975" s="1">
        <v>45168</v>
      </c>
      <c r="C975" t="s">
        <v>2983</v>
      </c>
      <c r="D975" t="s">
        <v>3999</v>
      </c>
      <c r="E975">
        <v>35</v>
      </c>
      <c r="F975" t="str">
        <f t="shared" si="15"/>
        <v>26-35</v>
      </c>
      <c r="G975" t="s">
        <v>4005</v>
      </c>
      <c r="H975" t="s">
        <v>4009</v>
      </c>
      <c r="I975" t="s">
        <v>4016</v>
      </c>
      <c r="J975">
        <v>5</v>
      </c>
      <c r="K975">
        <v>6801</v>
      </c>
      <c r="L975">
        <v>10</v>
      </c>
      <c r="M975">
        <v>34005</v>
      </c>
      <c r="N975">
        <v>3400.5</v>
      </c>
      <c r="O975">
        <v>30604.5</v>
      </c>
    </row>
    <row r="976" spans="1:15" x14ac:dyDescent="0.3">
      <c r="A976" t="s">
        <v>988</v>
      </c>
      <c r="B976" s="1">
        <v>45015</v>
      </c>
      <c r="C976" t="s">
        <v>2984</v>
      </c>
      <c r="D976" t="s">
        <v>4000</v>
      </c>
      <c r="E976">
        <v>36</v>
      </c>
      <c r="F976" t="str">
        <f t="shared" si="15"/>
        <v>36-45</v>
      </c>
      <c r="G976" t="s">
        <v>4006</v>
      </c>
      <c r="H976" t="s">
        <v>4010</v>
      </c>
      <c r="I976" t="s">
        <v>4015</v>
      </c>
      <c r="J976">
        <v>5</v>
      </c>
      <c r="K976">
        <v>7162</v>
      </c>
      <c r="L976">
        <v>10</v>
      </c>
      <c r="M976">
        <v>35810</v>
      </c>
      <c r="N976">
        <v>3581</v>
      </c>
      <c r="O976">
        <v>32229</v>
      </c>
    </row>
    <row r="977" spans="1:15" x14ac:dyDescent="0.3">
      <c r="A977" t="s">
        <v>989</v>
      </c>
      <c r="B977" s="1">
        <v>45257</v>
      </c>
      <c r="C977" t="s">
        <v>2985</v>
      </c>
      <c r="D977" t="s">
        <v>4000</v>
      </c>
      <c r="E977">
        <v>44</v>
      </c>
      <c r="F977" t="str">
        <f t="shared" si="15"/>
        <v>36-45</v>
      </c>
      <c r="G977" t="s">
        <v>4003</v>
      </c>
      <c r="H977" t="s">
        <v>4007</v>
      </c>
      <c r="I977" t="s">
        <v>4013</v>
      </c>
      <c r="J977">
        <v>4</v>
      </c>
      <c r="K977">
        <v>3958</v>
      </c>
      <c r="L977">
        <v>5</v>
      </c>
      <c r="M977">
        <v>15832</v>
      </c>
      <c r="N977">
        <v>791.6</v>
      </c>
      <c r="O977">
        <v>15040.4</v>
      </c>
    </row>
    <row r="978" spans="1:15" x14ac:dyDescent="0.3">
      <c r="A978" t="s">
        <v>990</v>
      </c>
      <c r="B978" s="1">
        <v>45230</v>
      </c>
      <c r="C978" t="s">
        <v>2986</v>
      </c>
      <c r="D978" t="s">
        <v>4000</v>
      </c>
      <c r="E978">
        <v>18</v>
      </c>
      <c r="F978" t="str">
        <f t="shared" si="15"/>
        <v>18-25</v>
      </c>
      <c r="G978" t="s">
        <v>4003</v>
      </c>
      <c r="H978" t="s">
        <v>4009</v>
      </c>
      <c r="I978" t="s">
        <v>4014</v>
      </c>
      <c r="J978">
        <v>3</v>
      </c>
      <c r="K978">
        <v>7251</v>
      </c>
      <c r="L978">
        <v>10</v>
      </c>
      <c r="M978">
        <v>21753</v>
      </c>
      <c r="N978">
        <v>2175.3000000000002</v>
      </c>
      <c r="O978">
        <v>19577.7</v>
      </c>
    </row>
    <row r="979" spans="1:15" x14ac:dyDescent="0.3">
      <c r="A979" t="s">
        <v>991</v>
      </c>
      <c r="B979" s="1">
        <v>45110</v>
      </c>
      <c r="C979" t="s">
        <v>2987</v>
      </c>
      <c r="D979" t="s">
        <v>3999</v>
      </c>
      <c r="E979">
        <v>58</v>
      </c>
      <c r="F979" t="str">
        <f t="shared" si="15"/>
        <v>46+</v>
      </c>
      <c r="G979" t="s">
        <v>4006</v>
      </c>
      <c r="H979" t="s">
        <v>4009</v>
      </c>
      <c r="I979" t="s">
        <v>4016</v>
      </c>
      <c r="J979">
        <v>2</v>
      </c>
      <c r="K979">
        <v>5970</v>
      </c>
      <c r="L979">
        <v>15</v>
      </c>
      <c r="M979">
        <v>11940</v>
      </c>
      <c r="N979">
        <v>1791</v>
      </c>
      <c r="O979">
        <v>10149</v>
      </c>
    </row>
    <row r="980" spans="1:15" x14ac:dyDescent="0.3">
      <c r="A980" t="s">
        <v>992</v>
      </c>
      <c r="B980" s="1">
        <v>44833</v>
      </c>
      <c r="C980" t="s">
        <v>2988</v>
      </c>
      <c r="D980" t="s">
        <v>3999</v>
      </c>
      <c r="E980">
        <v>18</v>
      </c>
      <c r="F980" t="str">
        <f t="shared" si="15"/>
        <v>18-25</v>
      </c>
      <c r="G980" t="s">
        <v>4005</v>
      </c>
      <c r="H980" t="s">
        <v>4010</v>
      </c>
      <c r="I980" t="s">
        <v>4013</v>
      </c>
      <c r="J980">
        <v>7</v>
      </c>
      <c r="K980">
        <v>3303</v>
      </c>
      <c r="L980">
        <v>0</v>
      </c>
      <c r="M980">
        <v>23121</v>
      </c>
      <c r="N980">
        <v>0</v>
      </c>
      <c r="O980">
        <v>23121</v>
      </c>
    </row>
    <row r="981" spans="1:15" x14ac:dyDescent="0.3">
      <c r="A981" t="s">
        <v>993</v>
      </c>
      <c r="B981" s="1">
        <v>44770</v>
      </c>
      <c r="C981" t="s">
        <v>2989</v>
      </c>
      <c r="D981" t="s">
        <v>4000</v>
      </c>
      <c r="E981">
        <v>22</v>
      </c>
      <c r="F981" t="str">
        <f t="shared" si="15"/>
        <v>18-25</v>
      </c>
      <c r="G981" t="s">
        <v>4001</v>
      </c>
      <c r="H981" t="s">
        <v>4008</v>
      </c>
      <c r="I981" t="s">
        <v>4017</v>
      </c>
      <c r="J981">
        <v>3</v>
      </c>
      <c r="K981">
        <v>2243</v>
      </c>
      <c r="L981">
        <v>10</v>
      </c>
      <c r="M981">
        <v>6729</v>
      </c>
      <c r="N981">
        <v>672.9</v>
      </c>
      <c r="O981">
        <v>6056.1</v>
      </c>
    </row>
    <row r="982" spans="1:15" x14ac:dyDescent="0.3">
      <c r="A982" t="s">
        <v>994</v>
      </c>
      <c r="B982" s="1">
        <v>44735</v>
      </c>
      <c r="C982" t="s">
        <v>2990</v>
      </c>
      <c r="D982" t="s">
        <v>4000</v>
      </c>
      <c r="E982">
        <v>61</v>
      </c>
      <c r="F982" t="str">
        <f t="shared" si="15"/>
        <v>46+</v>
      </c>
      <c r="G982" t="s">
        <v>4006</v>
      </c>
      <c r="H982" t="s">
        <v>4011</v>
      </c>
      <c r="I982" t="s">
        <v>4013</v>
      </c>
      <c r="J982">
        <v>4</v>
      </c>
      <c r="K982">
        <v>6122</v>
      </c>
      <c r="L982">
        <v>15</v>
      </c>
      <c r="M982">
        <v>24488</v>
      </c>
      <c r="N982">
        <v>3673.2</v>
      </c>
      <c r="O982">
        <v>20814.8</v>
      </c>
    </row>
    <row r="983" spans="1:15" x14ac:dyDescent="0.3">
      <c r="A983" t="s">
        <v>995</v>
      </c>
      <c r="B983" s="1">
        <v>45095</v>
      </c>
      <c r="C983" t="s">
        <v>2991</v>
      </c>
      <c r="D983" t="s">
        <v>4000</v>
      </c>
      <c r="E983">
        <v>32</v>
      </c>
      <c r="F983" t="str">
        <f t="shared" si="15"/>
        <v>26-35</v>
      </c>
      <c r="G983" t="s">
        <v>4004</v>
      </c>
      <c r="H983" t="s">
        <v>4007</v>
      </c>
      <c r="I983" t="s">
        <v>4016</v>
      </c>
      <c r="J983">
        <v>3</v>
      </c>
      <c r="K983">
        <v>393</v>
      </c>
      <c r="L983">
        <v>10</v>
      </c>
      <c r="M983">
        <v>1179</v>
      </c>
      <c r="N983">
        <v>117.9</v>
      </c>
      <c r="O983">
        <v>1061.0999999999999</v>
      </c>
    </row>
    <row r="984" spans="1:15" x14ac:dyDescent="0.3">
      <c r="A984" t="s">
        <v>996</v>
      </c>
      <c r="B984" s="1">
        <v>45223</v>
      </c>
      <c r="C984" t="s">
        <v>2992</v>
      </c>
      <c r="D984" t="s">
        <v>4000</v>
      </c>
      <c r="E984">
        <v>21</v>
      </c>
      <c r="F984" t="str">
        <f t="shared" si="15"/>
        <v>18-25</v>
      </c>
      <c r="G984" t="s">
        <v>4002</v>
      </c>
      <c r="H984" t="s">
        <v>4011</v>
      </c>
      <c r="I984" t="s">
        <v>4016</v>
      </c>
      <c r="J984">
        <v>4</v>
      </c>
      <c r="K984">
        <v>1162</v>
      </c>
      <c r="L984">
        <v>0</v>
      </c>
      <c r="M984">
        <v>4648</v>
      </c>
      <c r="N984">
        <v>0</v>
      </c>
      <c r="O984">
        <v>4648</v>
      </c>
    </row>
    <row r="985" spans="1:15" x14ac:dyDescent="0.3">
      <c r="A985" t="s">
        <v>997</v>
      </c>
      <c r="B985" s="1">
        <v>44591</v>
      </c>
      <c r="C985" t="s">
        <v>2993</v>
      </c>
      <c r="D985" t="s">
        <v>4000</v>
      </c>
      <c r="E985">
        <v>24</v>
      </c>
      <c r="F985" t="str">
        <f t="shared" si="15"/>
        <v>18-25</v>
      </c>
      <c r="G985" t="s">
        <v>4006</v>
      </c>
      <c r="H985" t="s">
        <v>4011</v>
      </c>
      <c r="I985" t="s">
        <v>4013</v>
      </c>
      <c r="J985">
        <v>5</v>
      </c>
      <c r="K985">
        <v>2896</v>
      </c>
      <c r="L985">
        <v>15</v>
      </c>
      <c r="M985">
        <v>14480</v>
      </c>
      <c r="N985">
        <v>2172</v>
      </c>
      <c r="O985">
        <v>12308</v>
      </c>
    </row>
    <row r="986" spans="1:15" x14ac:dyDescent="0.3">
      <c r="A986" t="s">
        <v>998</v>
      </c>
      <c r="B986" s="1">
        <v>45078</v>
      </c>
      <c r="C986" t="s">
        <v>2994</v>
      </c>
      <c r="D986" t="s">
        <v>4000</v>
      </c>
      <c r="E986">
        <v>30</v>
      </c>
      <c r="F986" t="str">
        <f t="shared" si="15"/>
        <v>26-35</v>
      </c>
      <c r="G986" t="s">
        <v>4006</v>
      </c>
      <c r="H986" t="s">
        <v>4010</v>
      </c>
      <c r="I986" t="s">
        <v>4016</v>
      </c>
      <c r="J986">
        <v>5</v>
      </c>
      <c r="K986">
        <v>5736</v>
      </c>
      <c r="L986">
        <v>5</v>
      </c>
      <c r="M986">
        <v>28680</v>
      </c>
      <c r="N986">
        <v>1434</v>
      </c>
      <c r="O986">
        <v>27246</v>
      </c>
    </row>
    <row r="987" spans="1:15" x14ac:dyDescent="0.3">
      <c r="A987" t="s">
        <v>999</v>
      </c>
      <c r="B987" s="1">
        <v>44928</v>
      </c>
      <c r="C987" t="s">
        <v>2995</v>
      </c>
      <c r="D987" t="s">
        <v>4000</v>
      </c>
      <c r="E987">
        <v>38</v>
      </c>
      <c r="F987" t="str">
        <f t="shared" si="15"/>
        <v>36-45</v>
      </c>
      <c r="G987" t="s">
        <v>4006</v>
      </c>
      <c r="H987" t="s">
        <v>4007</v>
      </c>
      <c r="I987" t="s">
        <v>4014</v>
      </c>
      <c r="J987">
        <v>4</v>
      </c>
      <c r="K987">
        <v>482</v>
      </c>
      <c r="L987">
        <v>15</v>
      </c>
      <c r="M987">
        <v>1928</v>
      </c>
      <c r="N987">
        <v>289.2</v>
      </c>
      <c r="O987">
        <v>1638.8</v>
      </c>
    </row>
    <row r="988" spans="1:15" x14ac:dyDescent="0.3">
      <c r="A988" t="s">
        <v>1000</v>
      </c>
      <c r="B988" s="1">
        <v>44711</v>
      </c>
      <c r="C988" t="s">
        <v>2996</v>
      </c>
      <c r="D988" t="s">
        <v>3999</v>
      </c>
      <c r="E988">
        <v>39</v>
      </c>
      <c r="F988" t="str">
        <f t="shared" si="15"/>
        <v>36-45</v>
      </c>
      <c r="G988" t="s">
        <v>4002</v>
      </c>
      <c r="H988" t="s">
        <v>4010</v>
      </c>
      <c r="I988" t="s">
        <v>4016</v>
      </c>
      <c r="J988">
        <v>4</v>
      </c>
      <c r="K988">
        <v>3838</v>
      </c>
      <c r="L988">
        <v>0</v>
      </c>
      <c r="M988">
        <v>15352</v>
      </c>
      <c r="N988">
        <v>0</v>
      </c>
      <c r="O988">
        <v>15352</v>
      </c>
    </row>
    <row r="989" spans="1:15" x14ac:dyDescent="0.3">
      <c r="A989" t="s">
        <v>1001</v>
      </c>
      <c r="B989" s="1">
        <v>44878</v>
      </c>
      <c r="C989" t="s">
        <v>2997</v>
      </c>
      <c r="D989" t="s">
        <v>3999</v>
      </c>
      <c r="E989">
        <v>49</v>
      </c>
      <c r="F989" t="str">
        <f t="shared" si="15"/>
        <v>46+</v>
      </c>
      <c r="G989" t="s">
        <v>4003</v>
      </c>
      <c r="H989" t="s">
        <v>4009</v>
      </c>
      <c r="I989" t="s">
        <v>4015</v>
      </c>
      <c r="J989">
        <v>5</v>
      </c>
      <c r="K989">
        <v>6189</v>
      </c>
      <c r="L989">
        <v>0</v>
      </c>
      <c r="M989">
        <v>30945</v>
      </c>
      <c r="N989">
        <v>0</v>
      </c>
      <c r="O989">
        <v>30945</v>
      </c>
    </row>
    <row r="990" spans="1:15" x14ac:dyDescent="0.3">
      <c r="A990" t="s">
        <v>1002</v>
      </c>
      <c r="B990" s="1">
        <v>44611</v>
      </c>
      <c r="C990" t="s">
        <v>2775</v>
      </c>
      <c r="D990" t="s">
        <v>4000</v>
      </c>
      <c r="E990">
        <v>48</v>
      </c>
      <c r="F990" t="str">
        <f t="shared" si="15"/>
        <v>46+</v>
      </c>
      <c r="G990" t="s">
        <v>4005</v>
      </c>
      <c r="H990" t="s">
        <v>4009</v>
      </c>
      <c r="I990" t="s">
        <v>4016</v>
      </c>
      <c r="J990">
        <v>2</v>
      </c>
      <c r="K990">
        <v>5643</v>
      </c>
      <c r="L990">
        <v>0</v>
      </c>
      <c r="M990">
        <v>11286</v>
      </c>
      <c r="N990">
        <v>0</v>
      </c>
      <c r="O990">
        <v>11286</v>
      </c>
    </row>
    <row r="991" spans="1:15" x14ac:dyDescent="0.3">
      <c r="A991" t="s">
        <v>1003</v>
      </c>
      <c r="B991" s="1">
        <v>44889</v>
      </c>
      <c r="C991" t="s">
        <v>2998</v>
      </c>
      <c r="D991" t="s">
        <v>3999</v>
      </c>
      <c r="E991">
        <v>51</v>
      </c>
      <c r="F991" t="str">
        <f t="shared" si="15"/>
        <v>46+</v>
      </c>
      <c r="G991" t="s">
        <v>4004</v>
      </c>
      <c r="H991" t="s">
        <v>4012</v>
      </c>
      <c r="I991" t="s">
        <v>4017</v>
      </c>
      <c r="J991">
        <v>5</v>
      </c>
      <c r="K991">
        <v>4158</v>
      </c>
      <c r="L991">
        <v>5</v>
      </c>
      <c r="M991">
        <v>20790</v>
      </c>
      <c r="N991">
        <v>1039.5</v>
      </c>
      <c r="O991">
        <v>19750.5</v>
      </c>
    </row>
    <row r="992" spans="1:15" x14ac:dyDescent="0.3">
      <c r="A992" t="s">
        <v>1004</v>
      </c>
      <c r="B992" s="1">
        <v>44838</v>
      </c>
      <c r="C992" t="s">
        <v>2999</v>
      </c>
      <c r="D992" t="s">
        <v>3999</v>
      </c>
      <c r="E992">
        <v>60</v>
      </c>
      <c r="F992" t="str">
        <f t="shared" si="15"/>
        <v>46+</v>
      </c>
      <c r="G992" t="s">
        <v>4004</v>
      </c>
      <c r="H992" t="s">
        <v>4010</v>
      </c>
      <c r="I992" t="s">
        <v>4014</v>
      </c>
      <c r="J992">
        <v>1</v>
      </c>
      <c r="K992">
        <v>5243</v>
      </c>
      <c r="L992">
        <v>10</v>
      </c>
      <c r="M992">
        <v>5243</v>
      </c>
      <c r="N992">
        <v>524.29999999999995</v>
      </c>
      <c r="O992">
        <v>4718.7</v>
      </c>
    </row>
    <row r="993" spans="1:15" x14ac:dyDescent="0.3">
      <c r="A993" t="s">
        <v>1005</v>
      </c>
      <c r="B993" s="1">
        <v>45286</v>
      </c>
      <c r="C993" t="s">
        <v>3000</v>
      </c>
      <c r="D993" t="s">
        <v>3999</v>
      </c>
      <c r="E993">
        <v>58</v>
      </c>
      <c r="F993" t="str">
        <f t="shared" si="15"/>
        <v>46+</v>
      </c>
      <c r="G993" t="s">
        <v>4004</v>
      </c>
      <c r="H993" t="s">
        <v>4007</v>
      </c>
      <c r="I993" t="s">
        <v>4014</v>
      </c>
      <c r="J993">
        <v>3</v>
      </c>
      <c r="K993">
        <v>2783</v>
      </c>
      <c r="L993">
        <v>0</v>
      </c>
      <c r="M993">
        <v>8349</v>
      </c>
      <c r="N993">
        <v>0</v>
      </c>
      <c r="O993">
        <v>8349</v>
      </c>
    </row>
    <row r="994" spans="1:15" x14ac:dyDescent="0.3">
      <c r="A994" t="s">
        <v>1006</v>
      </c>
      <c r="B994" s="1">
        <v>44884</v>
      </c>
      <c r="C994" t="s">
        <v>3001</v>
      </c>
      <c r="D994" t="s">
        <v>4000</v>
      </c>
      <c r="E994">
        <v>49</v>
      </c>
      <c r="F994" t="str">
        <f t="shared" si="15"/>
        <v>46+</v>
      </c>
      <c r="G994" t="s">
        <v>4004</v>
      </c>
      <c r="H994" t="s">
        <v>4011</v>
      </c>
      <c r="I994" t="s">
        <v>4016</v>
      </c>
      <c r="J994">
        <v>4</v>
      </c>
      <c r="K994">
        <v>669</v>
      </c>
      <c r="L994">
        <v>15</v>
      </c>
      <c r="M994">
        <v>2676</v>
      </c>
      <c r="N994">
        <v>401.4</v>
      </c>
      <c r="O994">
        <v>2274.6</v>
      </c>
    </row>
    <row r="995" spans="1:15" x14ac:dyDescent="0.3">
      <c r="A995" t="s">
        <v>1007</v>
      </c>
      <c r="B995" s="1">
        <v>44609</v>
      </c>
      <c r="C995" t="s">
        <v>3002</v>
      </c>
      <c r="D995" t="s">
        <v>3999</v>
      </c>
      <c r="E995">
        <v>19</v>
      </c>
      <c r="F995" t="str">
        <f t="shared" si="15"/>
        <v>18-25</v>
      </c>
      <c r="G995" t="s">
        <v>4004</v>
      </c>
      <c r="H995" t="s">
        <v>4007</v>
      </c>
      <c r="I995" t="s">
        <v>4013</v>
      </c>
      <c r="J995">
        <v>3</v>
      </c>
      <c r="K995">
        <v>2357</v>
      </c>
      <c r="L995">
        <v>15</v>
      </c>
      <c r="M995">
        <v>7071</v>
      </c>
      <c r="N995">
        <v>1060.6500000000001</v>
      </c>
      <c r="O995">
        <v>6010.35</v>
      </c>
    </row>
    <row r="996" spans="1:15" x14ac:dyDescent="0.3">
      <c r="A996" t="s">
        <v>1008</v>
      </c>
      <c r="B996" s="1">
        <v>45082</v>
      </c>
      <c r="C996" t="s">
        <v>3003</v>
      </c>
      <c r="D996" t="s">
        <v>3999</v>
      </c>
      <c r="E996">
        <v>61</v>
      </c>
      <c r="F996" t="str">
        <f t="shared" si="15"/>
        <v>46+</v>
      </c>
      <c r="G996" t="s">
        <v>4006</v>
      </c>
      <c r="H996" t="s">
        <v>4012</v>
      </c>
      <c r="I996" t="s">
        <v>4014</v>
      </c>
      <c r="J996">
        <v>7</v>
      </c>
      <c r="K996">
        <v>3101</v>
      </c>
      <c r="L996">
        <v>10</v>
      </c>
      <c r="M996">
        <v>21707</v>
      </c>
      <c r="N996">
        <v>2170.6999999999998</v>
      </c>
      <c r="O996">
        <v>19536.3</v>
      </c>
    </row>
    <row r="997" spans="1:15" x14ac:dyDescent="0.3">
      <c r="A997" t="s">
        <v>1009</v>
      </c>
      <c r="B997" s="1">
        <v>45145</v>
      </c>
      <c r="C997" t="s">
        <v>3004</v>
      </c>
      <c r="D997" t="s">
        <v>3999</v>
      </c>
      <c r="E997">
        <v>37</v>
      </c>
      <c r="F997" t="str">
        <f t="shared" si="15"/>
        <v>36-45</v>
      </c>
      <c r="G997" t="s">
        <v>4003</v>
      </c>
      <c r="H997" t="s">
        <v>4008</v>
      </c>
      <c r="I997" t="s">
        <v>4015</v>
      </c>
      <c r="J997">
        <v>6</v>
      </c>
      <c r="K997">
        <v>369</v>
      </c>
      <c r="L997">
        <v>0</v>
      </c>
      <c r="M997">
        <v>2214</v>
      </c>
      <c r="N997">
        <v>0</v>
      </c>
      <c r="O997">
        <v>2214</v>
      </c>
    </row>
    <row r="998" spans="1:15" x14ac:dyDescent="0.3">
      <c r="A998" t="s">
        <v>1010</v>
      </c>
      <c r="B998" s="1">
        <v>45096</v>
      </c>
      <c r="C998" t="s">
        <v>3005</v>
      </c>
      <c r="D998" t="s">
        <v>4000</v>
      </c>
      <c r="E998">
        <v>29</v>
      </c>
      <c r="F998" t="str">
        <f t="shared" si="15"/>
        <v>26-35</v>
      </c>
      <c r="G998" t="s">
        <v>4002</v>
      </c>
      <c r="H998" t="s">
        <v>4011</v>
      </c>
      <c r="I998" t="s">
        <v>4015</v>
      </c>
      <c r="J998">
        <v>2</v>
      </c>
      <c r="K998">
        <v>6798</v>
      </c>
      <c r="L998">
        <v>5</v>
      </c>
      <c r="M998">
        <v>13596</v>
      </c>
      <c r="N998">
        <v>679.8</v>
      </c>
      <c r="O998">
        <v>12916.2</v>
      </c>
    </row>
    <row r="999" spans="1:15" x14ac:dyDescent="0.3">
      <c r="A999" t="s">
        <v>1011</v>
      </c>
      <c r="B999" s="1">
        <v>44728</v>
      </c>
      <c r="C999" t="s">
        <v>3006</v>
      </c>
      <c r="D999" t="s">
        <v>4000</v>
      </c>
      <c r="E999">
        <v>47</v>
      </c>
      <c r="F999" t="str">
        <f t="shared" si="15"/>
        <v>46+</v>
      </c>
      <c r="G999" t="s">
        <v>4003</v>
      </c>
      <c r="H999" t="s">
        <v>4007</v>
      </c>
      <c r="I999" t="s">
        <v>4017</v>
      </c>
      <c r="J999">
        <v>5</v>
      </c>
      <c r="K999">
        <v>482</v>
      </c>
      <c r="L999">
        <v>10</v>
      </c>
      <c r="M999">
        <v>2410</v>
      </c>
      <c r="N999">
        <v>241</v>
      </c>
      <c r="O999">
        <v>2169</v>
      </c>
    </row>
    <row r="1000" spans="1:15" x14ac:dyDescent="0.3">
      <c r="A1000" t="s">
        <v>1012</v>
      </c>
      <c r="B1000" s="1">
        <v>44970</v>
      </c>
      <c r="C1000" t="s">
        <v>3007</v>
      </c>
      <c r="D1000" t="s">
        <v>4000</v>
      </c>
      <c r="E1000">
        <v>48</v>
      </c>
      <c r="F1000" t="str">
        <f t="shared" si="15"/>
        <v>46+</v>
      </c>
      <c r="G1000" t="s">
        <v>4001</v>
      </c>
      <c r="H1000" t="s">
        <v>4008</v>
      </c>
      <c r="I1000" t="s">
        <v>4017</v>
      </c>
      <c r="J1000">
        <v>6</v>
      </c>
      <c r="K1000">
        <v>3161</v>
      </c>
      <c r="L1000">
        <v>15</v>
      </c>
      <c r="M1000">
        <v>18966</v>
      </c>
      <c r="N1000">
        <v>2844.9</v>
      </c>
      <c r="O1000">
        <v>16121.1</v>
      </c>
    </row>
    <row r="1001" spans="1:15" x14ac:dyDescent="0.3">
      <c r="A1001" t="s">
        <v>1013</v>
      </c>
      <c r="B1001" s="1">
        <v>44642</v>
      </c>
      <c r="C1001" t="s">
        <v>3008</v>
      </c>
      <c r="D1001" t="s">
        <v>4000</v>
      </c>
      <c r="E1001">
        <v>20</v>
      </c>
      <c r="F1001" t="str">
        <f t="shared" si="15"/>
        <v>18-25</v>
      </c>
      <c r="G1001" t="s">
        <v>4002</v>
      </c>
      <c r="H1001" t="s">
        <v>4007</v>
      </c>
      <c r="I1001" t="s">
        <v>4016</v>
      </c>
      <c r="J1001">
        <v>7</v>
      </c>
      <c r="K1001">
        <v>5695</v>
      </c>
      <c r="L1001">
        <v>15</v>
      </c>
      <c r="M1001">
        <v>39865</v>
      </c>
      <c r="N1001">
        <v>5979.75</v>
      </c>
      <c r="O1001">
        <v>33885.25</v>
      </c>
    </row>
    <row r="1002" spans="1:15" x14ac:dyDescent="0.3">
      <c r="A1002" t="s">
        <v>1014</v>
      </c>
      <c r="B1002" s="1">
        <v>44568</v>
      </c>
      <c r="C1002" t="s">
        <v>3009</v>
      </c>
      <c r="D1002" t="s">
        <v>4000</v>
      </c>
      <c r="E1002">
        <v>24</v>
      </c>
      <c r="F1002" t="str">
        <f t="shared" si="15"/>
        <v>18-25</v>
      </c>
      <c r="G1002" t="s">
        <v>4004</v>
      </c>
      <c r="H1002" t="s">
        <v>4007</v>
      </c>
      <c r="I1002" t="s">
        <v>4013</v>
      </c>
      <c r="J1002">
        <v>6</v>
      </c>
      <c r="K1002">
        <v>4534</v>
      </c>
      <c r="L1002">
        <v>5</v>
      </c>
      <c r="M1002">
        <v>27204</v>
      </c>
      <c r="N1002">
        <v>1360.2</v>
      </c>
      <c r="O1002">
        <v>25843.8</v>
      </c>
    </row>
    <row r="1003" spans="1:15" x14ac:dyDescent="0.3">
      <c r="A1003" t="s">
        <v>1015</v>
      </c>
      <c r="B1003" s="1">
        <v>45230</v>
      </c>
      <c r="C1003" t="s">
        <v>3010</v>
      </c>
      <c r="D1003" t="s">
        <v>4000</v>
      </c>
      <c r="E1003">
        <v>31</v>
      </c>
      <c r="F1003" t="str">
        <f t="shared" si="15"/>
        <v>26-35</v>
      </c>
      <c r="G1003" t="s">
        <v>4003</v>
      </c>
      <c r="H1003" t="s">
        <v>4010</v>
      </c>
      <c r="I1003" t="s">
        <v>4013</v>
      </c>
      <c r="J1003">
        <v>4</v>
      </c>
      <c r="K1003">
        <v>739</v>
      </c>
      <c r="L1003">
        <v>0</v>
      </c>
      <c r="M1003">
        <v>2956</v>
      </c>
      <c r="N1003">
        <v>0</v>
      </c>
      <c r="O1003">
        <v>2956</v>
      </c>
    </row>
    <row r="1004" spans="1:15" x14ac:dyDescent="0.3">
      <c r="A1004" t="s">
        <v>1016</v>
      </c>
      <c r="B1004" s="1">
        <v>44868</v>
      </c>
      <c r="C1004" t="s">
        <v>3011</v>
      </c>
      <c r="D1004" t="s">
        <v>3999</v>
      </c>
      <c r="E1004">
        <v>52</v>
      </c>
      <c r="F1004" t="str">
        <f t="shared" si="15"/>
        <v>46+</v>
      </c>
      <c r="G1004" t="s">
        <v>4003</v>
      </c>
      <c r="H1004" t="s">
        <v>4007</v>
      </c>
      <c r="I1004" t="s">
        <v>4017</v>
      </c>
      <c r="J1004">
        <v>6</v>
      </c>
      <c r="K1004">
        <v>1112</v>
      </c>
      <c r="L1004">
        <v>0</v>
      </c>
      <c r="M1004">
        <v>6672</v>
      </c>
      <c r="N1004">
        <v>0</v>
      </c>
      <c r="O1004">
        <v>6672</v>
      </c>
    </row>
    <row r="1005" spans="1:15" x14ac:dyDescent="0.3">
      <c r="A1005" t="s">
        <v>1017</v>
      </c>
      <c r="B1005" s="1">
        <v>44600</v>
      </c>
      <c r="C1005" t="s">
        <v>3012</v>
      </c>
      <c r="D1005" t="s">
        <v>4000</v>
      </c>
      <c r="E1005">
        <v>49</v>
      </c>
      <c r="F1005" t="str">
        <f t="shared" si="15"/>
        <v>46+</v>
      </c>
      <c r="G1005" t="s">
        <v>4005</v>
      </c>
      <c r="H1005" t="s">
        <v>4011</v>
      </c>
      <c r="I1005" t="s">
        <v>4013</v>
      </c>
      <c r="J1005">
        <v>5</v>
      </c>
      <c r="K1005">
        <v>2162</v>
      </c>
      <c r="L1005">
        <v>0</v>
      </c>
      <c r="M1005">
        <v>10810</v>
      </c>
      <c r="N1005">
        <v>0</v>
      </c>
      <c r="O1005">
        <v>10810</v>
      </c>
    </row>
    <row r="1006" spans="1:15" x14ac:dyDescent="0.3">
      <c r="A1006" t="s">
        <v>1018</v>
      </c>
      <c r="B1006" s="1">
        <v>45136</v>
      </c>
      <c r="C1006" t="s">
        <v>3013</v>
      </c>
      <c r="D1006" t="s">
        <v>4000</v>
      </c>
      <c r="E1006">
        <v>56</v>
      </c>
      <c r="F1006" t="str">
        <f t="shared" si="15"/>
        <v>46+</v>
      </c>
      <c r="G1006" t="s">
        <v>4005</v>
      </c>
      <c r="H1006" t="s">
        <v>4010</v>
      </c>
      <c r="I1006" t="s">
        <v>4013</v>
      </c>
      <c r="J1006">
        <v>6</v>
      </c>
      <c r="K1006">
        <v>5777</v>
      </c>
      <c r="L1006">
        <v>10</v>
      </c>
      <c r="M1006">
        <v>34662</v>
      </c>
      <c r="N1006">
        <v>3466.2</v>
      </c>
      <c r="O1006">
        <v>31195.8</v>
      </c>
    </row>
    <row r="1007" spans="1:15" x14ac:dyDescent="0.3">
      <c r="A1007" t="s">
        <v>1019</v>
      </c>
      <c r="B1007" s="1">
        <v>45206</v>
      </c>
      <c r="C1007" t="s">
        <v>3014</v>
      </c>
      <c r="D1007" t="s">
        <v>4000</v>
      </c>
      <c r="E1007">
        <v>45</v>
      </c>
      <c r="F1007" t="str">
        <f t="shared" si="15"/>
        <v>36-45</v>
      </c>
      <c r="G1007" t="s">
        <v>4001</v>
      </c>
      <c r="H1007" t="s">
        <v>4007</v>
      </c>
      <c r="I1007" t="s">
        <v>4016</v>
      </c>
      <c r="J1007">
        <v>1</v>
      </c>
      <c r="K1007">
        <v>3838</v>
      </c>
      <c r="L1007">
        <v>0</v>
      </c>
      <c r="M1007">
        <v>3838</v>
      </c>
      <c r="N1007">
        <v>0</v>
      </c>
      <c r="O1007">
        <v>3838</v>
      </c>
    </row>
    <row r="1008" spans="1:15" x14ac:dyDescent="0.3">
      <c r="A1008" t="s">
        <v>1020</v>
      </c>
      <c r="B1008" s="1">
        <v>45056</v>
      </c>
      <c r="C1008" t="s">
        <v>3015</v>
      </c>
      <c r="D1008" t="s">
        <v>3999</v>
      </c>
      <c r="E1008">
        <v>29</v>
      </c>
      <c r="F1008" t="str">
        <f t="shared" si="15"/>
        <v>26-35</v>
      </c>
      <c r="G1008" t="s">
        <v>4002</v>
      </c>
      <c r="H1008" t="s">
        <v>4009</v>
      </c>
      <c r="I1008" t="s">
        <v>4013</v>
      </c>
      <c r="J1008">
        <v>6</v>
      </c>
      <c r="K1008">
        <v>1389</v>
      </c>
      <c r="L1008">
        <v>15</v>
      </c>
      <c r="M1008">
        <v>8334</v>
      </c>
      <c r="N1008">
        <v>1250.0999999999999</v>
      </c>
      <c r="O1008">
        <v>7083.9</v>
      </c>
    </row>
    <row r="1009" spans="1:15" x14ac:dyDescent="0.3">
      <c r="A1009" t="s">
        <v>1021</v>
      </c>
      <c r="B1009" s="1">
        <v>44665</v>
      </c>
      <c r="C1009" t="s">
        <v>3016</v>
      </c>
      <c r="D1009" t="s">
        <v>4000</v>
      </c>
      <c r="E1009">
        <v>25</v>
      </c>
      <c r="F1009" t="str">
        <f t="shared" si="15"/>
        <v>18-25</v>
      </c>
      <c r="G1009" t="s">
        <v>4003</v>
      </c>
      <c r="H1009" t="s">
        <v>4012</v>
      </c>
      <c r="I1009" t="s">
        <v>4016</v>
      </c>
      <c r="J1009">
        <v>5</v>
      </c>
      <c r="K1009">
        <v>6877</v>
      </c>
      <c r="L1009">
        <v>0</v>
      </c>
      <c r="M1009">
        <v>34385</v>
      </c>
      <c r="N1009">
        <v>0</v>
      </c>
      <c r="O1009">
        <v>34385</v>
      </c>
    </row>
    <row r="1010" spans="1:15" x14ac:dyDescent="0.3">
      <c r="A1010" t="s">
        <v>1022</v>
      </c>
      <c r="B1010" s="1">
        <v>44618</v>
      </c>
      <c r="C1010" t="s">
        <v>3017</v>
      </c>
      <c r="D1010" t="s">
        <v>4000</v>
      </c>
      <c r="E1010">
        <v>44</v>
      </c>
      <c r="F1010" t="str">
        <f t="shared" si="15"/>
        <v>36-45</v>
      </c>
      <c r="G1010" t="s">
        <v>4006</v>
      </c>
      <c r="H1010" t="s">
        <v>4011</v>
      </c>
      <c r="I1010" t="s">
        <v>4017</v>
      </c>
      <c r="J1010">
        <v>1</v>
      </c>
      <c r="K1010">
        <v>5081</v>
      </c>
      <c r="L1010">
        <v>5</v>
      </c>
      <c r="M1010">
        <v>5081</v>
      </c>
      <c r="N1010">
        <v>254.05</v>
      </c>
      <c r="O1010">
        <v>4826.95</v>
      </c>
    </row>
    <row r="1011" spans="1:15" x14ac:dyDescent="0.3">
      <c r="A1011" t="s">
        <v>1023</v>
      </c>
      <c r="B1011" s="1">
        <v>44604</v>
      </c>
      <c r="C1011" t="s">
        <v>3018</v>
      </c>
      <c r="D1011" t="s">
        <v>4000</v>
      </c>
      <c r="E1011">
        <v>22</v>
      </c>
      <c r="F1011" t="str">
        <f t="shared" si="15"/>
        <v>18-25</v>
      </c>
      <c r="G1011" t="s">
        <v>4004</v>
      </c>
      <c r="H1011" t="s">
        <v>4010</v>
      </c>
      <c r="I1011" t="s">
        <v>4014</v>
      </c>
      <c r="J1011">
        <v>5</v>
      </c>
      <c r="K1011">
        <v>5825</v>
      </c>
      <c r="L1011">
        <v>0</v>
      </c>
      <c r="M1011">
        <v>29125</v>
      </c>
      <c r="N1011">
        <v>0</v>
      </c>
      <c r="O1011">
        <v>29125</v>
      </c>
    </row>
    <row r="1012" spans="1:15" x14ac:dyDescent="0.3">
      <c r="A1012" t="s">
        <v>1024</v>
      </c>
      <c r="B1012" s="1">
        <v>44757</v>
      </c>
      <c r="C1012" t="s">
        <v>3019</v>
      </c>
      <c r="D1012" t="s">
        <v>4000</v>
      </c>
      <c r="E1012">
        <v>38</v>
      </c>
      <c r="F1012" t="str">
        <f t="shared" si="15"/>
        <v>36-45</v>
      </c>
      <c r="G1012" t="s">
        <v>4004</v>
      </c>
      <c r="H1012" t="s">
        <v>4009</v>
      </c>
      <c r="I1012" t="s">
        <v>4016</v>
      </c>
      <c r="J1012">
        <v>7</v>
      </c>
      <c r="K1012">
        <v>6001</v>
      </c>
      <c r="L1012">
        <v>5</v>
      </c>
      <c r="M1012">
        <v>42007</v>
      </c>
      <c r="N1012">
        <v>2100.35</v>
      </c>
      <c r="O1012">
        <v>39906.65</v>
      </c>
    </row>
    <row r="1013" spans="1:15" x14ac:dyDescent="0.3">
      <c r="A1013" t="s">
        <v>1025</v>
      </c>
      <c r="B1013" s="1">
        <v>45285</v>
      </c>
      <c r="C1013" t="s">
        <v>3020</v>
      </c>
      <c r="D1013" t="s">
        <v>3999</v>
      </c>
      <c r="E1013">
        <v>46</v>
      </c>
      <c r="F1013" t="str">
        <f t="shared" si="15"/>
        <v>46+</v>
      </c>
      <c r="G1013" t="s">
        <v>4003</v>
      </c>
      <c r="H1013" t="s">
        <v>4007</v>
      </c>
      <c r="I1013" t="s">
        <v>4017</v>
      </c>
      <c r="J1013">
        <v>5</v>
      </c>
      <c r="K1013">
        <v>4726</v>
      </c>
      <c r="L1013">
        <v>15</v>
      </c>
      <c r="M1013">
        <v>23630</v>
      </c>
      <c r="N1013">
        <v>3544.5</v>
      </c>
      <c r="O1013">
        <v>20085.5</v>
      </c>
    </row>
    <row r="1014" spans="1:15" x14ac:dyDescent="0.3">
      <c r="A1014" t="s">
        <v>1026</v>
      </c>
      <c r="B1014" s="1">
        <v>44893</v>
      </c>
      <c r="C1014" t="s">
        <v>3021</v>
      </c>
      <c r="D1014" t="s">
        <v>4000</v>
      </c>
      <c r="E1014">
        <v>21</v>
      </c>
      <c r="F1014" t="str">
        <f t="shared" si="15"/>
        <v>18-25</v>
      </c>
      <c r="G1014" t="s">
        <v>4002</v>
      </c>
      <c r="H1014" t="s">
        <v>4008</v>
      </c>
      <c r="I1014" t="s">
        <v>4017</v>
      </c>
      <c r="J1014">
        <v>5</v>
      </c>
      <c r="K1014">
        <v>5506</v>
      </c>
      <c r="L1014">
        <v>10</v>
      </c>
      <c r="M1014">
        <v>27530</v>
      </c>
      <c r="N1014">
        <v>2753</v>
      </c>
      <c r="O1014">
        <v>24777</v>
      </c>
    </row>
    <row r="1015" spans="1:15" x14ac:dyDescent="0.3">
      <c r="A1015" t="s">
        <v>1027</v>
      </c>
      <c r="B1015" s="1">
        <v>44656</v>
      </c>
      <c r="C1015" t="s">
        <v>3022</v>
      </c>
      <c r="D1015" t="s">
        <v>3999</v>
      </c>
      <c r="E1015">
        <v>23</v>
      </c>
      <c r="F1015" t="str">
        <f t="shared" si="15"/>
        <v>18-25</v>
      </c>
      <c r="G1015" t="s">
        <v>4006</v>
      </c>
      <c r="H1015" t="s">
        <v>4011</v>
      </c>
      <c r="I1015" t="s">
        <v>4013</v>
      </c>
      <c r="J1015">
        <v>5</v>
      </c>
      <c r="K1015">
        <v>1347</v>
      </c>
      <c r="L1015">
        <v>15</v>
      </c>
      <c r="M1015">
        <v>6735</v>
      </c>
      <c r="N1015">
        <v>1010.25</v>
      </c>
      <c r="O1015">
        <v>5724.75</v>
      </c>
    </row>
    <row r="1016" spans="1:15" x14ac:dyDescent="0.3">
      <c r="A1016" t="s">
        <v>1028</v>
      </c>
      <c r="B1016" s="1">
        <v>44982</v>
      </c>
      <c r="C1016" t="s">
        <v>3023</v>
      </c>
      <c r="D1016" t="s">
        <v>4000</v>
      </c>
      <c r="E1016">
        <v>27</v>
      </c>
      <c r="F1016" t="str">
        <f t="shared" si="15"/>
        <v>26-35</v>
      </c>
      <c r="G1016" t="s">
        <v>4004</v>
      </c>
      <c r="H1016" t="s">
        <v>4007</v>
      </c>
      <c r="I1016" t="s">
        <v>4016</v>
      </c>
      <c r="J1016">
        <v>3</v>
      </c>
      <c r="K1016">
        <v>7448</v>
      </c>
      <c r="L1016">
        <v>5</v>
      </c>
      <c r="M1016">
        <v>22344</v>
      </c>
      <c r="N1016">
        <v>1117.2</v>
      </c>
      <c r="O1016">
        <v>21226.799999999999</v>
      </c>
    </row>
    <row r="1017" spans="1:15" x14ac:dyDescent="0.3">
      <c r="A1017" t="s">
        <v>1029</v>
      </c>
      <c r="B1017" s="1">
        <v>44753</v>
      </c>
      <c r="C1017" t="s">
        <v>3024</v>
      </c>
      <c r="D1017" t="s">
        <v>3999</v>
      </c>
      <c r="E1017">
        <v>21</v>
      </c>
      <c r="F1017" t="str">
        <f t="shared" si="15"/>
        <v>18-25</v>
      </c>
      <c r="G1017" t="s">
        <v>4001</v>
      </c>
      <c r="H1017" t="s">
        <v>4007</v>
      </c>
      <c r="I1017" t="s">
        <v>4016</v>
      </c>
      <c r="J1017">
        <v>4</v>
      </c>
      <c r="K1017">
        <v>6858</v>
      </c>
      <c r="L1017">
        <v>10</v>
      </c>
      <c r="M1017">
        <v>27432</v>
      </c>
      <c r="N1017">
        <v>2743.2</v>
      </c>
      <c r="O1017">
        <v>24688.799999999999</v>
      </c>
    </row>
    <row r="1018" spans="1:15" x14ac:dyDescent="0.3">
      <c r="A1018" t="s">
        <v>1030</v>
      </c>
      <c r="B1018" s="1">
        <v>44834</v>
      </c>
      <c r="C1018" t="s">
        <v>3025</v>
      </c>
      <c r="D1018" t="s">
        <v>4000</v>
      </c>
      <c r="E1018">
        <v>34</v>
      </c>
      <c r="F1018" t="str">
        <f t="shared" si="15"/>
        <v>26-35</v>
      </c>
      <c r="G1018" t="s">
        <v>4006</v>
      </c>
      <c r="H1018" t="s">
        <v>4009</v>
      </c>
      <c r="I1018" t="s">
        <v>4016</v>
      </c>
      <c r="J1018">
        <v>3</v>
      </c>
      <c r="K1018">
        <v>5822</v>
      </c>
      <c r="L1018">
        <v>0</v>
      </c>
      <c r="M1018">
        <v>17466</v>
      </c>
      <c r="N1018">
        <v>0</v>
      </c>
      <c r="O1018">
        <v>17466</v>
      </c>
    </row>
    <row r="1019" spans="1:15" x14ac:dyDescent="0.3">
      <c r="A1019" t="s">
        <v>1031</v>
      </c>
      <c r="B1019" s="1">
        <v>44884</v>
      </c>
      <c r="C1019" t="s">
        <v>3026</v>
      </c>
      <c r="D1019" t="s">
        <v>4000</v>
      </c>
      <c r="E1019">
        <v>54</v>
      </c>
      <c r="F1019" t="str">
        <f t="shared" si="15"/>
        <v>46+</v>
      </c>
      <c r="G1019" t="s">
        <v>4002</v>
      </c>
      <c r="H1019" t="s">
        <v>4012</v>
      </c>
      <c r="I1019" t="s">
        <v>4016</v>
      </c>
      <c r="J1019">
        <v>3</v>
      </c>
      <c r="K1019">
        <v>3739</v>
      </c>
      <c r="L1019">
        <v>5</v>
      </c>
      <c r="M1019">
        <v>11217</v>
      </c>
      <c r="N1019">
        <v>560.85</v>
      </c>
      <c r="O1019">
        <v>10656.15</v>
      </c>
    </row>
    <row r="1020" spans="1:15" x14ac:dyDescent="0.3">
      <c r="A1020" t="s">
        <v>1032</v>
      </c>
      <c r="B1020" s="1">
        <v>44636</v>
      </c>
      <c r="C1020" t="s">
        <v>3027</v>
      </c>
      <c r="D1020" t="s">
        <v>4000</v>
      </c>
      <c r="E1020">
        <v>26</v>
      </c>
      <c r="F1020" t="str">
        <f t="shared" si="15"/>
        <v>26-35</v>
      </c>
      <c r="G1020" t="s">
        <v>4001</v>
      </c>
      <c r="H1020" t="s">
        <v>4010</v>
      </c>
      <c r="I1020" t="s">
        <v>4014</v>
      </c>
      <c r="J1020">
        <v>7</v>
      </c>
      <c r="K1020">
        <v>5652</v>
      </c>
      <c r="L1020">
        <v>15</v>
      </c>
      <c r="M1020">
        <v>39564</v>
      </c>
      <c r="N1020">
        <v>5934.6</v>
      </c>
      <c r="O1020">
        <v>33629.4</v>
      </c>
    </row>
    <row r="1021" spans="1:15" x14ac:dyDescent="0.3">
      <c r="A1021" t="s">
        <v>1033</v>
      </c>
      <c r="B1021" s="1">
        <v>45055</v>
      </c>
      <c r="C1021" t="s">
        <v>3028</v>
      </c>
      <c r="D1021" t="s">
        <v>3999</v>
      </c>
      <c r="E1021">
        <v>22</v>
      </c>
      <c r="F1021" t="str">
        <f t="shared" si="15"/>
        <v>18-25</v>
      </c>
      <c r="G1021" t="s">
        <v>4001</v>
      </c>
      <c r="H1021" t="s">
        <v>4010</v>
      </c>
      <c r="I1021" t="s">
        <v>4013</v>
      </c>
      <c r="J1021">
        <v>4</v>
      </c>
      <c r="K1021">
        <v>1161</v>
      </c>
      <c r="L1021">
        <v>5</v>
      </c>
      <c r="M1021">
        <v>4644</v>
      </c>
      <c r="N1021">
        <v>232.2</v>
      </c>
      <c r="O1021">
        <v>4411.8</v>
      </c>
    </row>
    <row r="1022" spans="1:15" x14ac:dyDescent="0.3">
      <c r="A1022" t="s">
        <v>1034</v>
      </c>
      <c r="B1022" s="1">
        <v>44730</v>
      </c>
      <c r="C1022" t="s">
        <v>3029</v>
      </c>
      <c r="D1022" t="s">
        <v>4000</v>
      </c>
      <c r="E1022">
        <v>23</v>
      </c>
      <c r="F1022" t="str">
        <f t="shared" si="15"/>
        <v>18-25</v>
      </c>
      <c r="G1022" t="s">
        <v>4001</v>
      </c>
      <c r="H1022" t="s">
        <v>4008</v>
      </c>
      <c r="I1022" t="s">
        <v>4016</v>
      </c>
      <c r="J1022">
        <v>1</v>
      </c>
      <c r="K1022">
        <v>6850</v>
      </c>
      <c r="L1022">
        <v>10</v>
      </c>
      <c r="M1022">
        <v>6850</v>
      </c>
      <c r="N1022">
        <v>685</v>
      </c>
      <c r="O1022">
        <v>6165</v>
      </c>
    </row>
    <row r="1023" spans="1:15" x14ac:dyDescent="0.3">
      <c r="A1023" t="s">
        <v>1035</v>
      </c>
      <c r="B1023" s="1">
        <v>45204</v>
      </c>
      <c r="C1023" t="s">
        <v>3030</v>
      </c>
      <c r="D1023" t="s">
        <v>3999</v>
      </c>
      <c r="E1023">
        <v>41</v>
      </c>
      <c r="F1023" t="str">
        <f t="shared" si="15"/>
        <v>36-45</v>
      </c>
      <c r="G1023" t="s">
        <v>4004</v>
      </c>
      <c r="H1023" t="s">
        <v>4007</v>
      </c>
      <c r="I1023" t="s">
        <v>4016</v>
      </c>
      <c r="J1023">
        <v>2</v>
      </c>
      <c r="K1023">
        <v>5943</v>
      </c>
      <c r="L1023">
        <v>0</v>
      </c>
      <c r="M1023">
        <v>11886</v>
      </c>
      <c r="N1023">
        <v>0</v>
      </c>
      <c r="O1023">
        <v>11886</v>
      </c>
    </row>
    <row r="1024" spans="1:15" x14ac:dyDescent="0.3">
      <c r="A1024" t="s">
        <v>1036</v>
      </c>
      <c r="B1024" s="1">
        <v>44733</v>
      </c>
      <c r="C1024" t="s">
        <v>3031</v>
      </c>
      <c r="D1024" t="s">
        <v>4000</v>
      </c>
      <c r="E1024">
        <v>55</v>
      </c>
      <c r="F1024" t="str">
        <f t="shared" si="15"/>
        <v>46+</v>
      </c>
      <c r="G1024" t="s">
        <v>4002</v>
      </c>
      <c r="H1024" t="s">
        <v>4007</v>
      </c>
      <c r="I1024" t="s">
        <v>4016</v>
      </c>
      <c r="J1024">
        <v>2</v>
      </c>
      <c r="K1024">
        <v>7593</v>
      </c>
      <c r="L1024">
        <v>10</v>
      </c>
      <c r="M1024">
        <v>15186</v>
      </c>
      <c r="N1024">
        <v>1518.6</v>
      </c>
      <c r="O1024">
        <v>13667.4</v>
      </c>
    </row>
    <row r="1025" spans="1:15" x14ac:dyDescent="0.3">
      <c r="A1025" t="s">
        <v>1037</v>
      </c>
      <c r="B1025" s="1">
        <v>45105</v>
      </c>
      <c r="C1025" t="s">
        <v>3032</v>
      </c>
      <c r="D1025" t="s">
        <v>4000</v>
      </c>
      <c r="E1025">
        <v>49</v>
      </c>
      <c r="F1025" t="str">
        <f t="shared" si="15"/>
        <v>46+</v>
      </c>
      <c r="G1025" t="s">
        <v>4001</v>
      </c>
      <c r="H1025" t="s">
        <v>4007</v>
      </c>
      <c r="I1025" t="s">
        <v>4013</v>
      </c>
      <c r="J1025">
        <v>3</v>
      </c>
      <c r="K1025">
        <v>6800</v>
      </c>
      <c r="L1025">
        <v>0</v>
      </c>
      <c r="M1025">
        <v>20400</v>
      </c>
      <c r="N1025">
        <v>0</v>
      </c>
      <c r="O1025">
        <v>20400</v>
      </c>
    </row>
    <row r="1026" spans="1:15" x14ac:dyDescent="0.3">
      <c r="A1026" t="s">
        <v>1038</v>
      </c>
      <c r="B1026" s="1">
        <v>44631</v>
      </c>
      <c r="C1026" t="s">
        <v>3033</v>
      </c>
      <c r="D1026" t="s">
        <v>3999</v>
      </c>
      <c r="E1026">
        <v>40</v>
      </c>
      <c r="F1026" t="str">
        <f t="shared" ref="F1026:F1089" si="16">IF(E1026&lt;=25,"18-25",IF(E1026&lt;=35,"26-35",IF(E1026&lt;=45,"36-45","46+")))</f>
        <v>36-45</v>
      </c>
      <c r="G1026" t="s">
        <v>4006</v>
      </c>
      <c r="H1026" t="s">
        <v>4011</v>
      </c>
      <c r="I1026" t="s">
        <v>4017</v>
      </c>
      <c r="J1026">
        <v>4</v>
      </c>
      <c r="K1026">
        <v>6257</v>
      </c>
      <c r="L1026">
        <v>0</v>
      </c>
      <c r="M1026">
        <v>25028</v>
      </c>
      <c r="N1026">
        <v>0</v>
      </c>
      <c r="O1026">
        <v>25028</v>
      </c>
    </row>
    <row r="1027" spans="1:15" x14ac:dyDescent="0.3">
      <c r="A1027" t="s">
        <v>1039</v>
      </c>
      <c r="B1027" s="1">
        <v>44632</v>
      </c>
      <c r="C1027" t="s">
        <v>3034</v>
      </c>
      <c r="D1027" t="s">
        <v>3999</v>
      </c>
      <c r="E1027">
        <v>20</v>
      </c>
      <c r="F1027" t="str">
        <f t="shared" si="16"/>
        <v>18-25</v>
      </c>
      <c r="G1027" t="s">
        <v>4003</v>
      </c>
      <c r="H1027" t="s">
        <v>4007</v>
      </c>
      <c r="I1027" t="s">
        <v>4017</v>
      </c>
      <c r="J1027">
        <v>7</v>
      </c>
      <c r="K1027">
        <v>7924</v>
      </c>
      <c r="L1027">
        <v>0</v>
      </c>
      <c r="M1027">
        <v>55468</v>
      </c>
      <c r="N1027">
        <v>0</v>
      </c>
      <c r="O1027">
        <v>55468</v>
      </c>
    </row>
    <row r="1028" spans="1:15" x14ac:dyDescent="0.3">
      <c r="A1028" t="s">
        <v>1040</v>
      </c>
      <c r="B1028" s="1">
        <v>44634</v>
      </c>
      <c r="C1028" t="s">
        <v>3035</v>
      </c>
      <c r="D1028" t="s">
        <v>3999</v>
      </c>
      <c r="E1028">
        <v>37</v>
      </c>
      <c r="F1028" t="str">
        <f t="shared" si="16"/>
        <v>36-45</v>
      </c>
      <c r="G1028" t="s">
        <v>4006</v>
      </c>
      <c r="H1028" t="s">
        <v>4011</v>
      </c>
      <c r="I1028" t="s">
        <v>4017</v>
      </c>
      <c r="J1028">
        <v>3</v>
      </c>
      <c r="K1028">
        <v>5049</v>
      </c>
      <c r="L1028">
        <v>5</v>
      </c>
      <c r="M1028">
        <v>15147</v>
      </c>
      <c r="N1028">
        <v>757.35</v>
      </c>
      <c r="O1028">
        <v>14389.65</v>
      </c>
    </row>
    <row r="1029" spans="1:15" x14ac:dyDescent="0.3">
      <c r="A1029" t="s">
        <v>1041</v>
      </c>
      <c r="B1029" s="1">
        <v>45042</v>
      </c>
      <c r="C1029" t="s">
        <v>3036</v>
      </c>
      <c r="D1029" t="s">
        <v>3999</v>
      </c>
      <c r="E1029">
        <v>26</v>
      </c>
      <c r="F1029" t="str">
        <f t="shared" si="16"/>
        <v>26-35</v>
      </c>
      <c r="G1029" t="s">
        <v>4001</v>
      </c>
      <c r="H1029" t="s">
        <v>4008</v>
      </c>
      <c r="I1029" t="s">
        <v>4016</v>
      </c>
      <c r="J1029">
        <v>2</v>
      </c>
      <c r="K1029">
        <v>7849</v>
      </c>
      <c r="L1029">
        <v>10</v>
      </c>
      <c r="M1029">
        <v>15698</v>
      </c>
      <c r="N1029">
        <v>1569.8</v>
      </c>
      <c r="O1029">
        <v>14128.2</v>
      </c>
    </row>
    <row r="1030" spans="1:15" x14ac:dyDescent="0.3">
      <c r="A1030" t="s">
        <v>1042</v>
      </c>
      <c r="B1030" s="1">
        <v>45241</v>
      </c>
      <c r="C1030" t="s">
        <v>3037</v>
      </c>
      <c r="D1030" t="s">
        <v>3999</v>
      </c>
      <c r="E1030">
        <v>33</v>
      </c>
      <c r="F1030" t="str">
        <f t="shared" si="16"/>
        <v>26-35</v>
      </c>
      <c r="G1030" t="s">
        <v>4001</v>
      </c>
      <c r="H1030" t="s">
        <v>4008</v>
      </c>
      <c r="I1030" t="s">
        <v>4014</v>
      </c>
      <c r="J1030">
        <v>7</v>
      </c>
      <c r="K1030">
        <v>3267</v>
      </c>
      <c r="L1030">
        <v>0</v>
      </c>
      <c r="M1030">
        <v>22869</v>
      </c>
      <c r="N1030">
        <v>0</v>
      </c>
      <c r="O1030">
        <v>22869</v>
      </c>
    </row>
    <row r="1031" spans="1:15" x14ac:dyDescent="0.3">
      <c r="A1031" t="s">
        <v>1043</v>
      </c>
      <c r="B1031" s="1">
        <v>44944</v>
      </c>
      <c r="C1031" t="s">
        <v>3038</v>
      </c>
      <c r="D1031" t="s">
        <v>4000</v>
      </c>
      <c r="E1031">
        <v>26</v>
      </c>
      <c r="F1031" t="str">
        <f t="shared" si="16"/>
        <v>26-35</v>
      </c>
      <c r="G1031" t="s">
        <v>4004</v>
      </c>
      <c r="H1031" t="s">
        <v>4012</v>
      </c>
      <c r="I1031" t="s">
        <v>4017</v>
      </c>
      <c r="J1031">
        <v>7</v>
      </c>
      <c r="K1031">
        <v>3309</v>
      </c>
      <c r="L1031">
        <v>20</v>
      </c>
      <c r="M1031">
        <v>23163</v>
      </c>
      <c r="N1031">
        <v>4632.6000000000004</v>
      </c>
      <c r="O1031">
        <v>18530.400000000001</v>
      </c>
    </row>
    <row r="1032" spans="1:15" x14ac:dyDescent="0.3">
      <c r="A1032" t="s">
        <v>1044</v>
      </c>
      <c r="B1032" s="1">
        <v>45221</v>
      </c>
      <c r="C1032" t="s">
        <v>3039</v>
      </c>
      <c r="D1032" t="s">
        <v>4000</v>
      </c>
      <c r="E1032">
        <v>24</v>
      </c>
      <c r="F1032" t="str">
        <f t="shared" si="16"/>
        <v>18-25</v>
      </c>
      <c r="G1032" t="s">
        <v>4004</v>
      </c>
      <c r="H1032" t="s">
        <v>4008</v>
      </c>
      <c r="I1032" t="s">
        <v>4017</v>
      </c>
      <c r="J1032">
        <v>2</v>
      </c>
      <c r="K1032">
        <v>1714</v>
      </c>
      <c r="L1032">
        <v>0</v>
      </c>
      <c r="M1032">
        <v>3428</v>
      </c>
      <c r="N1032">
        <v>0</v>
      </c>
      <c r="O1032">
        <v>3428</v>
      </c>
    </row>
    <row r="1033" spans="1:15" x14ac:dyDescent="0.3">
      <c r="A1033" t="s">
        <v>1045</v>
      </c>
      <c r="B1033" s="1">
        <v>44793</v>
      </c>
      <c r="C1033" t="s">
        <v>3040</v>
      </c>
      <c r="D1033" t="s">
        <v>4000</v>
      </c>
      <c r="E1033">
        <v>58</v>
      </c>
      <c r="F1033" t="str">
        <f t="shared" si="16"/>
        <v>46+</v>
      </c>
      <c r="G1033" t="s">
        <v>4004</v>
      </c>
      <c r="H1033" t="s">
        <v>4009</v>
      </c>
      <c r="I1033" t="s">
        <v>4017</v>
      </c>
      <c r="J1033">
        <v>6</v>
      </c>
      <c r="K1033">
        <v>1653</v>
      </c>
      <c r="L1033">
        <v>15</v>
      </c>
      <c r="M1033">
        <v>9918</v>
      </c>
      <c r="N1033">
        <v>1487.7</v>
      </c>
      <c r="O1033">
        <v>8430.2999999999993</v>
      </c>
    </row>
    <row r="1034" spans="1:15" x14ac:dyDescent="0.3">
      <c r="A1034" t="s">
        <v>1046</v>
      </c>
      <c r="B1034" s="1">
        <v>44733</v>
      </c>
      <c r="C1034" t="s">
        <v>3041</v>
      </c>
      <c r="D1034" t="s">
        <v>3999</v>
      </c>
      <c r="E1034">
        <v>30</v>
      </c>
      <c r="F1034" t="str">
        <f t="shared" si="16"/>
        <v>26-35</v>
      </c>
      <c r="G1034" t="s">
        <v>4003</v>
      </c>
      <c r="H1034" t="s">
        <v>4007</v>
      </c>
      <c r="I1034" t="s">
        <v>4014</v>
      </c>
      <c r="J1034">
        <v>7</v>
      </c>
      <c r="K1034">
        <v>7367</v>
      </c>
      <c r="L1034">
        <v>0</v>
      </c>
      <c r="M1034">
        <v>51569</v>
      </c>
      <c r="N1034">
        <v>0</v>
      </c>
      <c r="O1034">
        <v>51569</v>
      </c>
    </row>
    <row r="1035" spans="1:15" x14ac:dyDescent="0.3">
      <c r="A1035" t="s">
        <v>1047</v>
      </c>
      <c r="B1035" s="1">
        <v>44647</v>
      </c>
      <c r="C1035" t="s">
        <v>3042</v>
      </c>
      <c r="D1035" t="s">
        <v>4000</v>
      </c>
      <c r="E1035">
        <v>19</v>
      </c>
      <c r="F1035" t="str">
        <f t="shared" si="16"/>
        <v>18-25</v>
      </c>
      <c r="G1035" t="s">
        <v>4004</v>
      </c>
      <c r="H1035" t="s">
        <v>4010</v>
      </c>
      <c r="I1035" t="s">
        <v>4013</v>
      </c>
      <c r="J1035">
        <v>5</v>
      </c>
      <c r="K1035">
        <v>621</v>
      </c>
      <c r="L1035">
        <v>15</v>
      </c>
      <c r="M1035">
        <v>3105</v>
      </c>
      <c r="N1035">
        <v>465.75</v>
      </c>
      <c r="O1035">
        <v>2639.25</v>
      </c>
    </row>
    <row r="1036" spans="1:15" x14ac:dyDescent="0.3">
      <c r="A1036" t="s">
        <v>1048</v>
      </c>
      <c r="B1036" s="1">
        <v>44738</v>
      </c>
      <c r="C1036" t="s">
        <v>3043</v>
      </c>
      <c r="D1036" t="s">
        <v>3999</v>
      </c>
      <c r="E1036">
        <v>52</v>
      </c>
      <c r="F1036" t="str">
        <f t="shared" si="16"/>
        <v>46+</v>
      </c>
      <c r="G1036" t="s">
        <v>4003</v>
      </c>
      <c r="H1036" t="s">
        <v>4007</v>
      </c>
      <c r="I1036" t="s">
        <v>4017</v>
      </c>
      <c r="J1036">
        <v>3</v>
      </c>
      <c r="K1036">
        <v>4138</v>
      </c>
      <c r="L1036">
        <v>10</v>
      </c>
      <c r="M1036">
        <v>12414</v>
      </c>
      <c r="N1036">
        <v>1241.4000000000001</v>
      </c>
      <c r="O1036">
        <v>11172.6</v>
      </c>
    </row>
    <row r="1037" spans="1:15" x14ac:dyDescent="0.3">
      <c r="A1037" t="s">
        <v>1049</v>
      </c>
      <c r="B1037" s="1">
        <v>45126</v>
      </c>
      <c r="C1037" t="s">
        <v>3044</v>
      </c>
      <c r="D1037" t="s">
        <v>4000</v>
      </c>
      <c r="E1037">
        <v>54</v>
      </c>
      <c r="F1037" t="str">
        <f t="shared" si="16"/>
        <v>46+</v>
      </c>
      <c r="G1037" t="s">
        <v>4005</v>
      </c>
      <c r="H1037" t="s">
        <v>4008</v>
      </c>
      <c r="I1037" t="s">
        <v>4016</v>
      </c>
      <c r="J1037">
        <v>3</v>
      </c>
      <c r="K1037">
        <v>4488</v>
      </c>
      <c r="L1037">
        <v>0</v>
      </c>
      <c r="M1037">
        <v>13464</v>
      </c>
      <c r="N1037">
        <v>0</v>
      </c>
      <c r="O1037">
        <v>13464</v>
      </c>
    </row>
    <row r="1038" spans="1:15" x14ac:dyDescent="0.3">
      <c r="A1038" t="s">
        <v>1050</v>
      </c>
      <c r="B1038" s="1">
        <v>44941</v>
      </c>
      <c r="C1038" t="s">
        <v>3045</v>
      </c>
      <c r="D1038" t="s">
        <v>4000</v>
      </c>
      <c r="E1038">
        <v>23</v>
      </c>
      <c r="F1038" t="str">
        <f t="shared" si="16"/>
        <v>18-25</v>
      </c>
      <c r="G1038" t="s">
        <v>4001</v>
      </c>
      <c r="H1038" t="s">
        <v>4007</v>
      </c>
      <c r="I1038" t="s">
        <v>4017</v>
      </c>
      <c r="J1038">
        <v>6</v>
      </c>
      <c r="K1038">
        <v>6517</v>
      </c>
      <c r="L1038">
        <v>5</v>
      </c>
      <c r="M1038">
        <v>39102</v>
      </c>
      <c r="N1038">
        <v>1955.1</v>
      </c>
      <c r="O1038">
        <v>37146.9</v>
      </c>
    </row>
    <row r="1039" spans="1:15" x14ac:dyDescent="0.3">
      <c r="A1039" t="s">
        <v>1051</v>
      </c>
      <c r="B1039" s="1">
        <v>44723</v>
      </c>
      <c r="C1039" t="s">
        <v>3046</v>
      </c>
      <c r="D1039" t="s">
        <v>4000</v>
      </c>
      <c r="E1039">
        <v>63</v>
      </c>
      <c r="F1039" t="str">
        <f t="shared" si="16"/>
        <v>46+</v>
      </c>
      <c r="G1039" t="s">
        <v>4005</v>
      </c>
      <c r="H1039" t="s">
        <v>4009</v>
      </c>
      <c r="I1039" t="s">
        <v>4014</v>
      </c>
      <c r="J1039">
        <v>4</v>
      </c>
      <c r="K1039">
        <v>3145</v>
      </c>
      <c r="L1039">
        <v>0</v>
      </c>
      <c r="M1039">
        <v>12580</v>
      </c>
      <c r="N1039">
        <v>0</v>
      </c>
      <c r="O1039">
        <v>12580</v>
      </c>
    </row>
    <row r="1040" spans="1:15" x14ac:dyDescent="0.3">
      <c r="A1040" t="s">
        <v>1052</v>
      </c>
      <c r="B1040" s="1">
        <v>45212</v>
      </c>
      <c r="C1040" t="s">
        <v>3047</v>
      </c>
      <c r="D1040" t="s">
        <v>4000</v>
      </c>
      <c r="E1040">
        <v>59</v>
      </c>
      <c r="F1040" t="str">
        <f t="shared" si="16"/>
        <v>46+</v>
      </c>
      <c r="G1040" t="s">
        <v>4005</v>
      </c>
      <c r="H1040" t="s">
        <v>4011</v>
      </c>
      <c r="I1040" t="s">
        <v>4013</v>
      </c>
      <c r="J1040">
        <v>7</v>
      </c>
      <c r="K1040">
        <v>621</v>
      </c>
      <c r="L1040">
        <v>20</v>
      </c>
      <c r="M1040">
        <v>4347</v>
      </c>
      <c r="N1040">
        <v>869.4</v>
      </c>
      <c r="O1040">
        <v>3477.6</v>
      </c>
    </row>
    <row r="1041" spans="1:15" x14ac:dyDescent="0.3">
      <c r="A1041" t="s">
        <v>1053</v>
      </c>
      <c r="B1041" s="1">
        <v>45008</v>
      </c>
      <c r="C1041" t="s">
        <v>3048</v>
      </c>
      <c r="D1041" t="s">
        <v>3999</v>
      </c>
      <c r="E1041">
        <v>48</v>
      </c>
      <c r="F1041" t="str">
        <f t="shared" si="16"/>
        <v>46+</v>
      </c>
      <c r="G1041" t="s">
        <v>4002</v>
      </c>
      <c r="H1041" t="s">
        <v>4007</v>
      </c>
      <c r="I1041" t="s">
        <v>4017</v>
      </c>
      <c r="J1041">
        <v>5</v>
      </c>
      <c r="K1041">
        <v>7415</v>
      </c>
      <c r="L1041">
        <v>0</v>
      </c>
      <c r="M1041">
        <v>37075</v>
      </c>
      <c r="N1041">
        <v>0</v>
      </c>
      <c r="O1041">
        <v>37075</v>
      </c>
    </row>
    <row r="1042" spans="1:15" x14ac:dyDescent="0.3">
      <c r="A1042" t="s">
        <v>1054</v>
      </c>
      <c r="B1042" s="1">
        <v>45221</v>
      </c>
      <c r="C1042" t="s">
        <v>3049</v>
      </c>
      <c r="D1042" t="s">
        <v>3999</v>
      </c>
      <c r="E1042">
        <v>39</v>
      </c>
      <c r="F1042" t="str">
        <f t="shared" si="16"/>
        <v>36-45</v>
      </c>
      <c r="G1042" t="s">
        <v>4006</v>
      </c>
      <c r="H1042" t="s">
        <v>4010</v>
      </c>
      <c r="I1042" t="s">
        <v>4017</v>
      </c>
      <c r="J1042">
        <v>2</v>
      </c>
      <c r="K1042">
        <v>3234</v>
      </c>
      <c r="L1042">
        <v>0</v>
      </c>
      <c r="M1042">
        <v>6468</v>
      </c>
      <c r="N1042">
        <v>0</v>
      </c>
      <c r="O1042">
        <v>6468</v>
      </c>
    </row>
    <row r="1043" spans="1:15" x14ac:dyDescent="0.3">
      <c r="A1043" t="s">
        <v>1055</v>
      </c>
      <c r="B1043" s="1">
        <v>45163</v>
      </c>
      <c r="C1043" t="s">
        <v>3050</v>
      </c>
      <c r="D1043" t="s">
        <v>4000</v>
      </c>
      <c r="E1043">
        <v>43</v>
      </c>
      <c r="F1043" t="str">
        <f t="shared" si="16"/>
        <v>36-45</v>
      </c>
      <c r="G1043" t="s">
        <v>4003</v>
      </c>
      <c r="H1043" t="s">
        <v>4011</v>
      </c>
      <c r="I1043" t="s">
        <v>4016</v>
      </c>
      <c r="J1043">
        <v>5</v>
      </c>
      <c r="K1043">
        <v>4995</v>
      </c>
      <c r="L1043">
        <v>0</v>
      </c>
      <c r="M1043">
        <v>24975</v>
      </c>
      <c r="N1043">
        <v>0</v>
      </c>
      <c r="O1043">
        <v>24975</v>
      </c>
    </row>
    <row r="1044" spans="1:15" x14ac:dyDescent="0.3">
      <c r="A1044" t="s">
        <v>1056</v>
      </c>
      <c r="B1044" s="1">
        <v>45223</v>
      </c>
      <c r="C1044" t="s">
        <v>3051</v>
      </c>
      <c r="D1044" t="s">
        <v>3999</v>
      </c>
      <c r="E1044">
        <v>40</v>
      </c>
      <c r="F1044" t="str">
        <f t="shared" si="16"/>
        <v>36-45</v>
      </c>
      <c r="G1044" t="s">
        <v>4003</v>
      </c>
      <c r="H1044" t="s">
        <v>4007</v>
      </c>
      <c r="I1044" t="s">
        <v>4015</v>
      </c>
      <c r="J1044">
        <v>7</v>
      </c>
      <c r="K1044">
        <v>2698</v>
      </c>
      <c r="L1044">
        <v>5</v>
      </c>
      <c r="M1044">
        <v>18886</v>
      </c>
      <c r="N1044">
        <v>944.3</v>
      </c>
      <c r="O1044">
        <v>17941.7</v>
      </c>
    </row>
    <row r="1045" spans="1:15" x14ac:dyDescent="0.3">
      <c r="A1045" t="s">
        <v>1057</v>
      </c>
      <c r="B1045" s="1">
        <v>44909</v>
      </c>
      <c r="C1045" t="s">
        <v>3052</v>
      </c>
      <c r="D1045" t="s">
        <v>4000</v>
      </c>
      <c r="E1045">
        <v>38</v>
      </c>
      <c r="F1045" t="str">
        <f t="shared" si="16"/>
        <v>36-45</v>
      </c>
      <c r="G1045" t="s">
        <v>4006</v>
      </c>
      <c r="H1045" t="s">
        <v>4007</v>
      </c>
      <c r="I1045" t="s">
        <v>4013</v>
      </c>
      <c r="J1045">
        <v>7</v>
      </c>
      <c r="K1045">
        <v>6295</v>
      </c>
      <c r="L1045">
        <v>10</v>
      </c>
      <c r="M1045">
        <v>44065</v>
      </c>
      <c r="N1045">
        <v>4406.5</v>
      </c>
      <c r="O1045">
        <v>39658.5</v>
      </c>
    </row>
    <row r="1046" spans="1:15" x14ac:dyDescent="0.3">
      <c r="A1046" t="s">
        <v>1058</v>
      </c>
      <c r="B1046" s="1">
        <v>44774</v>
      </c>
      <c r="C1046" t="s">
        <v>3053</v>
      </c>
      <c r="D1046" t="s">
        <v>4000</v>
      </c>
      <c r="E1046">
        <v>34</v>
      </c>
      <c r="F1046" t="str">
        <f t="shared" si="16"/>
        <v>26-35</v>
      </c>
      <c r="G1046" t="s">
        <v>4005</v>
      </c>
      <c r="H1046" t="s">
        <v>4007</v>
      </c>
      <c r="I1046" t="s">
        <v>4014</v>
      </c>
      <c r="J1046">
        <v>6</v>
      </c>
      <c r="K1046">
        <v>5903</v>
      </c>
      <c r="L1046">
        <v>10</v>
      </c>
      <c r="M1046">
        <v>35418</v>
      </c>
      <c r="N1046">
        <v>3541.8</v>
      </c>
      <c r="O1046">
        <v>31876.2</v>
      </c>
    </row>
    <row r="1047" spans="1:15" x14ac:dyDescent="0.3">
      <c r="A1047" t="s">
        <v>1059</v>
      </c>
      <c r="B1047" s="1">
        <v>45097</v>
      </c>
      <c r="C1047" t="s">
        <v>3054</v>
      </c>
      <c r="D1047" t="s">
        <v>4000</v>
      </c>
      <c r="E1047">
        <v>26</v>
      </c>
      <c r="F1047" t="str">
        <f t="shared" si="16"/>
        <v>26-35</v>
      </c>
      <c r="G1047" t="s">
        <v>4001</v>
      </c>
      <c r="H1047" t="s">
        <v>4010</v>
      </c>
      <c r="I1047" t="s">
        <v>4016</v>
      </c>
      <c r="J1047">
        <v>7</v>
      </c>
      <c r="K1047">
        <v>4760</v>
      </c>
      <c r="L1047">
        <v>15</v>
      </c>
      <c r="M1047">
        <v>33320</v>
      </c>
      <c r="N1047">
        <v>4998</v>
      </c>
      <c r="O1047">
        <v>28322</v>
      </c>
    </row>
    <row r="1048" spans="1:15" x14ac:dyDescent="0.3">
      <c r="A1048" t="s">
        <v>1060</v>
      </c>
      <c r="B1048" s="1">
        <v>45077</v>
      </c>
      <c r="C1048" t="s">
        <v>3055</v>
      </c>
      <c r="D1048" t="s">
        <v>4000</v>
      </c>
      <c r="E1048">
        <v>31</v>
      </c>
      <c r="F1048" t="str">
        <f t="shared" si="16"/>
        <v>26-35</v>
      </c>
      <c r="G1048" t="s">
        <v>4004</v>
      </c>
      <c r="H1048" t="s">
        <v>4010</v>
      </c>
      <c r="I1048" t="s">
        <v>4017</v>
      </c>
      <c r="J1048">
        <v>7</v>
      </c>
      <c r="K1048">
        <v>1755</v>
      </c>
      <c r="L1048">
        <v>10</v>
      </c>
      <c r="M1048">
        <v>12285</v>
      </c>
      <c r="N1048">
        <v>1228.5</v>
      </c>
      <c r="O1048">
        <v>11056.5</v>
      </c>
    </row>
    <row r="1049" spans="1:15" x14ac:dyDescent="0.3">
      <c r="A1049" t="s">
        <v>1061</v>
      </c>
      <c r="B1049" s="1">
        <v>44844</v>
      </c>
      <c r="C1049" t="s">
        <v>3056</v>
      </c>
      <c r="D1049" t="s">
        <v>3999</v>
      </c>
      <c r="E1049">
        <v>56</v>
      </c>
      <c r="F1049" t="str">
        <f t="shared" si="16"/>
        <v>46+</v>
      </c>
      <c r="G1049" t="s">
        <v>4005</v>
      </c>
      <c r="H1049" t="s">
        <v>4012</v>
      </c>
      <c r="I1049" t="s">
        <v>4017</v>
      </c>
      <c r="J1049">
        <v>7</v>
      </c>
      <c r="K1049">
        <v>3042</v>
      </c>
      <c r="L1049">
        <v>15</v>
      </c>
      <c r="M1049">
        <v>21294</v>
      </c>
      <c r="N1049">
        <v>3194.1</v>
      </c>
      <c r="O1049">
        <v>18099.900000000001</v>
      </c>
    </row>
    <row r="1050" spans="1:15" x14ac:dyDescent="0.3">
      <c r="A1050" t="s">
        <v>1062</v>
      </c>
      <c r="B1050" s="1">
        <v>45179</v>
      </c>
      <c r="C1050" t="s">
        <v>3057</v>
      </c>
      <c r="D1050" t="s">
        <v>4000</v>
      </c>
      <c r="E1050">
        <v>19</v>
      </c>
      <c r="F1050" t="str">
        <f t="shared" si="16"/>
        <v>18-25</v>
      </c>
      <c r="G1050" t="s">
        <v>4004</v>
      </c>
      <c r="H1050" t="s">
        <v>4010</v>
      </c>
      <c r="I1050" t="s">
        <v>4015</v>
      </c>
      <c r="J1050">
        <v>5</v>
      </c>
      <c r="K1050">
        <v>1773</v>
      </c>
      <c r="L1050">
        <v>5</v>
      </c>
      <c r="M1050">
        <v>8865</v>
      </c>
      <c r="N1050">
        <v>443.25</v>
      </c>
      <c r="O1050">
        <v>8421.75</v>
      </c>
    </row>
    <row r="1051" spans="1:15" x14ac:dyDescent="0.3">
      <c r="A1051" t="s">
        <v>1063</v>
      </c>
      <c r="B1051" s="1">
        <v>44655</v>
      </c>
      <c r="C1051" t="s">
        <v>3058</v>
      </c>
      <c r="D1051" t="s">
        <v>3999</v>
      </c>
      <c r="E1051">
        <v>29</v>
      </c>
      <c r="F1051" t="str">
        <f t="shared" si="16"/>
        <v>26-35</v>
      </c>
      <c r="G1051" t="s">
        <v>4006</v>
      </c>
      <c r="H1051" t="s">
        <v>4008</v>
      </c>
      <c r="I1051" t="s">
        <v>4015</v>
      </c>
      <c r="J1051">
        <v>1</v>
      </c>
      <c r="K1051">
        <v>4900</v>
      </c>
      <c r="L1051">
        <v>0</v>
      </c>
      <c r="M1051">
        <v>4900</v>
      </c>
      <c r="N1051">
        <v>0</v>
      </c>
      <c r="O1051">
        <v>4900</v>
      </c>
    </row>
    <row r="1052" spans="1:15" x14ac:dyDescent="0.3">
      <c r="A1052" t="s">
        <v>1064</v>
      </c>
      <c r="B1052" s="1">
        <v>45100</v>
      </c>
      <c r="C1052" t="s">
        <v>3059</v>
      </c>
      <c r="D1052" t="s">
        <v>4000</v>
      </c>
      <c r="E1052">
        <v>59</v>
      </c>
      <c r="F1052" t="str">
        <f t="shared" si="16"/>
        <v>46+</v>
      </c>
      <c r="G1052" t="s">
        <v>4002</v>
      </c>
      <c r="H1052" t="s">
        <v>4007</v>
      </c>
      <c r="I1052" t="s">
        <v>4013</v>
      </c>
      <c r="J1052">
        <v>7</v>
      </c>
      <c r="K1052">
        <v>6851</v>
      </c>
      <c r="L1052">
        <v>0</v>
      </c>
      <c r="M1052">
        <v>47957</v>
      </c>
      <c r="N1052">
        <v>0</v>
      </c>
      <c r="O1052">
        <v>47957</v>
      </c>
    </row>
    <row r="1053" spans="1:15" x14ac:dyDescent="0.3">
      <c r="A1053" t="s">
        <v>1065</v>
      </c>
      <c r="B1053" s="1">
        <v>45040</v>
      </c>
      <c r="C1053" t="s">
        <v>3060</v>
      </c>
      <c r="D1053" t="s">
        <v>3999</v>
      </c>
      <c r="E1053">
        <v>61</v>
      </c>
      <c r="F1053" t="str">
        <f t="shared" si="16"/>
        <v>46+</v>
      </c>
      <c r="G1053" t="s">
        <v>4002</v>
      </c>
      <c r="H1053" t="s">
        <v>4009</v>
      </c>
      <c r="I1053" t="s">
        <v>4017</v>
      </c>
      <c r="J1053">
        <v>2</v>
      </c>
      <c r="K1053">
        <v>2176</v>
      </c>
      <c r="L1053">
        <v>10</v>
      </c>
      <c r="M1053">
        <v>4352</v>
      </c>
      <c r="N1053">
        <v>435.2</v>
      </c>
      <c r="O1053">
        <v>3916.8</v>
      </c>
    </row>
    <row r="1054" spans="1:15" x14ac:dyDescent="0.3">
      <c r="A1054" t="s">
        <v>1066</v>
      </c>
      <c r="B1054" s="1">
        <v>44647</v>
      </c>
      <c r="C1054" t="s">
        <v>3061</v>
      </c>
      <c r="D1054" t="s">
        <v>4000</v>
      </c>
      <c r="E1054">
        <v>61</v>
      </c>
      <c r="F1054" t="str">
        <f t="shared" si="16"/>
        <v>46+</v>
      </c>
      <c r="G1054" t="s">
        <v>4006</v>
      </c>
      <c r="H1054" t="s">
        <v>4011</v>
      </c>
      <c r="I1054" t="s">
        <v>4013</v>
      </c>
      <c r="J1054">
        <v>3</v>
      </c>
      <c r="K1054">
        <v>3877</v>
      </c>
      <c r="L1054">
        <v>5</v>
      </c>
      <c r="M1054">
        <v>11631</v>
      </c>
      <c r="N1054">
        <v>581.54999999999995</v>
      </c>
      <c r="O1054">
        <v>11049.45</v>
      </c>
    </row>
    <row r="1055" spans="1:15" x14ac:dyDescent="0.3">
      <c r="A1055" t="s">
        <v>1067</v>
      </c>
      <c r="B1055" s="1">
        <v>45019</v>
      </c>
      <c r="C1055" t="s">
        <v>3062</v>
      </c>
      <c r="D1055" t="s">
        <v>3999</v>
      </c>
      <c r="E1055">
        <v>26</v>
      </c>
      <c r="F1055" t="str">
        <f t="shared" si="16"/>
        <v>26-35</v>
      </c>
      <c r="G1055" t="s">
        <v>4005</v>
      </c>
      <c r="H1055" t="s">
        <v>4008</v>
      </c>
      <c r="I1055" t="s">
        <v>4016</v>
      </c>
      <c r="J1055">
        <v>5</v>
      </c>
      <c r="K1055">
        <v>1919</v>
      </c>
      <c r="L1055">
        <v>0</v>
      </c>
      <c r="M1055">
        <v>9595</v>
      </c>
      <c r="N1055">
        <v>0</v>
      </c>
      <c r="O1055">
        <v>9595</v>
      </c>
    </row>
    <row r="1056" spans="1:15" x14ac:dyDescent="0.3">
      <c r="A1056" t="s">
        <v>1068</v>
      </c>
      <c r="B1056" s="1">
        <v>44884</v>
      </c>
      <c r="C1056" t="s">
        <v>3063</v>
      </c>
      <c r="D1056" t="s">
        <v>3999</v>
      </c>
      <c r="E1056">
        <v>19</v>
      </c>
      <c r="F1056" t="str">
        <f t="shared" si="16"/>
        <v>18-25</v>
      </c>
      <c r="G1056" t="s">
        <v>4006</v>
      </c>
      <c r="H1056" t="s">
        <v>4012</v>
      </c>
      <c r="I1056" t="s">
        <v>4014</v>
      </c>
      <c r="J1056">
        <v>2</v>
      </c>
      <c r="K1056">
        <v>1222</v>
      </c>
      <c r="L1056">
        <v>0</v>
      </c>
      <c r="M1056">
        <v>2444</v>
      </c>
      <c r="N1056">
        <v>0</v>
      </c>
      <c r="O1056">
        <v>2444</v>
      </c>
    </row>
    <row r="1057" spans="1:15" x14ac:dyDescent="0.3">
      <c r="A1057" t="s">
        <v>1069</v>
      </c>
      <c r="B1057" s="1">
        <v>45161</v>
      </c>
      <c r="C1057" t="s">
        <v>3064</v>
      </c>
      <c r="D1057" t="s">
        <v>3999</v>
      </c>
      <c r="E1057">
        <v>61</v>
      </c>
      <c r="F1057" t="str">
        <f t="shared" si="16"/>
        <v>46+</v>
      </c>
      <c r="G1057" t="s">
        <v>4006</v>
      </c>
      <c r="H1057" t="s">
        <v>4008</v>
      </c>
      <c r="I1057" t="s">
        <v>4013</v>
      </c>
      <c r="J1057">
        <v>7</v>
      </c>
      <c r="K1057">
        <v>2296</v>
      </c>
      <c r="L1057">
        <v>5</v>
      </c>
      <c r="M1057">
        <v>16072</v>
      </c>
      <c r="N1057">
        <v>803.6</v>
      </c>
      <c r="O1057">
        <v>15268.4</v>
      </c>
    </row>
    <row r="1058" spans="1:15" x14ac:dyDescent="0.3">
      <c r="A1058" t="s">
        <v>1070</v>
      </c>
      <c r="B1058" s="1">
        <v>44624</v>
      </c>
      <c r="C1058" t="s">
        <v>3065</v>
      </c>
      <c r="D1058" t="s">
        <v>3999</v>
      </c>
      <c r="E1058">
        <v>35</v>
      </c>
      <c r="F1058" t="str">
        <f t="shared" si="16"/>
        <v>26-35</v>
      </c>
      <c r="G1058" t="s">
        <v>4006</v>
      </c>
      <c r="H1058" t="s">
        <v>4007</v>
      </c>
      <c r="I1058" t="s">
        <v>4017</v>
      </c>
      <c r="J1058">
        <v>2</v>
      </c>
      <c r="K1058">
        <v>1702</v>
      </c>
      <c r="L1058">
        <v>15</v>
      </c>
      <c r="M1058">
        <v>3404</v>
      </c>
      <c r="N1058">
        <v>510.6</v>
      </c>
      <c r="O1058">
        <v>2893.4</v>
      </c>
    </row>
    <row r="1059" spans="1:15" x14ac:dyDescent="0.3">
      <c r="A1059" t="s">
        <v>1071</v>
      </c>
      <c r="B1059" s="1">
        <v>45021</v>
      </c>
      <c r="C1059" t="s">
        <v>3066</v>
      </c>
      <c r="D1059" t="s">
        <v>3999</v>
      </c>
      <c r="E1059">
        <v>20</v>
      </c>
      <c r="F1059" t="str">
        <f t="shared" si="16"/>
        <v>18-25</v>
      </c>
      <c r="G1059" t="s">
        <v>4004</v>
      </c>
      <c r="H1059" t="s">
        <v>4007</v>
      </c>
      <c r="I1059" t="s">
        <v>4013</v>
      </c>
      <c r="J1059">
        <v>5</v>
      </c>
      <c r="K1059">
        <v>2919</v>
      </c>
      <c r="L1059">
        <v>10</v>
      </c>
      <c r="M1059">
        <v>14595</v>
      </c>
      <c r="N1059">
        <v>1459.5</v>
      </c>
      <c r="O1059">
        <v>13135.5</v>
      </c>
    </row>
    <row r="1060" spans="1:15" x14ac:dyDescent="0.3">
      <c r="A1060" t="s">
        <v>1072</v>
      </c>
      <c r="B1060" s="1">
        <v>45056</v>
      </c>
      <c r="C1060" t="s">
        <v>3067</v>
      </c>
      <c r="D1060" t="s">
        <v>3999</v>
      </c>
      <c r="E1060">
        <v>50</v>
      </c>
      <c r="F1060" t="str">
        <f t="shared" si="16"/>
        <v>46+</v>
      </c>
      <c r="G1060" t="s">
        <v>4005</v>
      </c>
      <c r="H1060" t="s">
        <v>4011</v>
      </c>
      <c r="I1060" t="s">
        <v>4015</v>
      </c>
      <c r="J1060">
        <v>7</v>
      </c>
      <c r="K1060">
        <v>1271</v>
      </c>
      <c r="L1060">
        <v>5</v>
      </c>
      <c r="M1060">
        <v>8897</v>
      </c>
      <c r="N1060">
        <v>444.85</v>
      </c>
      <c r="O1060">
        <v>8452.15</v>
      </c>
    </row>
    <row r="1061" spans="1:15" x14ac:dyDescent="0.3">
      <c r="A1061" t="s">
        <v>1073</v>
      </c>
      <c r="B1061" s="1">
        <v>44836</v>
      </c>
      <c r="C1061" t="s">
        <v>3068</v>
      </c>
      <c r="D1061" t="s">
        <v>3999</v>
      </c>
      <c r="E1061">
        <v>23</v>
      </c>
      <c r="F1061" t="str">
        <f t="shared" si="16"/>
        <v>18-25</v>
      </c>
      <c r="G1061" t="s">
        <v>4002</v>
      </c>
      <c r="H1061" t="s">
        <v>4007</v>
      </c>
      <c r="I1061" t="s">
        <v>4014</v>
      </c>
      <c r="J1061">
        <v>4</v>
      </c>
      <c r="K1061">
        <v>1723</v>
      </c>
      <c r="L1061">
        <v>10</v>
      </c>
      <c r="M1061">
        <v>6892</v>
      </c>
      <c r="N1061">
        <v>689.2</v>
      </c>
      <c r="O1061">
        <v>6202.8</v>
      </c>
    </row>
    <row r="1062" spans="1:15" x14ac:dyDescent="0.3">
      <c r="A1062" t="s">
        <v>1074</v>
      </c>
      <c r="B1062" s="1">
        <v>44641</v>
      </c>
      <c r="C1062" t="s">
        <v>3069</v>
      </c>
      <c r="D1062" t="s">
        <v>3999</v>
      </c>
      <c r="E1062">
        <v>54</v>
      </c>
      <c r="F1062" t="str">
        <f t="shared" si="16"/>
        <v>46+</v>
      </c>
      <c r="G1062" t="s">
        <v>4001</v>
      </c>
      <c r="H1062" t="s">
        <v>4012</v>
      </c>
      <c r="I1062" t="s">
        <v>4017</v>
      </c>
      <c r="J1062">
        <v>7</v>
      </c>
      <c r="K1062">
        <v>3612</v>
      </c>
      <c r="L1062">
        <v>0</v>
      </c>
      <c r="M1062">
        <v>25284</v>
      </c>
      <c r="N1062">
        <v>0</v>
      </c>
      <c r="O1062">
        <v>25284</v>
      </c>
    </row>
    <row r="1063" spans="1:15" x14ac:dyDescent="0.3">
      <c r="A1063" t="s">
        <v>1075</v>
      </c>
      <c r="B1063" s="1">
        <v>45070</v>
      </c>
      <c r="C1063" t="s">
        <v>3070</v>
      </c>
      <c r="D1063" t="s">
        <v>3999</v>
      </c>
      <c r="E1063">
        <v>53</v>
      </c>
      <c r="F1063" t="str">
        <f t="shared" si="16"/>
        <v>46+</v>
      </c>
      <c r="G1063" t="s">
        <v>4006</v>
      </c>
      <c r="H1063" t="s">
        <v>4012</v>
      </c>
      <c r="I1063" t="s">
        <v>4013</v>
      </c>
      <c r="J1063">
        <v>4</v>
      </c>
      <c r="K1063">
        <v>699</v>
      </c>
      <c r="L1063">
        <v>5</v>
      </c>
      <c r="M1063">
        <v>2796</v>
      </c>
      <c r="N1063">
        <v>139.80000000000001</v>
      </c>
      <c r="O1063">
        <v>2656.2</v>
      </c>
    </row>
    <row r="1064" spans="1:15" x14ac:dyDescent="0.3">
      <c r="A1064" t="s">
        <v>1076</v>
      </c>
      <c r="B1064" s="1">
        <v>44926</v>
      </c>
      <c r="C1064" t="s">
        <v>3071</v>
      </c>
      <c r="D1064" t="s">
        <v>3999</v>
      </c>
      <c r="E1064">
        <v>54</v>
      </c>
      <c r="F1064" t="str">
        <f t="shared" si="16"/>
        <v>46+</v>
      </c>
      <c r="G1064" t="s">
        <v>4002</v>
      </c>
      <c r="H1064" t="s">
        <v>4007</v>
      </c>
      <c r="I1064" t="s">
        <v>4014</v>
      </c>
      <c r="J1064">
        <v>6</v>
      </c>
      <c r="K1064">
        <v>4018</v>
      </c>
      <c r="L1064">
        <v>10</v>
      </c>
      <c r="M1064">
        <v>24108</v>
      </c>
      <c r="N1064">
        <v>2410.8000000000002</v>
      </c>
      <c r="O1064">
        <v>21697.200000000001</v>
      </c>
    </row>
    <row r="1065" spans="1:15" x14ac:dyDescent="0.3">
      <c r="A1065" t="s">
        <v>1077</v>
      </c>
      <c r="B1065" s="1">
        <v>45180</v>
      </c>
      <c r="C1065" t="s">
        <v>3072</v>
      </c>
      <c r="D1065" t="s">
        <v>4000</v>
      </c>
      <c r="E1065">
        <v>53</v>
      </c>
      <c r="F1065" t="str">
        <f t="shared" si="16"/>
        <v>46+</v>
      </c>
      <c r="G1065" t="s">
        <v>4002</v>
      </c>
      <c r="H1065" t="s">
        <v>4007</v>
      </c>
      <c r="I1065" t="s">
        <v>4013</v>
      </c>
      <c r="J1065">
        <v>6</v>
      </c>
      <c r="K1065">
        <v>7798</v>
      </c>
      <c r="L1065">
        <v>15</v>
      </c>
      <c r="M1065">
        <v>46788</v>
      </c>
      <c r="N1065">
        <v>7018.2</v>
      </c>
      <c r="O1065">
        <v>39769.800000000003</v>
      </c>
    </row>
    <row r="1066" spans="1:15" x14ac:dyDescent="0.3">
      <c r="A1066" t="s">
        <v>1078</v>
      </c>
      <c r="B1066" s="1">
        <v>44961</v>
      </c>
      <c r="C1066" t="s">
        <v>3073</v>
      </c>
      <c r="D1066" t="s">
        <v>3999</v>
      </c>
      <c r="E1066">
        <v>19</v>
      </c>
      <c r="F1066" t="str">
        <f t="shared" si="16"/>
        <v>18-25</v>
      </c>
      <c r="G1066" t="s">
        <v>4002</v>
      </c>
      <c r="H1066" t="s">
        <v>4008</v>
      </c>
      <c r="I1066" t="s">
        <v>4017</v>
      </c>
      <c r="J1066">
        <v>5</v>
      </c>
      <c r="K1066">
        <v>4977</v>
      </c>
      <c r="L1066">
        <v>10</v>
      </c>
      <c r="M1066">
        <v>24885</v>
      </c>
      <c r="N1066">
        <v>2488.5</v>
      </c>
      <c r="O1066">
        <v>22396.5</v>
      </c>
    </row>
    <row r="1067" spans="1:15" x14ac:dyDescent="0.3">
      <c r="A1067" t="s">
        <v>1079</v>
      </c>
      <c r="B1067" s="1">
        <v>44957</v>
      </c>
      <c r="C1067" t="s">
        <v>3074</v>
      </c>
      <c r="D1067" t="s">
        <v>4000</v>
      </c>
      <c r="E1067">
        <v>58</v>
      </c>
      <c r="F1067" t="str">
        <f t="shared" si="16"/>
        <v>46+</v>
      </c>
      <c r="G1067" t="s">
        <v>4004</v>
      </c>
      <c r="H1067" t="s">
        <v>4011</v>
      </c>
      <c r="I1067" t="s">
        <v>4017</v>
      </c>
      <c r="J1067">
        <v>1</v>
      </c>
      <c r="K1067">
        <v>6221</v>
      </c>
      <c r="L1067">
        <v>15</v>
      </c>
      <c r="M1067">
        <v>6221</v>
      </c>
      <c r="N1067">
        <v>933.15</v>
      </c>
      <c r="O1067">
        <v>5287.85</v>
      </c>
    </row>
    <row r="1068" spans="1:15" x14ac:dyDescent="0.3">
      <c r="A1068" t="s">
        <v>1080</v>
      </c>
      <c r="B1068" s="1">
        <v>45275</v>
      </c>
      <c r="C1068" t="s">
        <v>3075</v>
      </c>
      <c r="D1068" t="s">
        <v>3999</v>
      </c>
      <c r="E1068">
        <v>19</v>
      </c>
      <c r="F1068" t="str">
        <f t="shared" si="16"/>
        <v>18-25</v>
      </c>
      <c r="G1068" t="s">
        <v>4005</v>
      </c>
      <c r="H1068" t="s">
        <v>4010</v>
      </c>
      <c r="I1068" t="s">
        <v>4013</v>
      </c>
      <c r="J1068">
        <v>7</v>
      </c>
      <c r="K1068">
        <v>4060</v>
      </c>
      <c r="L1068">
        <v>5</v>
      </c>
      <c r="M1068">
        <v>28420</v>
      </c>
      <c r="N1068">
        <v>1421</v>
      </c>
      <c r="O1068">
        <v>26999</v>
      </c>
    </row>
    <row r="1069" spans="1:15" x14ac:dyDescent="0.3">
      <c r="A1069" t="s">
        <v>1081</v>
      </c>
      <c r="B1069" s="1">
        <v>45109</v>
      </c>
      <c r="C1069" t="s">
        <v>3076</v>
      </c>
      <c r="D1069" t="s">
        <v>4000</v>
      </c>
      <c r="E1069">
        <v>61</v>
      </c>
      <c r="F1069" t="str">
        <f t="shared" si="16"/>
        <v>46+</v>
      </c>
      <c r="G1069" t="s">
        <v>4006</v>
      </c>
      <c r="H1069" t="s">
        <v>4008</v>
      </c>
      <c r="I1069" t="s">
        <v>4013</v>
      </c>
      <c r="J1069">
        <v>3</v>
      </c>
      <c r="K1069">
        <v>4090</v>
      </c>
      <c r="L1069">
        <v>10</v>
      </c>
      <c r="M1069">
        <v>12270</v>
      </c>
      <c r="N1069">
        <v>1227</v>
      </c>
      <c r="O1069">
        <v>11043</v>
      </c>
    </row>
    <row r="1070" spans="1:15" x14ac:dyDescent="0.3">
      <c r="A1070" t="s">
        <v>1082</v>
      </c>
      <c r="B1070" s="1">
        <v>45218</v>
      </c>
      <c r="C1070" t="s">
        <v>3077</v>
      </c>
      <c r="D1070" t="s">
        <v>3999</v>
      </c>
      <c r="E1070">
        <v>56</v>
      </c>
      <c r="F1070" t="str">
        <f t="shared" si="16"/>
        <v>46+</v>
      </c>
      <c r="G1070" t="s">
        <v>4001</v>
      </c>
      <c r="H1070" t="s">
        <v>4011</v>
      </c>
      <c r="I1070" t="s">
        <v>4013</v>
      </c>
      <c r="J1070">
        <v>7</v>
      </c>
      <c r="K1070">
        <v>7872</v>
      </c>
      <c r="L1070">
        <v>15</v>
      </c>
      <c r="M1070">
        <v>55104</v>
      </c>
      <c r="N1070">
        <v>8265.6</v>
      </c>
      <c r="O1070">
        <v>46838.400000000001</v>
      </c>
    </row>
    <row r="1071" spans="1:15" x14ac:dyDescent="0.3">
      <c r="A1071" t="s">
        <v>1083</v>
      </c>
      <c r="B1071" s="1">
        <v>44867</v>
      </c>
      <c r="C1071" t="s">
        <v>3078</v>
      </c>
      <c r="D1071" t="s">
        <v>4000</v>
      </c>
      <c r="E1071">
        <v>64</v>
      </c>
      <c r="F1071" t="str">
        <f t="shared" si="16"/>
        <v>46+</v>
      </c>
      <c r="G1071" t="s">
        <v>4002</v>
      </c>
      <c r="H1071" t="s">
        <v>4010</v>
      </c>
      <c r="I1071" t="s">
        <v>4016</v>
      </c>
      <c r="J1071">
        <v>3</v>
      </c>
      <c r="K1071">
        <v>3632</v>
      </c>
      <c r="L1071">
        <v>10</v>
      </c>
      <c r="M1071">
        <v>10896</v>
      </c>
      <c r="N1071">
        <v>1089.5999999999999</v>
      </c>
      <c r="O1071">
        <v>9806.4</v>
      </c>
    </row>
    <row r="1072" spans="1:15" x14ac:dyDescent="0.3">
      <c r="A1072" t="s">
        <v>1084</v>
      </c>
      <c r="B1072" s="1">
        <v>44722</v>
      </c>
      <c r="C1072" t="s">
        <v>3079</v>
      </c>
      <c r="D1072" t="s">
        <v>4000</v>
      </c>
      <c r="E1072">
        <v>62</v>
      </c>
      <c r="F1072" t="str">
        <f t="shared" si="16"/>
        <v>46+</v>
      </c>
      <c r="G1072" t="s">
        <v>4002</v>
      </c>
      <c r="H1072" t="s">
        <v>4010</v>
      </c>
      <c r="I1072" t="s">
        <v>4013</v>
      </c>
      <c r="J1072">
        <v>6</v>
      </c>
      <c r="K1072">
        <v>779</v>
      </c>
      <c r="L1072">
        <v>0</v>
      </c>
      <c r="M1072">
        <v>4674</v>
      </c>
      <c r="N1072">
        <v>0</v>
      </c>
      <c r="O1072">
        <v>4674</v>
      </c>
    </row>
    <row r="1073" spans="1:15" x14ac:dyDescent="0.3">
      <c r="A1073" t="s">
        <v>1085</v>
      </c>
      <c r="B1073" s="1">
        <v>45214</v>
      </c>
      <c r="C1073" t="s">
        <v>3080</v>
      </c>
      <c r="D1073" t="s">
        <v>3999</v>
      </c>
      <c r="E1073">
        <v>43</v>
      </c>
      <c r="F1073" t="str">
        <f t="shared" si="16"/>
        <v>36-45</v>
      </c>
      <c r="G1073" t="s">
        <v>4003</v>
      </c>
      <c r="H1073" t="s">
        <v>4007</v>
      </c>
      <c r="I1073" t="s">
        <v>4016</v>
      </c>
      <c r="J1073">
        <v>3</v>
      </c>
      <c r="K1073">
        <v>5656</v>
      </c>
      <c r="L1073">
        <v>0</v>
      </c>
      <c r="M1073">
        <v>16968</v>
      </c>
      <c r="N1073">
        <v>0</v>
      </c>
      <c r="O1073">
        <v>16968</v>
      </c>
    </row>
    <row r="1074" spans="1:15" x14ac:dyDescent="0.3">
      <c r="A1074" t="s">
        <v>1086</v>
      </c>
      <c r="B1074" s="1">
        <v>45024</v>
      </c>
      <c r="C1074" t="s">
        <v>3081</v>
      </c>
      <c r="D1074" t="s">
        <v>4000</v>
      </c>
      <c r="E1074">
        <v>64</v>
      </c>
      <c r="F1074" t="str">
        <f t="shared" si="16"/>
        <v>46+</v>
      </c>
      <c r="G1074" t="s">
        <v>4001</v>
      </c>
      <c r="H1074" t="s">
        <v>4007</v>
      </c>
      <c r="I1074" t="s">
        <v>4014</v>
      </c>
      <c r="J1074">
        <v>1</v>
      </c>
      <c r="K1074">
        <v>3433</v>
      </c>
      <c r="L1074">
        <v>5</v>
      </c>
      <c r="M1074">
        <v>3433</v>
      </c>
      <c r="N1074">
        <v>171.65</v>
      </c>
      <c r="O1074">
        <v>3261.35</v>
      </c>
    </row>
    <row r="1075" spans="1:15" x14ac:dyDescent="0.3">
      <c r="A1075" t="s">
        <v>1087</v>
      </c>
      <c r="B1075" s="1">
        <v>45085</v>
      </c>
      <c r="C1075" t="s">
        <v>3082</v>
      </c>
      <c r="D1075" t="s">
        <v>3999</v>
      </c>
      <c r="E1075">
        <v>41</v>
      </c>
      <c r="F1075" t="str">
        <f t="shared" si="16"/>
        <v>36-45</v>
      </c>
      <c r="G1075" t="s">
        <v>4004</v>
      </c>
      <c r="H1075" t="s">
        <v>4008</v>
      </c>
      <c r="I1075" t="s">
        <v>4016</v>
      </c>
      <c r="J1075">
        <v>5</v>
      </c>
      <c r="K1075">
        <v>6132</v>
      </c>
      <c r="L1075">
        <v>15</v>
      </c>
      <c r="M1075">
        <v>30660</v>
      </c>
      <c r="N1075">
        <v>4599</v>
      </c>
      <c r="O1075">
        <v>26061</v>
      </c>
    </row>
    <row r="1076" spans="1:15" x14ac:dyDescent="0.3">
      <c r="A1076" t="s">
        <v>1088</v>
      </c>
      <c r="B1076" s="1">
        <v>45265</v>
      </c>
      <c r="C1076" t="s">
        <v>3083</v>
      </c>
      <c r="D1076" t="s">
        <v>3999</v>
      </c>
      <c r="E1076">
        <v>23</v>
      </c>
      <c r="F1076" t="str">
        <f t="shared" si="16"/>
        <v>18-25</v>
      </c>
      <c r="G1076" t="s">
        <v>4006</v>
      </c>
      <c r="H1076" t="s">
        <v>4007</v>
      </c>
      <c r="I1076" t="s">
        <v>4015</v>
      </c>
      <c r="J1076">
        <v>3</v>
      </c>
      <c r="K1076">
        <v>7773</v>
      </c>
      <c r="L1076">
        <v>5</v>
      </c>
      <c r="M1076">
        <v>23319</v>
      </c>
      <c r="N1076">
        <v>1165.95</v>
      </c>
      <c r="O1076">
        <v>22153.05</v>
      </c>
    </row>
    <row r="1077" spans="1:15" x14ac:dyDescent="0.3">
      <c r="A1077" t="s">
        <v>1089</v>
      </c>
      <c r="B1077" s="1">
        <v>44719</v>
      </c>
      <c r="C1077" t="s">
        <v>3084</v>
      </c>
      <c r="D1077" t="s">
        <v>4000</v>
      </c>
      <c r="E1077">
        <v>54</v>
      </c>
      <c r="F1077" t="str">
        <f t="shared" si="16"/>
        <v>46+</v>
      </c>
      <c r="G1077" t="s">
        <v>4006</v>
      </c>
      <c r="H1077" t="s">
        <v>4011</v>
      </c>
      <c r="I1077" t="s">
        <v>4013</v>
      </c>
      <c r="J1077">
        <v>1</v>
      </c>
      <c r="K1077">
        <v>4334</v>
      </c>
      <c r="L1077">
        <v>15</v>
      </c>
      <c r="M1077">
        <v>4334</v>
      </c>
      <c r="N1077">
        <v>650.1</v>
      </c>
      <c r="O1077">
        <v>3683.9</v>
      </c>
    </row>
    <row r="1078" spans="1:15" x14ac:dyDescent="0.3">
      <c r="A1078" t="s">
        <v>1090</v>
      </c>
      <c r="B1078" s="1">
        <v>45237</v>
      </c>
      <c r="C1078" t="s">
        <v>3085</v>
      </c>
      <c r="D1078" t="s">
        <v>3999</v>
      </c>
      <c r="E1078">
        <v>59</v>
      </c>
      <c r="F1078" t="str">
        <f t="shared" si="16"/>
        <v>46+</v>
      </c>
      <c r="G1078" t="s">
        <v>4003</v>
      </c>
      <c r="H1078" t="s">
        <v>4008</v>
      </c>
      <c r="I1078" t="s">
        <v>4013</v>
      </c>
      <c r="J1078">
        <v>2</v>
      </c>
      <c r="K1078">
        <v>3547</v>
      </c>
      <c r="L1078">
        <v>0</v>
      </c>
      <c r="M1078">
        <v>7094</v>
      </c>
      <c r="N1078">
        <v>0</v>
      </c>
      <c r="O1078">
        <v>7094</v>
      </c>
    </row>
    <row r="1079" spans="1:15" x14ac:dyDescent="0.3">
      <c r="A1079" t="s">
        <v>1091</v>
      </c>
      <c r="B1079" s="1">
        <v>45028</v>
      </c>
      <c r="C1079" t="s">
        <v>3086</v>
      </c>
      <c r="D1079" t="s">
        <v>4000</v>
      </c>
      <c r="E1079">
        <v>38</v>
      </c>
      <c r="F1079" t="str">
        <f t="shared" si="16"/>
        <v>36-45</v>
      </c>
      <c r="G1079" t="s">
        <v>4006</v>
      </c>
      <c r="H1079" t="s">
        <v>4010</v>
      </c>
      <c r="I1079" t="s">
        <v>4016</v>
      </c>
      <c r="J1079">
        <v>6</v>
      </c>
      <c r="K1079">
        <v>6294</v>
      </c>
      <c r="L1079">
        <v>0</v>
      </c>
      <c r="M1079">
        <v>37764</v>
      </c>
      <c r="N1079">
        <v>0</v>
      </c>
      <c r="O1079">
        <v>37764</v>
      </c>
    </row>
    <row r="1080" spans="1:15" x14ac:dyDescent="0.3">
      <c r="A1080" t="s">
        <v>1092</v>
      </c>
      <c r="B1080" s="1">
        <v>44578</v>
      </c>
      <c r="C1080" t="s">
        <v>3087</v>
      </c>
      <c r="D1080" t="s">
        <v>4000</v>
      </c>
      <c r="E1080">
        <v>64</v>
      </c>
      <c r="F1080" t="str">
        <f t="shared" si="16"/>
        <v>46+</v>
      </c>
      <c r="G1080" t="s">
        <v>4002</v>
      </c>
      <c r="H1080" t="s">
        <v>4009</v>
      </c>
      <c r="I1080" t="s">
        <v>4013</v>
      </c>
      <c r="J1080">
        <v>7</v>
      </c>
      <c r="K1080">
        <v>6281</v>
      </c>
      <c r="L1080">
        <v>0</v>
      </c>
      <c r="M1080">
        <v>43967</v>
      </c>
      <c r="N1080">
        <v>0</v>
      </c>
      <c r="O1080">
        <v>43967</v>
      </c>
    </row>
    <row r="1081" spans="1:15" x14ac:dyDescent="0.3">
      <c r="A1081" t="s">
        <v>1093</v>
      </c>
      <c r="B1081" s="1">
        <v>44991</v>
      </c>
      <c r="C1081" t="s">
        <v>3088</v>
      </c>
      <c r="D1081" t="s">
        <v>4000</v>
      </c>
      <c r="E1081">
        <v>36</v>
      </c>
      <c r="F1081" t="str">
        <f t="shared" si="16"/>
        <v>36-45</v>
      </c>
      <c r="G1081" t="s">
        <v>4003</v>
      </c>
      <c r="H1081" t="s">
        <v>4009</v>
      </c>
      <c r="I1081" t="s">
        <v>4016</v>
      </c>
      <c r="J1081">
        <v>6</v>
      </c>
      <c r="K1081">
        <v>2797</v>
      </c>
      <c r="L1081">
        <v>10</v>
      </c>
      <c r="M1081">
        <v>16782</v>
      </c>
      <c r="N1081">
        <v>1678.2</v>
      </c>
      <c r="O1081">
        <v>15103.8</v>
      </c>
    </row>
    <row r="1082" spans="1:15" x14ac:dyDescent="0.3">
      <c r="A1082" t="s">
        <v>1094</v>
      </c>
      <c r="B1082" s="1">
        <v>44711</v>
      </c>
      <c r="C1082" t="s">
        <v>3089</v>
      </c>
      <c r="D1082" t="s">
        <v>4000</v>
      </c>
      <c r="E1082">
        <v>52</v>
      </c>
      <c r="F1082" t="str">
        <f t="shared" si="16"/>
        <v>46+</v>
      </c>
      <c r="G1082" t="s">
        <v>4002</v>
      </c>
      <c r="H1082" t="s">
        <v>4007</v>
      </c>
      <c r="I1082" t="s">
        <v>4014</v>
      </c>
      <c r="J1082">
        <v>6</v>
      </c>
      <c r="K1082">
        <v>5367</v>
      </c>
      <c r="L1082">
        <v>15</v>
      </c>
      <c r="M1082">
        <v>32202</v>
      </c>
      <c r="N1082">
        <v>4830.3</v>
      </c>
      <c r="O1082">
        <v>27371.7</v>
      </c>
    </row>
    <row r="1083" spans="1:15" x14ac:dyDescent="0.3">
      <c r="A1083" t="s">
        <v>1095</v>
      </c>
      <c r="B1083" s="1">
        <v>44907</v>
      </c>
      <c r="C1083" t="s">
        <v>3090</v>
      </c>
      <c r="D1083" t="s">
        <v>4000</v>
      </c>
      <c r="E1083">
        <v>53</v>
      </c>
      <c r="F1083" t="str">
        <f t="shared" si="16"/>
        <v>46+</v>
      </c>
      <c r="G1083" t="s">
        <v>4004</v>
      </c>
      <c r="H1083" t="s">
        <v>4008</v>
      </c>
      <c r="I1083" t="s">
        <v>4013</v>
      </c>
      <c r="J1083">
        <v>4</v>
      </c>
      <c r="K1083">
        <v>7364</v>
      </c>
      <c r="L1083">
        <v>5</v>
      </c>
      <c r="M1083">
        <v>29456</v>
      </c>
      <c r="N1083">
        <v>1472.8</v>
      </c>
      <c r="O1083">
        <v>27983.200000000001</v>
      </c>
    </row>
    <row r="1084" spans="1:15" x14ac:dyDescent="0.3">
      <c r="A1084" t="s">
        <v>1096</v>
      </c>
      <c r="B1084" s="1">
        <v>44724</v>
      </c>
      <c r="C1084" t="s">
        <v>3091</v>
      </c>
      <c r="D1084" t="s">
        <v>4000</v>
      </c>
      <c r="E1084">
        <v>33</v>
      </c>
      <c r="F1084" t="str">
        <f t="shared" si="16"/>
        <v>26-35</v>
      </c>
      <c r="G1084" t="s">
        <v>4005</v>
      </c>
      <c r="H1084" t="s">
        <v>4012</v>
      </c>
      <c r="I1084" t="s">
        <v>4014</v>
      </c>
      <c r="J1084">
        <v>4</v>
      </c>
      <c r="K1084">
        <v>2306</v>
      </c>
      <c r="L1084">
        <v>5</v>
      </c>
      <c r="M1084">
        <v>9224</v>
      </c>
      <c r="N1084">
        <v>461.2</v>
      </c>
      <c r="O1084">
        <v>8762.7999999999993</v>
      </c>
    </row>
    <row r="1085" spans="1:15" x14ac:dyDescent="0.3">
      <c r="A1085" t="s">
        <v>1097</v>
      </c>
      <c r="B1085" s="1">
        <v>45126</v>
      </c>
      <c r="C1085" t="s">
        <v>3092</v>
      </c>
      <c r="D1085" t="s">
        <v>3999</v>
      </c>
      <c r="E1085">
        <v>44</v>
      </c>
      <c r="F1085" t="str">
        <f t="shared" si="16"/>
        <v>36-45</v>
      </c>
      <c r="G1085" t="s">
        <v>4005</v>
      </c>
      <c r="H1085" t="s">
        <v>4012</v>
      </c>
      <c r="I1085" t="s">
        <v>4015</v>
      </c>
      <c r="J1085">
        <v>3</v>
      </c>
      <c r="K1085">
        <v>4021</v>
      </c>
      <c r="L1085">
        <v>15</v>
      </c>
      <c r="M1085">
        <v>12063</v>
      </c>
      <c r="N1085">
        <v>1809.45</v>
      </c>
      <c r="O1085">
        <v>10253.549999999999</v>
      </c>
    </row>
    <row r="1086" spans="1:15" x14ac:dyDescent="0.3">
      <c r="A1086" t="s">
        <v>1098</v>
      </c>
      <c r="B1086" s="1">
        <v>45276</v>
      </c>
      <c r="C1086" t="s">
        <v>3093</v>
      </c>
      <c r="D1086" t="s">
        <v>3999</v>
      </c>
      <c r="E1086">
        <v>48</v>
      </c>
      <c r="F1086" t="str">
        <f t="shared" si="16"/>
        <v>46+</v>
      </c>
      <c r="G1086" t="s">
        <v>4001</v>
      </c>
      <c r="H1086" t="s">
        <v>4007</v>
      </c>
      <c r="I1086" t="s">
        <v>4013</v>
      </c>
      <c r="J1086">
        <v>3</v>
      </c>
      <c r="K1086">
        <v>2362</v>
      </c>
      <c r="L1086">
        <v>0</v>
      </c>
      <c r="M1086">
        <v>7086</v>
      </c>
      <c r="N1086">
        <v>0</v>
      </c>
      <c r="O1086">
        <v>7086</v>
      </c>
    </row>
    <row r="1087" spans="1:15" x14ac:dyDescent="0.3">
      <c r="A1087" t="s">
        <v>1099</v>
      </c>
      <c r="B1087" s="1">
        <v>44653</v>
      </c>
      <c r="C1087" t="s">
        <v>3094</v>
      </c>
      <c r="D1087" t="s">
        <v>4000</v>
      </c>
      <c r="E1087">
        <v>39</v>
      </c>
      <c r="F1087" t="str">
        <f t="shared" si="16"/>
        <v>36-45</v>
      </c>
      <c r="G1087" t="s">
        <v>4005</v>
      </c>
      <c r="H1087" t="s">
        <v>4007</v>
      </c>
      <c r="I1087" t="s">
        <v>4015</v>
      </c>
      <c r="J1087">
        <v>7</v>
      </c>
      <c r="K1087">
        <v>1497</v>
      </c>
      <c r="L1087">
        <v>0</v>
      </c>
      <c r="M1087">
        <v>10479</v>
      </c>
      <c r="N1087">
        <v>0</v>
      </c>
      <c r="O1087">
        <v>10479</v>
      </c>
    </row>
    <row r="1088" spans="1:15" x14ac:dyDescent="0.3">
      <c r="A1088" t="s">
        <v>1100</v>
      </c>
      <c r="B1088" s="1">
        <v>44683</v>
      </c>
      <c r="C1088" t="s">
        <v>3095</v>
      </c>
      <c r="D1088" t="s">
        <v>3999</v>
      </c>
      <c r="E1088">
        <v>32</v>
      </c>
      <c r="F1088" t="str">
        <f t="shared" si="16"/>
        <v>26-35</v>
      </c>
      <c r="G1088" t="s">
        <v>4004</v>
      </c>
      <c r="H1088" t="s">
        <v>4008</v>
      </c>
      <c r="I1088" t="s">
        <v>4013</v>
      </c>
      <c r="J1088">
        <v>4</v>
      </c>
      <c r="K1088">
        <v>7381</v>
      </c>
      <c r="L1088">
        <v>5</v>
      </c>
      <c r="M1088">
        <v>29524</v>
      </c>
      <c r="N1088">
        <v>1476.2</v>
      </c>
      <c r="O1088">
        <v>28047.8</v>
      </c>
    </row>
    <row r="1089" spans="1:15" x14ac:dyDescent="0.3">
      <c r="A1089" t="s">
        <v>1101</v>
      </c>
      <c r="B1089" s="1">
        <v>45255</v>
      </c>
      <c r="C1089" t="s">
        <v>3096</v>
      </c>
      <c r="D1089" t="s">
        <v>4000</v>
      </c>
      <c r="E1089">
        <v>52</v>
      </c>
      <c r="F1089" t="str">
        <f t="shared" si="16"/>
        <v>46+</v>
      </c>
      <c r="G1089" t="s">
        <v>4006</v>
      </c>
      <c r="H1089" t="s">
        <v>4010</v>
      </c>
      <c r="I1089" t="s">
        <v>4014</v>
      </c>
      <c r="J1089">
        <v>3</v>
      </c>
      <c r="K1089">
        <v>3564</v>
      </c>
      <c r="L1089">
        <v>10</v>
      </c>
      <c r="M1089">
        <v>10692</v>
      </c>
      <c r="N1089">
        <v>1069.2</v>
      </c>
      <c r="O1089">
        <v>9622.7999999999993</v>
      </c>
    </row>
    <row r="1090" spans="1:15" x14ac:dyDescent="0.3">
      <c r="A1090" t="s">
        <v>1102</v>
      </c>
      <c r="B1090" s="1">
        <v>44584</v>
      </c>
      <c r="C1090" t="s">
        <v>3097</v>
      </c>
      <c r="D1090" t="s">
        <v>3999</v>
      </c>
      <c r="E1090">
        <v>19</v>
      </c>
      <c r="F1090" t="str">
        <f t="shared" ref="F1090:F1153" si="17">IF(E1090&lt;=25,"18-25",IF(E1090&lt;=35,"26-35",IF(E1090&lt;=45,"36-45","46+")))</f>
        <v>18-25</v>
      </c>
      <c r="G1090" t="s">
        <v>4002</v>
      </c>
      <c r="H1090" t="s">
        <v>4012</v>
      </c>
      <c r="I1090" t="s">
        <v>4017</v>
      </c>
      <c r="J1090">
        <v>5</v>
      </c>
      <c r="K1090">
        <v>6030</v>
      </c>
      <c r="L1090">
        <v>10</v>
      </c>
      <c r="M1090">
        <v>30150</v>
      </c>
      <c r="N1090">
        <v>3015</v>
      </c>
      <c r="O1090">
        <v>27135</v>
      </c>
    </row>
    <row r="1091" spans="1:15" x14ac:dyDescent="0.3">
      <c r="A1091" t="s">
        <v>1103</v>
      </c>
      <c r="B1091" s="1">
        <v>45048</v>
      </c>
      <c r="C1091" t="s">
        <v>3098</v>
      </c>
      <c r="D1091" t="s">
        <v>4000</v>
      </c>
      <c r="E1091">
        <v>21</v>
      </c>
      <c r="F1091" t="str">
        <f t="shared" si="17"/>
        <v>18-25</v>
      </c>
      <c r="G1091" t="s">
        <v>4002</v>
      </c>
      <c r="H1091" t="s">
        <v>4010</v>
      </c>
      <c r="I1091" t="s">
        <v>4017</v>
      </c>
      <c r="J1091">
        <v>7</v>
      </c>
      <c r="K1091">
        <v>5346</v>
      </c>
      <c r="L1091">
        <v>10</v>
      </c>
      <c r="M1091">
        <v>37422</v>
      </c>
      <c r="N1091">
        <v>3742.2</v>
      </c>
      <c r="O1091">
        <v>33679.800000000003</v>
      </c>
    </row>
    <row r="1092" spans="1:15" x14ac:dyDescent="0.3">
      <c r="A1092" t="s">
        <v>1104</v>
      </c>
      <c r="B1092" s="1">
        <v>44865</v>
      </c>
      <c r="C1092" t="s">
        <v>3099</v>
      </c>
      <c r="D1092" t="s">
        <v>4000</v>
      </c>
      <c r="E1092">
        <v>38</v>
      </c>
      <c r="F1092" t="str">
        <f t="shared" si="17"/>
        <v>36-45</v>
      </c>
      <c r="G1092" t="s">
        <v>4005</v>
      </c>
      <c r="H1092" t="s">
        <v>4012</v>
      </c>
      <c r="I1092" t="s">
        <v>4013</v>
      </c>
      <c r="J1092">
        <v>4</v>
      </c>
      <c r="K1092">
        <v>1065</v>
      </c>
      <c r="L1092">
        <v>10</v>
      </c>
      <c r="M1092">
        <v>4260</v>
      </c>
      <c r="N1092">
        <v>426</v>
      </c>
      <c r="O1092">
        <v>3834</v>
      </c>
    </row>
    <row r="1093" spans="1:15" x14ac:dyDescent="0.3">
      <c r="A1093" t="s">
        <v>1105</v>
      </c>
      <c r="B1093" s="1">
        <v>45070</v>
      </c>
      <c r="C1093" t="s">
        <v>3100</v>
      </c>
      <c r="D1093" t="s">
        <v>3999</v>
      </c>
      <c r="E1093">
        <v>58</v>
      </c>
      <c r="F1093" t="str">
        <f t="shared" si="17"/>
        <v>46+</v>
      </c>
      <c r="G1093" t="s">
        <v>4006</v>
      </c>
      <c r="H1093" t="s">
        <v>4009</v>
      </c>
      <c r="I1093" t="s">
        <v>4015</v>
      </c>
      <c r="J1093">
        <v>5</v>
      </c>
      <c r="K1093">
        <v>2344</v>
      </c>
      <c r="L1093">
        <v>5</v>
      </c>
      <c r="M1093">
        <v>11720</v>
      </c>
      <c r="N1093">
        <v>586</v>
      </c>
      <c r="O1093">
        <v>11134</v>
      </c>
    </row>
    <row r="1094" spans="1:15" x14ac:dyDescent="0.3">
      <c r="A1094" t="s">
        <v>1106</v>
      </c>
      <c r="B1094" s="1">
        <v>44653</v>
      </c>
      <c r="C1094" t="s">
        <v>3101</v>
      </c>
      <c r="D1094" t="s">
        <v>4000</v>
      </c>
      <c r="E1094">
        <v>18</v>
      </c>
      <c r="F1094" t="str">
        <f t="shared" si="17"/>
        <v>18-25</v>
      </c>
      <c r="G1094" t="s">
        <v>4005</v>
      </c>
      <c r="H1094" t="s">
        <v>4007</v>
      </c>
      <c r="I1094" t="s">
        <v>4015</v>
      </c>
      <c r="J1094">
        <v>7</v>
      </c>
      <c r="K1094">
        <v>2722</v>
      </c>
      <c r="L1094">
        <v>5</v>
      </c>
      <c r="M1094">
        <v>19054</v>
      </c>
      <c r="N1094">
        <v>952.7</v>
      </c>
      <c r="O1094">
        <v>18101.3</v>
      </c>
    </row>
    <row r="1095" spans="1:15" x14ac:dyDescent="0.3">
      <c r="A1095" t="s">
        <v>1107</v>
      </c>
      <c r="B1095" s="1">
        <v>44565</v>
      </c>
      <c r="C1095" t="s">
        <v>3102</v>
      </c>
      <c r="D1095" t="s">
        <v>4000</v>
      </c>
      <c r="E1095">
        <v>30</v>
      </c>
      <c r="F1095" t="str">
        <f t="shared" si="17"/>
        <v>26-35</v>
      </c>
      <c r="G1095" t="s">
        <v>4002</v>
      </c>
      <c r="H1095" t="s">
        <v>4007</v>
      </c>
      <c r="I1095" t="s">
        <v>4014</v>
      </c>
      <c r="J1095">
        <v>2</v>
      </c>
      <c r="K1095">
        <v>3745</v>
      </c>
      <c r="L1095">
        <v>0</v>
      </c>
      <c r="M1095">
        <v>7490</v>
      </c>
      <c r="N1095">
        <v>0</v>
      </c>
      <c r="O1095">
        <v>7490</v>
      </c>
    </row>
    <row r="1096" spans="1:15" x14ac:dyDescent="0.3">
      <c r="A1096" t="s">
        <v>1108</v>
      </c>
      <c r="B1096" s="1">
        <v>44767</v>
      </c>
      <c r="C1096" t="s">
        <v>3103</v>
      </c>
      <c r="D1096" t="s">
        <v>4000</v>
      </c>
      <c r="E1096">
        <v>64</v>
      </c>
      <c r="F1096" t="str">
        <f t="shared" si="17"/>
        <v>46+</v>
      </c>
      <c r="G1096" t="s">
        <v>4002</v>
      </c>
      <c r="H1096" t="s">
        <v>4012</v>
      </c>
      <c r="I1096" t="s">
        <v>4014</v>
      </c>
      <c r="J1096">
        <v>1</v>
      </c>
      <c r="K1096">
        <v>3529</v>
      </c>
      <c r="L1096">
        <v>10</v>
      </c>
      <c r="M1096">
        <v>3529</v>
      </c>
      <c r="N1096">
        <v>352.9</v>
      </c>
      <c r="O1096">
        <v>3176.1</v>
      </c>
    </row>
    <row r="1097" spans="1:15" x14ac:dyDescent="0.3">
      <c r="A1097" t="s">
        <v>1109</v>
      </c>
      <c r="B1097" s="1">
        <v>45147</v>
      </c>
      <c r="C1097" t="s">
        <v>3104</v>
      </c>
      <c r="D1097" t="s">
        <v>3999</v>
      </c>
      <c r="E1097">
        <v>38</v>
      </c>
      <c r="F1097" t="str">
        <f t="shared" si="17"/>
        <v>36-45</v>
      </c>
      <c r="G1097" t="s">
        <v>4002</v>
      </c>
      <c r="H1097" t="s">
        <v>4008</v>
      </c>
      <c r="I1097" t="s">
        <v>4015</v>
      </c>
      <c r="J1097">
        <v>4</v>
      </c>
      <c r="K1097">
        <v>3199</v>
      </c>
      <c r="L1097">
        <v>5</v>
      </c>
      <c r="M1097">
        <v>12796</v>
      </c>
      <c r="N1097">
        <v>639.79999999999995</v>
      </c>
      <c r="O1097">
        <v>12156.2</v>
      </c>
    </row>
    <row r="1098" spans="1:15" x14ac:dyDescent="0.3">
      <c r="A1098" t="s">
        <v>1110</v>
      </c>
      <c r="B1098" s="1">
        <v>45088</v>
      </c>
      <c r="C1098" t="s">
        <v>3105</v>
      </c>
      <c r="D1098" t="s">
        <v>4000</v>
      </c>
      <c r="E1098">
        <v>30</v>
      </c>
      <c r="F1098" t="str">
        <f t="shared" si="17"/>
        <v>26-35</v>
      </c>
      <c r="G1098" t="s">
        <v>4002</v>
      </c>
      <c r="H1098" t="s">
        <v>4007</v>
      </c>
      <c r="I1098" t="s">
        <v>4013</v>
      </c>
      <c r="J1098">
        <v>6</v>
      </c>
      <c r="K1098">
        <v>7079</v>
      </c>
      <c r="L1098">
        <v>0</v>
      </c>
      <c r="M1098">
        <v>42474</v>
      </c>
      <c r="N1098">
        <v>0</v>
      </c>
      <c r="O1098">
        <v>42474</v>
      </c>
    </row>
    <row r="1099" spans="1:15" x14ac:dyDescent="0.3">
      <c r="A1099" t="s">
        <v>1111</v>
      </c>
      <c r="B1099" s="1">
        <v>45151</v>
      </c>
      <c r="C1099" t="s">
        <v>3106</v>
      </c>
      <c r="D1099" t="s">
        <v>3999</v>
      </c>
      <c r="E1099">
        <v>57</v>
      </c>
      <c r="F1099" t="str">
        <f t="shared" si="17"/>
        <v>46+</v>
      </c>
      <c r="G1099" t="s">
        <v>4003</v>
      </c>
      <c r="H1099" t="s">
        <v>4012</v>
      </c>
      <c r="I1099" t="s">
        <v>4013</v>
      </c>
      <c r="J1099">
        <v>5</v>
      </c>
      <c r="K1099">
        <v>5838</v>
      </c>
      <c r="L1099">
        <v>10</v>
      </c>
      <c r="M1099">
        <v>29190</v>
      </c>
      <c r="N1099">
        <v>2919</v>
      </c>
      <c r="O1099">
        <v>26271</v>
      </c>
    </row>
    <row r="1100" spans="1:15" x14ac:dyDescent="0.3">
      <c r="A1100" t="s">
        <v>1112</v>
      </c>
      <c r="B1100" s="1">
        <v>45018</v>
      </c>
      <c r="C1100" t="s">
        <v>3107</v>
      </c>
      <c r="D1100" t="s">
        <v>4000</v>
      </c>
      <c r="E1100">
        <v>35</v>
      </c>
      <c r="F1100" t="str">
        <f t="shared" si="17"/>
        <v>26-35</v>
      </c>
      <c r="G1100" t="s">
        <v>4003</v>
      </c>
      <c r="H1100" t="s">
        <v>4010</v>
      </c>
      <c r="I1100" t="s">
        <v>4015</v>
      </c>
      <c r="J1100">
        <v>2</v>
      </c>
      <c r="K1100">
        <v>2212</v>
      </c>
      <c r="L1100">
        <v>0</v>
      </c>
      <c r="M1100">
        <v>4424</v>
      </c>
      <c r="N1100">
        <v>0</v>
      </c>
      <c r="O1100">
        <v>4424</v>
      </c>
    </row>
    <row r="1101" spans="1:15" x14ac:dyDescent="0.3">
      <c r="A1101" t="s">
        <v>1113</v>
      </c>
      <c r="B1101" s="1">
        <v>45048</v>
      </c>
      <c r="C1101" t="s">
        <v>3108</v>
      </c>
      <c r="D1101" t="s">
        <v>3999</v>
      </c>
      <c r="E1101">
        <v>64</v>
      </c>
      <c r="F1101" t="str">
        <f t="shared" si="17"/>
        <v>46+</v>
      </c>
      <c r="G1101" t="s">
        <v>4004</v>
      </c>
      <c r="H1101" t="s">
        <v>4008</v>
      </c>
      <c r="I1101" t="s">
        <v>4013</v>
      </c>
      <c r="J1101">
        <v>5</v>
      </c>
      <c r="K1101">
        <v>5499</v>
      </c>
      <c r="L1101">
        <v>5</v>
      </c>
      <c r="M1101">
        <v>27495</v>
      </c>
      <c r="N1101">
        <v>1374.75</v>
      </c>
      <c r="O1101">
        <v>26120.25</v>
      </c>
    </row>
    <row r="1102" spans="1:15" x14ac:dyDescent="0.3">
      <c r="A1102" t="s">
        <v>1114</v>
      </c>
      <c r="B1102" s="1">
        <v>45030</v>
      </c>
      <c r="C1102" t="s">
        <v>3109</v>
      </c>
      <c r="D1102" t="s">
        <v>3999</v>
      </c>
      <c r="E1102">
        <v>58</v>
      </c>
      <c r="F1102" t="str">
        <f t="shared" si="17"/>
        <v>46+</v>
      </c>
      <c r="G1102" t="s">
        <v>4004</v>
      </c>
      <c r="H1102" t="s">
        <v>4007</v>
      </c>
      <c r="I1102" t="s">
        <v>4016</v>
      </c>
      <c r="J1102">
        <v>2</v>
      </c>
      <c r="K1102">
        <v>1010</v>
      </c>
      <c r="L1102">
        <v>0</v>
      </c>
      <c r="M1102">
        <v>2020</v>
      </c>
      <c r="N1102">
        <v>0</v>
      </c>
      <c r="O1102">
        <v>2020</v>
      </c>
    </row>
    <row r="1103" spans="1:15" x14ac:dyDescent="0.3">
      <c r="A1103" t="s">
        <v>1115</v>
      </c>
      <c r="B1103" s="1">
        <v>44720</v>
      </c>
      <c r="C1103" t="s">
        <v>3110</v>
      </c>
      <c r="D1103" t="s">
        <v>4000</v>
      </c>
      <c r="E1103">
        <v>43</v>
      </c>
      <c r="F1103" t="str">
        <f t="shared" si="17"/>
        <v>36-45</v>
      </c>
      <c r="G1103" t="s">
        <v>4001</v>
      </c>
      <c r="H1103" t="s">
        <v>4009</v>
      </c>
      <c r="I1103" t="s">
        <v>4013</v>
      </c>
      <c r="J1103">
        <v>1</v>
      </c>
      <c r="K1103">
        <v>5836</v>
      </c>
      <c r="L1103">
        <v>10</v>
      </c>
      <c r="M1103">
        <v>5836</v>
      </c>
      <c r="N1103">
        <v>583.6</v>
      </c>
      <c r="O1103">
        <v>5252.4</v>
      </c>
    </row>
    <row r="1104" spans="1:15" x14ac:dyDescent="0.3">
      <c r="A1104" t="s">
        <v>1116</v>
      </c>
      <c r="B1104" s="1">
        <v>45177</v>
      </c>
      <c r="C1104" t="s">
        <v>3111</v>
      </c>
      <c r="D1104" t="s">
        <v>4000</v>
      </c>
      <c r="E1104">
        <v>59</v>
      </c>
      <c r="F1104" t="str">
        <f t="shared" si="17"/>
        <v>46+</v>
      </c>
      <c r="G1104" t="s">
        <v>4004</v>
      </c>
      <c r="H1104" t="s">
        <v>4007</v>
      </c>
      <c r="I1104" t="s">
        <v>4016</v>
      </c>
      <c r="J1104">
        <v>5</v>
      </c>
      <c r="K1104">
        <v>4253</v>
      </c>
      <c r="L1104">
        <v>0</v>
      </c>
      <c r="M1104">
        <v>21265</v>
      </c>
      <c r="N1104">
        <v>0</v>
      </c>
      <c r="O1104">
        <v>21265</v>
      </c>
    </row>
    <row r="1105" spans="1:15" x14ac:dyDescent="0.3">
      <c r="A1105" t="s">
        <v>1117</v>
      </c>
      <c r="B1105" s="1">
        <v>44838</v>
      </c>
      <c r="C1105" t="s">
        <v>3112</v>
      </c>
      <c r="D1105" t="s">
        <v>4000</v>
      </c>
      <c r="E1105">
        <v>25</v>
      </c>
      <c r="F1105" t="str">
        <f t="shared" si="17"/>
        <v>18-25</v>
      </c>
      <c r="G1105" t="s">
        <v>4002</v>
      </c>
      <c r="H1105" t="s">
        <v>4009</v>
      </c>
      <c r="I1105" t="s">
        <v>4016</v>
      </c>
      <c r="J1105">
        <v>1</v>
      </c>
      <c r="K1105">
        <v>323</v>
      </c>
      <c r="L1105">
        <v>15</v>
      </c>
      <c r="M1105">
        <v>323</v>
      </c>
      <c r="N1105">
        <v>48.45</v>
      </c>
      <c r="O1105">
        <v>274.55</v>
      </c>
    </row>
    <row r="1106" spans="1:15" x14ac:dyDescent="0.3">
      <c r="A1106" t="s">
        <v>1118</v>
      </c>
      <c r="B1106" s="1">
        <v>44794</v>
      </c>
      <c r="C1106" t="s">
        <v>3113</v>
      </c>
      <c r="D1106" t="s">
        <v>4000</v>
      </c>
      <c r="E1106">
        <v>24</v>
      </c>
      <c r="F1106" t="str">
        <f t="shared" si="17"/>
        <v>18-25</v>
      </c>
      <c r="G1106" t="s">
        <v>4006</v>
      </c>
      <c r="H1106" t="s">
        <v>4011</v>
      </c>
      <c r="I1106" t="s">
        <v>4015</v>
      </c>
      <c r="J1106">
        <v>2</v>
      </c>
      <c r="K1106">
        <v>3958</v>
      </c>
      <c r="L1106">
        <v>10</v>
      </c>
      <c r="M1106">
        <v>7916</v>
      </c>
      <c r="N1106">
        <v>791.6</v>
      </c>
      <c r="O1106">
        <v>7124.4</v>
      </c>
    </row>
    <row r="1107" spans="1:15" x14ac:dyDescent="0.3">
      <c r="A1107" t="s">
        <v>1119</v>
      </c>
      <c r="B1107" s="1">
        <v>44898</v>
      </c>
      <c r="C1107" t="s">
        <v>3114</v>
      </c>
      <c r="D1107" t="s">
        <v>3999</v>
      </c>
      <c r="E1107">
        <v>36</v>
      </c>
      <c r="F1107" t="str">
        <f t="shared" si="17"/>
        <v>36-45</v>
      </c>
      <c r="G1107" t="s">
        <v>4006</v>
      </c>
      <c r="H1107" t="s">
        <v>4012</v>
      </c>
      <c r="I1107" t="s">
        <v>4015</v>
      </c>
      <c r="J1107">
        <v>5</v>
      </c>
      <c r="K1107">
        <v>3340</v>
      </c>
      <c r="L1107">
        <v>0</v>
      </c>
      <c r="M1107">
        <v>16700</v>
      </c>
      <c r="N1107">
        <v>0</v>
      </c>
      <c r="O1107">
        <v>16700</v>
      </c>
    </row>
    <row r="1108" spans="1:15" x14ac:dyDescent="0.3">
      <c r="A1108" t="s">
        <v>1120</v>
      </c>
      <c r="B1108" s="1">
        <v>44907</v>
      </c>
      <c r="C1108" t="s">
        <v>3115</v>
      </c>
      <c r="D1108" t="s">
        <v>3999</v>
      </c>
      <c r="E1108">
        <v>30</v>
      </c>
      <c r="F1108" t="str">
        <f t="shared" si="17"/>
        <v>26-35</v>
      </c>
      <c r="G1108" t="s">
        <v>4006</v>
      </c>
      <c r="H1108" t="s">
        <v>4008</v>
      </c>
      <c r="I1108" t="s">
        <v>4017</v>
      </c>
      <c r="J1108">
        <v>7</v>
      </c>
      <c r="K1108">
        <v>4518</v>
      </c>
      <c r="L1108">
        <v>10</v>
      </c>
      <c r="M1108">
        <v>31626</v>
      </c>
      <c r="N1108">
        <v>3162.6</v>
      </c>
      <c r="O1108">
        <v>28463.4</v>
      </c>
    </row>
    <row r="1109" spans="1:15" x14ac:dyDescent="0.3">
      <c r="A1109" t="s">
        <v>1121</v>
      </c>
      <c r="B1109" s="1">
        <v>44757</v>
      </c>
      <c r="C1109" t="s">
        <v>3116</v>
      </c>
      <c r="D1109" t="s">
        <v>4000</v>
      </c>
      <c r="E1109">
        <v>55</v>
      </c>
      <c r="F1109" t="str">
        <f t="shared" si="17"/>
        <v>46+</v>
      </c>
      <c r="G1109" t="s">
        <v>4006</v>
      </c>
      <c r="H1109" t="s">
        <v>4008</v>
      </c>
      <c r="I1109" t="s">
        <v>4013</v>
      </c>
      <c r="J1109">
        <v>5</v>
      </c>
      <c r="K1109">
        <v>6801</v>
      </c>
      <c r="L1109">
        <v>0</v>
      </c>
      <c r="M1109">
        <v>34005</v>
      </c>
      <c r="N1109">
        <v>0</v>
      </c>
      <c r="O1109">
        <v>34005</v>
      </c>
    </row>
    <row r="1110" spans="1:15" x14ac:dyDescent="0.3">
      <c r="A1110" t="s">
        <v>1122</v>
      </c>
      <c r="B1110" s="1">
        <v>45031</v>
      </c>
      <c r="C1110" t="s">
        <v>3117</v>
      </c>
      <c r="D1110" t="s">
        <v>3999</v>
      </c>
      <c r="E1110">
        <v>61</v>
      </c>
      <c r="F1110" t="str">
        <f t="shared" si="17"/>
        <v>46+</v>
      </c>
      <c r="G1110" t="s">
        <v>4005</v>
      </c>
      <c r="H1110" t="s">
        <v>4012</v>
      </c>
      <c r="I1110" t="s">
        <v>4015</v>
      </c>
      <c r="J1110">
        <v>5</v>
      </c>
      <c r="K1110">
        <v>1076</v>
      </c>
      <c r="L1110">
        <v>0</v>
      </c>
      <c r="M1110">
        <v>5380</v>
      </c>
      <c r="N1110">
        <v>0</v>
      </c>
      <c r="O1110">
        <v>5380</v>
      </c>
    </row>
    <row r="1111" spans="1:15" x14ac:dyDescent="0.3">
      <c r="A1111" t="s">
        <v>1123</v>
      </c>
      <c r="B1111" s="1">
        <v>44695</v>
      </c>
      <c r="C1111" t="s">
        <v>3118</v>
      </c>
      <c r="D1111" t="s">
        <v>3999</v>
      </c>
      <c r="E1111">
        <v>49</v>
      </c>
      <c r="F1111" t="str">
        <f t="shared" si="17"/>
        <v>46+</v>
      </c>
      <c r="G1111" t="s">
        <v>4002</v>
      </c>
      <c r="H1111" t="s">
        <v>4010</v>
      </c>
      <c r="I1111" t="s">
        <v>4014</v>
      </c>
      <c r="J1111">
        <v>2</v>
      </c>
      <c r="K1111">
        <v>5595</v>
      </c>
      <c r="L1111">
        <v>10</v>
      </c>
      <c r="M1111">
        <v>11190</v>
      </c>
      <c r="N1111">
        <v>1119</v>
      </c>
      <c r="O1111">
        <v>10071</v>
      </c>
    </row>
    <row r="1112" spans="1:15" x14ac:dyDescent="0.3">
      <c r="A1112" t="s">
        <v>1124</v>
      </c>
      <c r="B1112" s="1">
        <v>44745</v>
      </c>
      <c r="C1112" t="s">
        <v>3119</v>
      </c>
      <c r="D1112" t="s">
        <v>4000</v>
      </c>
      <c r="E1112">
        <v>41</v>
      </c>
      <c r="F1112" t="str">
        <f t="shared" si="17"/>
        <v>36-45</v>
      </c>
      <c r="G1112" t="s">
        <v>4006</v>
      </c>
      <c r="H1112" t="s">
        <v>4008</v>
      </c>
      <c r="I1112" t="s">
        <v>4014</v>
      </c>
      <c r="J1112">
        <v>1</v>
      </c>
      <c r="K1112">
        <v>6075</v>
      </c>
      <c r="L1112">
        <v>5</v>
      </c>
      <c r="M1112">
        <v>6075</v>
      </c>
      <c r="N1112">
        <v>303.75</v>
      </c>
      <c r="O1112">
        <v>5771.25</v>
      </c>
    </row>
    <row r="1113" spans="1:15" x14ac:dyDescent="0.3">
      <c r="A1113" t="s">
        <v>1125</v>
      </c>
      <c r="B1113" s="1">
        <v>44787</v>
      </c>
      <c r="C1113" t="s">
        <v>3120</v>
      </c>
      <c r="D1113" t="s">
        <v>4000</v>
      </c>
      <c r="E1113">
        <v>49</v>
      </c>
      <c r="F1113" t="str">
        <f t="shared" si="17"/>
        <v>46+</v>
      </c>
      <c r="G1113" t="s">
        <v>4002</v>
      </c>
      <c r="H1113" t="s">
        <v>4008</v>
      </c>
      <c r="I1113" t="s">
        <v>4017</v>
      </c>
      <c r="J1113">
        <v>1</v>
      </c>
      <c r="K1113">
        <v>1326</v>
      </c>
      <c r="L1113">
        <v>5</v>
      </c>
      <c r="M1113">
        <v>1326</v>
      </c>
      <c r="N1113">
        <v>66.3</v>
      </c>
      <c r="O1113">
        <v>1259.7</v>
      </c>
    </row>
    <row r="1114" spans="1:15" x14ac:dyDescent="0.3">
      <c r="A1114" t="s">
        <v>1126</v>
      </c>
      <c r="B1114" s="1">
        <v>44698</v>
      </c>
      <c r="C1114" t="s">
        <v>3121</v>
      </c>
      <c r="D1114" t="s">
        <v>4000</v>
      </c>
      <c r="E1114">
        <v>44</v>
      </c>
      <c r="F1114" t="str">
        <f t="shared" si="17"/>
        <v>36-45</v>
      </c>
      <c r="G1114" t="s">
        <v>4004</v>
      </c>
      <c r="H1114" t="s">
        <v>4011</v>
      </c>
      <c r="I1114" t="s">
        <v>4013</v>
      </c>
      <c r="J1114">
        <v>2</v>
      </c>
      <c r="K1114">
        <v>5849</v>
      </c>
      <c r="L1114">
        <v>0</v>
      </c>
      <c r="M1114">
        <v>11698</v>
      </c>
      <c r="N1114">
        <v>0</v>
      </c>
      <c r="O1114">
        <v>11698</v>
      </c>
    </row>
    <row r="1115" spans="1:15" x14ac:dyDescent="0.3">
      <c r="A1115" t="s">
        <v>1127</v>
      </c>
      <c r="B1115" s="1">
        <v>44783</v>
      </c>
      <c r="C1115" t="s">
        <v>3122</v>
      </c>
      <c r="D1115" t="s">
        <v>3999</v>
      </c>
      <c r="E1115">
        <v>53</v>
      </c>
      <c r="F1115" t="str">
        <f t="shared" si="17"/>
        <v>46+</v>
      </c>
      <c r="G1115" t="s">
        <v>4004</v>
      </c>
      <c r="H1115" t="s">
        <v>4010</v>
      </c>
      <c r="I1115" t="s">
        <v>4013</v>
      </c>
      <c r="J1115">
        <v>4</v>
      </c>
      <c r="K1115">
        <v>1389</v>
      </c>
      <c r="L1115">
        <v>10</v>
      </c>
      <c r="M1115">
        <v>5556</v>
      </c>
      <c r="N1115">
        <v>555.6</v>
      </c>
      <c r="O1115">
        <v>5000.3999999999996</v>
      </c>
    </row>
    <row r="1116" spans="1:15" x14ac:dyDescent="0.3">
      <c r="A1116" t="s">
        <v>1128</v>
      </c>
      <c r="B1116" s="1">
        <v>44801</v>
      </c>
      <c r="C1116" t="s">
        <v>3123</v>
      </c>
      <c r="D1116" t="s">
        <v>4000</v>
      </c>
      <c r="E1116">
        <v>44</v>
      </c>
      <c r="F1116" t="str">
        <f t="shared" si="17"/>
        <v>36-45</v>
      </c>
      <c r="G1116" t="s">
        <v>4005</v>
      </c>
      <c r="H1116" t="s">
        <v>4010</v>
      </c>
      <c r="I1116" t="s">
        <v>4016</v>
      </c>
      <c r="J1116">
        <v>1</v>
      </c>
      <c r="K1116">
        <v>4964</v>
      </c>
      <c r="L1116">
        <v>10</v>
      </c>
      <c r="M1116">
        <v>4964</v>
      </c>
      <c r="N1116">
        <v>496.4</v>
      </c>
      <c r="O1116">
        <v>4467.6000000000004</v>
      </c>
    </row>
    <row r="1117" spans="1:15" x14ac:dyDescent="0.3">
      <c r="A1117" t="s">
        <v>1129</v>
      </c>
      <c r="B1117" s="1">
        <v>45056</v>
      </c>
      <c r="C1117" t="s">
        <v>3124</v>
      </c>
      <c r="D1117" t="s">
        <v>4000</v>
      </c>
      <c r="E1117">
        <v>62</v>
      </c>
      <c r="F1117" t="str">
        <f t="shared" si="17"/>
        <v>46+</v>
      </c>
      <c r="G1117" t="s">
        <v>4002</v>
      </c>
      <c r="H1117" t="s">
        <v>4010</v>
      </c>
      <c r="I1117" t="s">
        <v>4013</v>
      </c>
      <c r="J1117">
        <v>4</v>
      </c>
      <c r="K1117">
        <v>3526</v>
      </c>
      <c r="L1117">
        <v>15</v>
      </c>
      <c r="M1117">
        <v>14104</v>
      </c>
      <c r="N1117">
        <v>2115.6</v>
      </c>
      <c r="O1117">
        <v>11988.4</v>
      </c>
    </row>
    <row r="1118" spans="1:15" x14ac:dyDescent="0.3">
      <c r="A1118" t="s">
        <v>1130</v>
      </c>
      <c r="B1118" s="1">
        <v>44866</v>
      </c>
      <c r="C1118" t="s">
        <v>3125</v>
      </c>
      <c r="D1118" t="s">
        <v>3999</v>
      </c>
      <c r="E1118">
        <v>54</v>
      </c>
      <c r="F1118" t="str">
        <f t="shared" si="17"/>
        <v>46+</v>
      </c>
      <c r="G1118" t="s">
        <v>4005</v>
      </c>
      <c r="H1118" t="s">
        <v>4008</v>
      </c>
      <c r="I1118" t="s">
        <v>4017</v>
      </c>
      <c r="J1118">
        <v>6</v>
      </c>
      <c r="K1118">
        <v>5638</v>
      </c>
      <c r="L1118">
        <v>0</v>
      </c>
      <c r="M1118">
        <v>33828</v>
      </c>
      <c r="N1118">
        <v>0</v>
      </c>
      <c r="O1118">
        <v>33828</v>
      </c>
    </row>
    <row r="1119" spans="1:15" x14ac:dyDescent="0.3">
      <c r="A1119" t="s">
        <v>1131</v>
      </c>
      <c r="B1119" s="1">
        <v>44601</v>
      </c>
      <c r="C1119" t="s">
        <v>3126</v>
      </c>
      <c r="D1119" t="s">
        <v>3999</v>
      </c>
      <c r="E1119">
        <v>35</v>
      </c>
      <c r="F1119" t="str">
        <f t="shared" si="17"/>
        <v>26-35</v>
      </c>
      <c r="G1119" t="s">
        <v>4005</v>
      </c>
      <c r="H1119" t="s">
        <v>4012</v>
      </c>
      <c r="I1119" t="s">
        <v>4013</v>
      </c>
      <c r="J1119">
        <v>6</v>
      </c>
      <c r="K1119">
        <v>2666</v>
      </c>
      <c r="L1119">
        <v>5</v>
      </c>
      <c r="M1119">
        <v>15996</v>
      </c>
      <c r="N1119">
        <v>799.8</v>
      </c>
      <c r="O1119">
        <v>15196.2</v>
      </c>
    </row>
    <row r="1120" spans="1:15" x14ac:dyDescent="0.3">
      <c r="A1120" t="s">
        <v>1132</v>
      </c>
      <c r="B1120" s="1">
        <v>44797</v>
      </c>
      <c r="C1120" t="s">
        <v>3127</v>
      </c>
      <c r="D1120" t="s">
        <v>4000</v>
      </c>
      <c r="E1120">
        <v>51</v>
      </c>
      <c r="F1120" t="str">
        <f t="shared" si="17"/>
        <v>46+</v>
      </c>
      <c r="G1120" t="s">
        <v>4004</v>
      </c>
      <c r="H1120" t="s">
        <v>4008</v>
      </c>
      <c r="I1120" t="s">
        <v>4015</v>
      </c>
      <c r="J1120">
        <v>7</v>
      </c>
      <c r="K1120">
        <v>2651</v>
      </c>
      <c r="L1120">
        <v>5</v>
      </c>
      <c r="M1120">
        <v>18557</v>
      </c>
      <c r="N1120">
        <v>927.85</v>
      </c>
      <c r="O1120">
        <v>17629.150000000001</v>
      </c>
    </row>
    <row r="1121" spans="1:15" x14ac:dyDescent="0.3">
      <c r="A1121" t="s">
        <v>1133</v>
      </c>
      <c r="B1121" s="1">
        <v>44866</v>
      </c>
      <c r="C1121" t="s">
        <v>3128</v>
      </c>
      <c r="D1121" t="s">
        <v>4000</v>
      </c>
      <c r="E1121">
        <v>53</v>
      </c>
      <c r="F1121" t="str">
        <f t="shared" si="17"/>
        <v>46+</v>
      </c>
      <c r="G1121" t="s">
        <v>4003</v>
      </c>
      <c r="H1121" t="s">
        <v>4008</v>
      </c>
      <c r="I1121" t="s">
        <v>4016</v>
      </c>
      <c r="J1121">
        <v>6</v>
      </c>
      <c r="K1121">
        <v>4409</v>
      </c>
      <c r="L1121">
        <v>5</v>
      </c>
      <c r="M1121">
        <v>26454</v>
      </c>
      <c r="N1121">
        <v>1322.7</v>
      </c>
      <c r="O1121">
        <v>25131.3</v>
      </c>
    </row>
    <row r="1122" spans="1:15" x14ac:dyDescent="0.3">
      <c r="A1122" t="s">
        <v>1134</v>
      </c>
      <c r="B1122" s="1">
        <v>44664</v>
      </c>
      <c r="C1122" t="s">
        <v>3129</v>
      </c>
      <c r="D1122" t="s">
        <v>4000</v>
      </c>
      <c r="E1122">
        <v>31</v>
      </c>
      <c r="F1122" t="str">
        <f t="shared" si="17"/>
        <v>26-35</v>
      </c>
      <c r="G1122" t="s">
        <v>4003</v>
      </c>
      <c r="H1122" t="s">
        <v>4012</v>
      </c>
      <c r="I1122" t="s">
        <v>4017</v>
      </c>
      <c r="J1122">
        <v>5</v>
      </c>
      <c r="K1122">
        <v>635</v>
      </c>
      <c r="L1122">
        <v>5</v>
      </c>
      <c r="M1122">
        <v>3175</v>
      </c>
      <c r="N1122">
        <v>158.75</v>
      </c>
      <c r="O1122">
        <v>3016.25</v>
      </c>
    </row>
    <row r="1123" spans="1:15" x14ac:dyDescent="0.3">
      <c r="A1123" t="s">
        <v>1135</v>
      </c>
      <c r="B1123" s="1">
        <v>45103</v>
      </c>
      <c r="C1123" t="s">
        <v>3130</v>
      </c>
      <c r="D1123" t="s">
        <v>3999</v>
      </c>
      <c r="E1123">
        <v>52</v>
      </c>
      <c r="F1123" t="str">
        <f t="shared" si="17"/>
        <v>46+</v>
      </c>
      <c r="G1123" t="s">
        <v>4002</v>
      </c>
      <c r="H1123" t="s">
        <v>4012</v>
      </c>
      <c r="I1123" t="s">
        <v>4016</v>
      </c>
      <c r="J1123">
        <v>2</v>
      </c>
      <c r="K1123">
        <v>257</v>
      </c>
      <c r="L1123">
        <v>0</v>
      </c>
      <c r="M1123">
        <v>514</v>
      </c>
      <c r="N1123">
        <v>0</v>
      </c>
      <c r="O1123">
        <v>514</v>
      </c>
    </row>
    <row r="1124" spans="1:15" x14ac:dyDescent="0.3">
      <c r="A1124" t="s">
        <v>1136</v>
      </c>
      <c r="B1124" s="1">
        <v>44787</v>
      </c>
      <c r="C1124" t="s">
        <v>3131</v>
      </c>
      <c r="D1124" t="s">
        <v>3999</v>
      </c>
      <c r="E1124">
        <v>24</v>
      </c>
      <c r="F1124" t="str">
        <f t="shared" si="17"/>
        <v>18-25</v>
      </c>
      <c r="G1124" t="s">
        <v>4004</v>
      </c>
      <c r="H1124" t="s">
        <v>4012</v>
      </c>
      <c r="I1124" t="s">
        <v>4017</v>
      </c>
      <c r="J1124">
        <v>6</v>
      </c>
      <c r="K1124">
        <v>4550</v>
      </c>
      <c r="L1124">
        <v>0</v>
      </c>
      <c r="M1124">
        <v>27300</v>
      </c>
      <c r="N1124">
        <v>0</v>
      </c>
      <c r="O1124">
        <v>27300</v>
      </c>
    </row>
    <row r="1125" spans="1:15" x14ac:dyDescent="0.3">
      <c r="A1125" t="s">
        <v>1137</v>
      </c>
      <c r="B1125" s="1">
        <v>45086</v>
      </c>
      <c r="C1125" t="s">
        <v>3132</v>
      </c>
      <c r="D1125" t="s">
        <v>4000</v>
      </c>
      <c r="E1125">
        <v>51</v>
      </c>
      <c r="F1125" t="str">
        <f t="shared" si="17"/>
        <v>46+</v>
      </c>
      <c r="G1125" t="s">
        <v>4002</v>
      </c>
      <c r="H1125" t="s">
        <v>4009</v>
      </c>
      <c r="I1125" t="s">
        <v>4017</v>
      </c>
      <c r="J1125">
        <v>2</v>
      </c>
      <c r="K1125">
        <v>2400</v>
      </c>
      <c r="L1125">
        <v>5</v>
      </c>
      <c r="M1125">
        <v>4800</v>
      </c>
      <c r="N1125">
        <v>240</v>
      </c>
      <c r="O1125">
        <v>4560</v>
      </c>
    </row>
    <row r="1126" spans="1:15" x14ac:dyDescent="0.3">
      <c r="A1126" t="s">
        <v>1138</v>
      </c>
      <c r="B1126" s="1">
        <v>45131</v>
      </c>
      <c r="C1126" t="s">
        <v>3133</v>
      </c>
      <c r="D1126" t="s">
        <v>4000</v>
      </c>
      <c r="E1126">
        <v>36</v>
      </c>
      <c r="F1126" t="str">
        <f t="shared" si="17"/>
        <v>36-45</v>
      </c>
      <c r="G1126" t="s">
        <v>4006</v>
      </c>
      <c r="H1126" t="s">
        <v>4007</v>
      </c>
      <c r="I1126" t="s">
        <v>4016</v>
      </c>
      <c r="J1126">
        <v>7</v>
      </c>
      <c r="K1126">
        <v>2337</v>
      </c>
      <c r="L1126">
        <v>15</v>
      </c>
      <c r="M1126">
        <v>16359</v>
      </c>
      <c r="N1126">
        <v>2453.85</v>
      </c>
      <c r="O1126">
        <v>13905.15</v>
      </c>
    </row>
    <row r="1127" spans="1:15" x14ac:dyDescent="0.3">
      <c r="A1127" t="s">
        <v>1139</v>
      </c>
      <c r="B1127" s="1">
        <v>45242</v>
      </c>
      <c r="C1127" t="s">
        <v>3134</v>
      </c>
      <c r="D1127" t="s">
        <v>4000</v>
      </c>
      <c r="E1127">
        <v>38</v>
      </c>
      <c r="F1127" t="str">
        <f t="shared" si="17"/>
        <v>36-45</v>
      </c>
      <c r="G1127" t="s">
        <v>4006</v>
      </c>
      <c r="H1127" t="s">
        <v>4008</v>
      </c>
      <c r="I1127" t="s">
        <v>4015</v>
      </c>
      <c r="J1127">
        <v>6</v>
      </c>
      <c r="K1127">
        <v>3080</v>
      </c>
      <c r="L1127">
        <v>0</v>
      </c>
      <c r="M1127">
        <v>18480</v>
      </c>
      <c r="N1127">
        <v>0</v>
      </c>
      <c r="O1127">
        <v>18480</v>
      </c>
    </row>
    <row r="1128" spans="1:15" x14ac:dyDescent="0.3">
      <c r="A1128" t="s">
        <v>1140</v>
      </c>
      <c r="B1128" s="1">
        <v>45194</v>
      </c>
      <c r="C1128" t="s">
        <v>3135</v>
      </c>
      <c r="D1128" t="s">
        <v>4000</v>
      </c>
      <c r="E1128">
        <v>54</v>
      </c>
      <c r="F1128" t="str">
        <f t="shared" si="17"/>
        <v>46+</v>
      </c>
      <c r="G1128" t="s">
        <v>4006</v>
      </c>
      <c r="H1128" t="s">
        <v>4010</v>
      </c>
      <c r="I1128" t="s">
        <v>4017</v>
      </c>
      <c r="J1128">
        <v>2</v>
      </c>
      <c r="K1128">
        <v>2536</v>
      </c>
      <c r="L1128">
        <v>10</v>
      </c>
      <c r="M1128">
        <v>5072</v>
      </c>
      <c r="N1128">
        <v>507.2</v>
      </c>
      <c r="O1128">
        <v>4564.8</v>
      </c>
    </row>
    <row r="1129" spans="1:15" x14ac:dyDescent="0.3">
      <c r="A1129" t="s">
        <v>1141</v>
      </c>
      <c r="B1129" s="1">
        <v>44627</v>
      </c>
      <c r="C1129" t="s">
        <v>3136</v>
      </c>
      <c r="D1129" t="s">
        <v>3999</v>
      </c>
      <c r="E1129">
        <v>63</v>
      </c>
      <c r="F1129" t="str">
        <f t="shared" si="17"/>
        <v>46+</v>
      </c>
      <c r="G1129" t="s">
        <v>4002</v>
      </c>
      <c r="H1129" t="s">
        <v>4008</v>
      </c>
      <c r="I1129" t="s">
        <v>4014</v>
      </c>
      <c r="J1129">
        <v>4</v>
      </c>
      <c r="K1129">
        <v>1216</v>
      </c>
      <c r="L1129">
        <v>20</v>
      </c>
      <c r="M1129">
        <v>4864</v>
      </c>
      <c r="N1129">
        <v>972.8</v>
      </c>
      <c r="O1129">
        <v>3891.2</v>
      </c>
    </row>
    <row r="1130" spans="1:15" x14ac:dyDescent="0.3">
      <c r="A1130" t="s">
        <v>1142</v>
      </c>
      <c r="B1130" s="1">
        <v>45159</v>
      </c>
      <c r="C1130" t="s">
        <v>3137</v>
      </c>
      <c r="D1130" t="s">
        <v>3999</v>
      </c>
      <c r="E1130">
        <v>54</v>
      </c>
      <c r="F1130" t="str">
        <f t="shared" si="17"/>
        <v>46+</v>
      </c>
      <c r="G1130" t="s">
        <v>4003</v>
      </c>
      <c r="H1130" t="s">
        <v>4009</v>
      </c>
      <c r="I1130" t="s">
        <v>4016</v>
      </c>
      <c r="J1130">
        <v>2</v>
      </c>
      <c r="K1130">
        <v>6863</v>
      </c>
      <c r="L1130">
        <v>5</v>
      </c>
      <c r="M1130">
        <v>13726</v>
      </c>
      <c r="N1130">
        <v>686.3</v>
      </c>
      <c r="O1130">
        <v>13039.7</v>
      </c>
    </row>
    <row r="1131" spans="1:15" x14ac:dyDescent="0.3">
      <c r="A1131" t="s">
        <v>1143</v>
      </c>
      <c r="B1131" s="1">
        <v>44781</v>
      </c>
      <c r="C1131" t="s">
        <v>3138</v>
      </c>
      <c r="D1131" t="s">
        <v>4000</v>
      </c>
      <c r="E1131">
        <v>46</v>
      </c>
      <c r="F1131" t="str">
        <f t="shared" si="17"/>
        <v>46+</v>
      </c>
      <c r="G1131" t="s">
        <v>4003</v>
      </c>
      <c r="H1131" t="s">
        <v>4008</v>
      </c>
      <c r="I1131" t="s">
        <v>4016</v>
      </c>
      <c r="J1131">
        <v>6</v>
      </c>
      <c r="K1131">
        <v>2862</v>
      </c>
      <c r="L1131">
        <v>0</v>
      </c>
      <c r="M1131">
        <v>17172</v>
      </c>
      <c r="N1131">
        <v>0</v>
      </c>
      <c r="O1131">
        <v>17172</v>
      </c>
    </row>
    <row r="1132" spans="1:15" x14ac:dyDescent="0.3">
      <c r="A1132" t="s">
        <v>1144</v>
      </c>
      <c r="B1132" s="1">
        <v>44603</v>
      </c>
      <c r="C1132" t="s">
        <v>3139</v>
      </c>
      <c r="D1132" t="s">
        <v>3999</v>
      </c>
      <c r="E1132">
        <v>37</v>
      </c>
      <c r="F1132" t="str">
        <f t="shared" si="17"/>
        <v>36-45</v>
      </c>
      <c r="G1132" t="s">
        <v>4003</v>
      </c>
      <c r="H1132" t="s">
        <v>4008</v>
      </c>
      <c r="I1132" t="s">
        <v>4013</v>
      </c>
      <c r="J1132">
        <v>3</v>
      </c>
      <c r="K1132">
        <v>2628</v>
      </c>
      <c r="L1132">
        <v>10</v>
      </c>
      <c r="M1132">
        <v>7884</v>
      </c>
      <c r="N1132">
        <v>788.4</v>
      </c>
      <c r="O1132">
        <v>7095.6</v>
      </c>
    </row>
    <row r="1133" spans="1:15" x14ac:dyDescent="0.3">
      <c r="A1133" t="s">
        <v>1145</v>
      </c>
      <c r="B1133" s="1">
        <v>44782</v>
      </c>
      <c r="C1133" t="s">
        <v>3140</v>
      </c>
      <c r="D1133" t="s">
        <v>4000</v>
      </c>
      <c r="E1133">
        <v>18</v>
      </c>
      <c r="F1133" t="str">
        <f t="shared" si="17"/>
        <v>18-25</v>
      </c>
      <c r="G1133" t="s">
        <v>4001</v>
      </c>
      <c r="H1133" t="s">
        <v>4011</v>
      </c>
      <c r="I1133" t="s">
        <v>4015</v>
      </c>
      <c r="J1133">
        <v>1</v>
      </c>
      <c r="K1133">
        <v>7769</v>
      </c>
      <c r="L1133">
        <v>0</v>
      </c>
      <c r="M1133">
        <v>7769</v>
      </c>
      <c r="N1133">
        <v>0</v>
      </c>
      <c r="O1133">
        <v>7769</v>
      </c>
    </row>
    <row r="1134" spans="1:15" x14ac:dyDescent="0.3">
      <c r="A1134" t="s">
        <v>1146</v>
      </c>
      <c r="B1134" s="1">
        <v>45171</v>
      </c>
      <c r="C1134" t="s">
        <v>3141</v>
      </c>
      <c r="D1134" t="s">
        <v>4000</v>
      </c>
      <c r="E1134">
        <v>29</v>
      </c>
      <c r="F1134" t="str">
        <f t="shared" si="17"/>
        <v>26-35</v>
      </c>
      <c r="G1134" t="s">
        <v>4006</v>
      </c>
      <c r="H1134" t="s">
        <v>4010</v>
      </c>
      <c r="I1134" t="s">
        <v>4017</v>
      </c>
      <c r="J1134">
        <v>5</v>
      </c>
      <c r="K1134">
        <v>2821</v>
      </c>
      <c r="L1134">
        <v>20</v>
      </c>
      <c r="M1134">
        <v>14105</v>
      </c>
      <c r="N1134">
        <v>2821</v>
      </c>
      <c r="O1134">
        <v>11284</v>
      </c>
    </row>
    <row r="1135" spans="1:15" x14ac:dyDescent="0.3">
      <c r="A1135" t="s">
        <v>1147</v>
      </c>
      <c r="B1135" s="1">
        <v>44947</v>
      </c>
      <c r="C1135" t="s">
        <v>3142</v>
      </c>
      <c r="D1135" t="s">
        <v>4000</v>
      </c>
      <c r="E1135">
        <v>57</v>
      </c>
      <c r="F1135" t="str">
        <f t="shared" si="17"/>
        <v>46+</v>
      </c>
      <c r="G1135" t="s">
        <v>4005</v>
      </c>
      <c r="H1135" t="s">
        <v>4011</v>
      </c>
      <c r="I1135" t="s">
        <v>4016</v>
      </c>
      <c r="J1135">
        <v>1</v>
      </c>
      <c r="K1135">
        <v>3117</v>
      </c>
      <c r="L1135">
        <v>10</v>
      </c>
      <c r="M1135">
        <v>3117</v>
      </c>
      <c r="N1135">
        <v>311.7</v>
      </c>
      <c r="O1135">
        <v>2805.3</v>
      </c>
    </row>
    <row r="1136" spans="1:15" x14ac:dyDescent="0.3">
      <c r="A1136" t="s">
        <v>1148</v>
      </c>
      <c r="B1136" s="1">
        <v>44830</v>
      </c>
      <c r="C1136" t="s">
        <v>3143</v>
      </c>
      <c r="D1136" t="s">
        <v>3999</v>
      </c>
      <c r="E1136">
        <v>41</v>
      </c>
      <c r="F1136" t="str">
        <f t="shared" si="17"/>
        <v>36-45</v>
      </c>
      <c r="G1136" t="s">
        <v>4005</v>
      </c>
      <c r="H1136" t="s">
        <v>4008</v>
      </c>
      <c r="I1136" t="s">
        <v>4014</v>
      </c>
      <c r="J1136">
        <v>1</v>
      </c>
      <c r="K1136">
        <v>2099</v>
      </c>
      <c r="L1136">
        <v>0</v>
      </c>
      <c r="M1136">
        <v>2099</v>
      </c>
      <c r="N1136">
        <v>0</v>
      </c>
      <c r="O1136">
        <v>2099</v>
      </c>
    </row>
    <row r="1137" spans="1:15" x14ac:dyDescent="0.3">
      <c r="A1137" t="s">
        <v>1149</v>
      </c>
      <c r="B1137" s="1">
        <v>44696</v>
      </c>
      <c r="C1137" t="s">
        <v>3144</v>
      </c>
      <c r="D1137" t="s">
        <v>3999</v>
      </c>
      <c r="E1137">
        <v>56</v>
      </c>
      <c r="F1137" t="str">
        <f t="shared" si="17"/>
        <v>46+</v>
      </c>
      <c r="G1137" t="s">
        <v>4003</v>
      </c>
      <c r="H1137" t="s">
        <v>4012</v>
      </c>
      <c r="I1137" t="s">
        <v>4015</v>
      </c>
      <c r="J1137">
        <v>6</v>
      </c>
      <c r="K1137">
        <v>3328</v>
      </c>
      <c r="L1137">
        <v>5</v>
      </c>
      <c r="M1137">
        <v>19968</v>
      </c>
      <c r="N1137">
        <v>998.4</v>
      </c>
      <c r="O1137">
        <v>18969.599999999999</v>
      </c>
    </row>
    <row r="1138" spans="1:15" x14ac:dyDescent="0.3">
      <c r="A1138" t="s">
        <v>1150</v>
      </c>
      <c r="B1138" s="1">
        <v>44917</v>
      </c>
      <c r="C1138" t="s">
        <v>3145</v>
      </c>
      <c r="D1138" t="s">
        <v>3999</v>
      </c>
      <c r="E1138">
        <v>32</v>
      </c>
      <c r="F1138" t="str">
        <f t="shared" si="17"/>
        <v>26-35</v>
      </c>
      <c r="G1138" t="s">
        <v>4005</v>
      </c>
      <c r="H1138" t="s">
        <v>4009</v>
      </c>
      <c r="I1138" t="s">
        <v>4013</v>
      </c>
      <c r="J1138">
        <v>7</v>
      </c>
      <c r="K1138">
        <v>5289</v>
      </c>
      <c r="L1138">
        <v>0</v>
      </c>
      <c r="M1138">
        <v>37023</v>
      </c>
      <c r="N1138">
        <v>0</v>
      </c>
      <c r="O1138">
        <v>37023</v>
      </c>
    </row>
    <row r="1139" spans="1:15" x14ac:dyDescent="0.3">
      <c r="A1139" t="s">
        <v>1151</v>
      </c>
      <c r="B1139" s="1">
        <v>44685</v>
      </c>
      <c r="C1139" t="s">
        <v>3146</v>
      </c>
      <c r="D1139" t="s">
        <v>4000</v>
      </c>
      <c r="E1139">
        <v>60</v>
      </c>
      <c r="F1139" t="str">
        <f t="shared" si="17"/>
        <v>46+</v>
      </c>
      <c r="G1139" t="s">
        <v>4004</v>
      </c>
      <c r="H1139" t="s">
        <v>4009</v>
      </c>
      <c r="I1139" t="s">
        <v>4017</v>
      </c>
      <c r="J1139">
        <v>6</v>
      </c>
      <c r="K1139">
        <v>5737</v>
      </c>
      <c r="L1139">
        <v>0</v>
      </c>
      <c r="M1139">
        <v>34422</v>
      </c>
      <c r="N1139">
        <v>0</v>
      </c>
      <c r="O1139">
        <v>34422</v>
      </c>
    </row>
    <row r="1140" spans="1:15" x14ac:dyDescent="0.3">
      <c r="A1140" t="s">
        <v>1152</v>
      </c>
      <c r="B1140" s="1">
        <v>44956</v>
      </c>
      <c r="C1140" t="s">
        <v>3147</v>
      </c>
      <c r="D1140" t="s">
        <v>3999</v>
      </c>
      <c r="E1140">
        <v>35</v>
      </c>
      <c r="F1140" t="str">
        <f t="shared" si="17"/>
        <v>26-35</v>
      </c>
      <c r="G1140" t="s">
        <v>4006</v>
      </c>
      <c r="H1140" t="s">
        <v>4009</v>
      </c>
      <c r="I1140" t="s">
        <v>4014</v>
      </c>
      <c r="J1140">
        <v>3</v>
      </c>
      <c r="K1140">
        <v>611</v>
      </c>
      <c r="L1140">
        <v>0</v>
      </c>
      <c r="M1140">
        <v>1833</v>
      </c>
      <c r="N1140">
        <v>0</v>
      </c>
      <c r="O1140">
        <v>1833</v>
      </c>
    </row>
    <row r="1141" spans="1:15" x14ac:dyDescent="0.3">
      <c r="A1141" t="s">
        <v>1153</v>
      </c>
      <c r="B1141" s="1">
        <v>45128</v>
      </c>
      <c r="C1141" t="s">
        <v>3148</v>
      </c>
      <c r="D1141" t="s">
        <v>3999</v>
      </c>
      <c r="E1141">
        <v>56</v>
      </c>
      <c r="F1141" t="str">
        <f t="shared" si="17"/>
        <v>46+</v>
      </c>
      <c r="G1141" t="s">
        <v>4002</v>
      </c>
      <c r="H1141" t="s">
        <v>4010</v>
      </c>
      <c r="I1141" t="s">
        <v>4015</v>
      </c>
      <c r="J1141">
        <v>4</v>
      </c>
      <c r="K1141">
        <v>215</v>
      </c>
      <c r="L1141">
        <v>0</v>
      </c>
      <c r="M1141">
        <v>860</v>
      </c>
      <c r="N1141">
        <v>0</v>
      </c>
      <c r="O1141">
        <v>860</v>
      </c>
    </row>
    <row r="1142" spans="1:15" x14ac:dyDescent="0.3">
      <c r="A1142" t="s">
        <v>1154</v>
      </c>
      <c r="B1142" s="1">
        <v>44715</v>
      </c>
      <c r="C1142" t="s">
        <v>3149</v>
      </c>
      <c r="D1142" t="s">
        <v>3999</v>
      </c>
      <c r="E1142">
        <v>63</v>
      </c>
      <c r="F1142" t="str">
        <f t="shared" si="17"/>
        <v>46+</v>
      </c>
      <c r="G1142" t="s">
        <v>4001</v>
      </c>
      <c r="H1142" t="s">
        <v>4012</v>
      </c>
      <c r="I1142" t="s">
        <v>4013</v>
      </c>
      <c r="J1142">
        <v>5</v>
      </c>
      <c r="K1142">
        <v>5958</v>
      </c>
      <c r="L1142">
        <v>10</v>
      </c>
      <c r="M1142">
        <v>29790</v>
      </c>
      <c r="N1142">
        <v>2979</v>
      </c>
      <c r="O1142">
        <v>26811</v>
      </c>
    </row>
    <row r="1143" spans="1:15" x14ac:dyDescent="0.3">
      <c r="A1143" t="s">
        <v>1155</v>
      </c>
      <c r="B1143" s="1">
        <v>45029</v>
      </c>
      <c r="C1143" t="s">
        <v>3150</v>
      </c>
      <c r="D1143" t="s">
        <v>3999</v>
      </c>
      <c r="E1143">
        <v>54</v>
      </c>
      <c r="F1143" t="str">
        <f t="shared" si="17"/>
        <v>46+</v>
      </c>
      <c r="G1143" t="s">
        <v>4002</v>
      </c>
      <c r="H1143" t="s">
        <v>4010</v>
      </c>
      <c r="I1143" t="s">
        <v>4017</v>
      </c>
      <c r="J1143">
        <v>5</v>
      </c>
      <c r="K1143">
        <v>5276</v>
      </c>
      <c r="L1143">
        <v>0</v>
      </c>
      <c r="M1143">
        <v>26380</v>
      </c>
      <c r="N1143">
        <v>0</v>
      </c>
      <c r="O1143">
        <v>26380</v>
      </c>
    </row>
    <row r="1144" spans="1:15" x14ac:dyDescent="0.3">
      <c r="A1144" t="s">
        <v>1156</v>
      </c>
      <c r="B1144" s="1">
        <v>45288</v>
      </c>
      <c r="C1144" t="s">
        <v>3151</v>
      </c>
      <c r="D1144" t="s">
        <v>3999</v>
      </c>
      <c r="E1144">
        <v>63</v>
      </c>
      <c r="F1144" t="str">
        <f t="shared" si="17"/>
        <v>46+</v>
      </c>
      <c r="G1144" t="s">
        <v>4004</v>
      </c>
      <c r="H1144" t="s">
        <v>4007</v>
      </c>
      <c r="I1144" t="s">
        <v>4013</v>
      </c>
      <c r="J1144">
        <v>4</v>
      </c>
      <c r="K1144">
        <v>3916</v>
      </c>
      <c r="L1144">
        <v>5</v>
      </c>
      <c r="M1144">
        <v>15664</v>
      </c>
      <c r="N1144">
        <v>783.2</v>
      </c>
      <c r="O1144">
        <v>14880.8</v>
      </c>
    </row>
    <row r="1145" spans="1:15" x14ac:dyDescent="0.3">
      <c r="A1145" t="s">
        <v>1157</v>
      </c>
      <c r="B1145" s="1">
        <v>44771</v>
      </c>
      <c r="C1145" t="s">
        <v>3152</v>
      </c>
      <c r="D1145" t="s">
        <v>4000</v>
      </c>
      <c r="E1145">
        <v>54</v>
      </c>
      <c r="F1145" t="str">
        <f t="shared" si="17"/>
        <v>46+</v>
      </c>
      <c r="G1145" t="s">
        <v>4003</v>
      </c>
      <c r="H1145" t="s">
        <v>4012</v>
      </c>
      <c r="I1145" t="s">
        <v>4017</v>
      </c>
      <c r="J1145">
        <v>1</v>
      </c>
      <c r="K1145">
        <v>322</v>
      </c>
      <c r="L1145">
        <v>15</v>
      </c>
      <c r="M1145">
        <v>322</v>
      </c>
      <c r="N1145">
        <v>48.3</v>
      </c>
      <c r="O1145">
        <v>273.7</v>
      </c>
    </row>
    <row r="1146" spans="1:15" x14ac:dyDescent="0.3">
      <c r="A1146" t="s">
        <v>1158</v>
      </c>
      <c r="B1146" s="1">
        <v>44610</v>
      </c>
      <c r="C1146" t="s">
        <v>3153</v>
      </c>
      <c r="D1146" t="s">
        <v>3999</v>
      </c>
      <c r="E1146">
        <v>35</v>
      </c>
      <c r="F1146" t="str">
        <f t="shared" si="17"/>
        <v>26-35</v>
      </c>
      <c r="G1146" t="s">
        <v>4002</v>
      </c>
      <c r="H1146" t="s">
        <v>4007</v>
      </c>
      <c r="I1146" t="s">
        <v>4014</v>
      </c>
      <c r="J1146">
        <v>3</v>
      </c>
      <c r="K1146">
        <v>6447</v>
      </c>
      <c r="L1146">
        <v>0</v>
      </c>
      <c r="M1146">
        <v>19341</v>
      </c>
      <c r="N1146">
        <v>0</v>
      </c>
      <c r="O1146">
        <v>19341</v>
      </c>
    </row>
    <row r="1147" spans="1:15" x14ac:dyDescent="0.3">
      <c r="A1147" t="s">
        <v>1159</v>
      </c>
      <c r="B1147" s="1">
        <v>45240</v>
      </c>
      <c r="C1147" t="s">
        <v>3154</v>
      </c>
      <c r="D1147" t="s">
        <v>4000</v>
      </c>
      <c r="E1147">
        <v>29</v>
      </c>
      <c r="F1147" t="str">
        <f t="shared" si="17"/>
        <v>26-35</v>
      </c>
      <c r="G1147" t="s">
        <v>4004</v>
      </c>
      <c r="H1147" t="s">
        <v>4012</v>
      </c>
      <c r="I1147" t="s">
        <v>4014</v>
      </c>
      <c r="J1147">
        <v>4</v>
      </c>
      <c r="K1147">
        <v>6795</v>
      </c>
      <c r="L1147">
        <v>0</v>
      </c>
      <c r="M1147">
        <v>27180</v>
      </c>
      <c r="N1147">
        <v>0</v>
      </c>
      <c r="O1147">
        <v>27180</v>
      </c>
    </row>
    <row r="1148" spans="1:15" x14ac:dyDescent="0.3">
      <c r="A1148" t="s">
        <v>1160</v>
      </c>
      <c r="B1148" s="1">
        <v>44744</v>
      </c>
      <c r="C1148" t="s">
        <v>3155</v>
      </c>
      <c r="D1148" t="s">
        <v>3999</v>
      </c>
      <c r="E1148">
        <v>56</v>
      </c>
      <c r="F1148" t="str">
        <f t="shared" si="17"/>
        <v>46+</v>
      </c>
      <c r="G1148" t="s">
        <v>4006</v>
      </c>
      <c r="H1148" t="s">
        <v>4012</v>
      </c>
      <c r="I1148" t="s">
        <v>4017</v>
      </c>
      <c r="J1148">
        <v>1</v>
      </c>
      <c r="K1148">
        <v>4751</v>
      </c>
      <c r="L1148">
        <v>5</v>
      </c>
      <c r="M1148">
        <v>4751</v>
      </c>
      <c r="N1148">
        <v>237.55</v>
      </c>
      <c r="O1148">
        <v>4513.45</v>
      </c>
    </row>
    <row r="1149" spans="1:15" x14ac:dyDescent="0.3">
      <c r="A1149" t="s">
        <v>1161</v>
      </c>
      <c r="B1149" s="1">
        <v>44783</v>
      </c>
      <c r="C1149" t="s">
        <v>3156</v>
      </c>
      <c r="D1149" t="s">
        <v>3999</v>
      </c>
      <c r="E1149">
        <v>19</v>
      </c>
      <c r="F1149" t="str">
        <f t="shared" si="17"/>
        <v>18-25</v>
      </c>
      <c r="G1149" t="s">
        <v>4006</v>
      </c>
      <c r="H1149" t="s">
        <v>4009</v>
      </c>
      <c r="I1149" t="s">
        <v>4017</v>
      </c>
      <c r="J1149">
        <v>7</v>
      </c>
      <c r="K1149">
        <v>2031</v>
      </c>
      <c r="L1149">
        <v>10</v>
      </c>
      <c r="M1149">
        <v>14217</v>
      </c>
      <c r="N1149">
        <v>1421.7</v>
      </c>
      <c r="O1149">
        <v>12795.3</v>
      </c>
    </row>
    <row r="1150" spans="1:15" x14ac:dyDescent="0.3">
      <c r="A1150" t="s">
        <v>1162</v>
      </c>
      <c r="B1150" s="1">
        <v>44941</v>
      </c>
      <c r="C1150" t="s">
        <v>3157</v>
      </c>
      <c r="D1150" t="s">
        <v>3999</v>
      </c>
      <c r="E1150">
        <v>38</v>
      </c>
      <c r="F1150" t="str">
        <f t="shared" si="17"/>
        <v>36-45</v>
      </c>
      <c r="G1150" t="s">
        <v>4004</v>
      </c>
      <c r="H1150" t="s">
        <v>4007</v>
      </c>
      <c r="I1150" t="s">
        <v>4014</v>
      </c>
      <c r="J1150">
        <v>4</v>
      </c>
      <c r="K1150">
        <v>4533</v>
      </c>
      <c r="L1150">
        <v>0</v>
      </c>
      <c r="M1150">
        <v>18132</v>
      </c>
      <c r="N1150">
        <v>0</v>
      </c>
      <c r="O1150">
        <v>18132</v>
      </c>
    </row>
    <row r="1151" spans="1:15" x14ac:dyDescent="0.3">
      <c r="A1151" t="s">
        <v>1163</v>
      </c>
      <c r="B1151" s="1">
        <v>45170</v>
      </c>
      <c r="C1151" t="s">
        <v>3158</v>
      </c>
      <c r="D1151" t="s">
        <v>3999</v>
      </c>
      <c r="E1151">
        <v>20</v>
      </c>
      <c r="F1151" t="str">
        <f t="shared" si="17"/>
        <v>18-25</v>
      </c>
      <c r="G1151" t="s">
        <v>4001</v>
      </c>
      <c r="H1151" t="s">
        <v>4011</v>
      </c>
      <c r="I1151" t="s">
        <v>4015</v>
      </c>
      <c r="J1151">
        <v>3</v>
      </c>
      <c r="K1151">
        <v>4054</v>
      </c>
      <c r="L1151">
        <v>15</v>
      </c>
      <c r="M1151">
        <v>12162</v>
      </c>
      <c r="N1151">
        <v>1824.3</v>
      </c>
      <c r="O1151">
        <v>10337.700000000001</v>
      </c>
    </row>
    <row r="1152" spans="1:15" x14ac:dyDescent="0.3">
      <c r="A1152" t="s">
        <v>1164</v>
      </c>
      <c r="B1152" s="1">
        <v>45144</v>
      </c>
      <c r="C1152" t="s">
        <v>3159</v>
      </c>
      <c r="D1152" t="s">
        <v>3999</v>
      </c>
      <c r="E1152">
        <v>60</v>
      </c>
      <c r="F1152" t="str">
        <f t="shared" si="17"/>
        <v>46+</v>
      </c>
      <c r="G1152" t="s">
        <v>4004</v>
      </c>
      <c r="H1152" t="s">
        <v>4007</v>
      </c>
      <c r="I1152" t="s">
        <v>4015</v>
      </c>
      <c r="J1152">
        <v>1</v>
      </c>
      <c r="K1152">
        <v>7573</v>
      </c>
      <c r="L1152">
        <v>5</v>
      </c>
      <c r="M1152">
        <v>7573</v>
      </c>
      <c r="N1152">
        <v>378.65</v>
      </c>
      <c r="O1152">
        <v>7194.35</v>
      </c>
    </row>
    <row r="1153" spans="1:15" x14ac:dyDescent="0.3">
      <c r="A1153" t="s">
        <v>1165</v>
      </c>
      <c r="B1153" s="1">
        <v>44686</v>
      </c>
      <c r="C1153" t="s">
        <v>3160</v>
      </c>
      <c r="D1153" t="s">
        <v>4000</v>
      </c>
      <c r="E1153">
        <v>40</v>
      </c>
      <c r="F1153" t="str">
        <f t="shared" si="17"/>
        <v>36-45</v>
      </c>
      <c r="G1153" t="s">
        <v>4002</v>
      </c>
      <c r="H1153" t="s">
        <v>4009</v>
      </c>
      <c r="I1153" t="s">
        <v>4016</v>
      </c>
      <c r="J1153">
        <v>4</v>
      </c>
      <c r="K1153">
        <v>2156</v>
      </c>
      <c r="L1153">
        <v>0</v>
      </c>
      <c r="M1153">
        <v>8624</v>
      </c>
      <c r="N1153">
        <v>0</v>
      </c>
      <c r="O1153">
        <v>8624</v>
      </c>
    </row>
    <row r="1154" spans="1:15" x14ac:dyDescent="0.3">
      <c r="A1154" t="s">
        <v>1166</v>
      </c>
      <c r="B1154" s="1">
        <v>44770</v>
      </c>
      <c r="C1154" t="s">
        <v>3161</v>
      </c>
      <c r="D1154" t="s">
        <v>4000</v>
      </c>
      <c r="E1154">
        <v>28</v>
      </c>
      <c r="F1154" t="str">
        <f t="shared" ref="F1154:F1217" si="18">IF(E1154&lt;=25,"18-25",IF(E1154&lt;=35,"26-35",IF(E1154&lt;=45,"36-45","46+")))</f>
        <v>26-35</v>
      </c>
      <c r="G1154" t="s">
        <v>4006</v>
      </c>
      <c r="H1154" t="s">
        <v>4007</v>
      </c>
      <c r="I1154" t="s">
        <v>4013</v>
      </c>
      <c r="J1154">
        <v>4</v>
      </c>
      <c r="K1154">
        <v>2242</v>
      </c>
      <c r="L1154">
        <v>0</v>
      </c>
      <c r="M1154">
        <v>8968</v>
      </c>
      <c r="N1154">
        <v>0</v>
      </c>
      <c r="O1154">
        <v>8968</v>
      </c>
    </row>
    <row r="1155" spans="1:15" x14ac:dyDescent="0.3">
      <c r="A1155" t="s">
        <v>1167</v>
      </c>
      <c r="B1155" s="1">
        <v>44746</v>
      </c>
      <c r="C1155" t="s">
        <v>3162</v>
      </c>
      <c r="D1155" t="s">
        <v>4000</v>
      </c>
      <c r="E1155">
        <v>28</v>
      </c>
      <c r="F1155" t="str">
        <f t="shared" si="18"/>
        <v>26-35</v>
      </c>
      <c r="G1155" t="s">
        <v>4006</v>
      </c>
      <c r="H1155" t="s">
        <v>4012</v>
      </c>
      <c r="I1155" t="s">
        <v>4017</v>
      </c>
      <c r="J1155">
        <v>6</v>
      </c>
      <c r="K1155">
        <v>4256</v>
      </c>
      <c r="L1155">
        <v>15</v>
      </c>
      <c r="M1155">
        <v>25536</v>
      </c>
      <c r="N1155">
        <v>3830.4</v>
      </c>
      <c r="O1155">
        <v>21705.599999999999</v>
      </c>
    </row>
    <row r="1156" spans="1:15" x14ac:dyDescent="0.3">
      <c r="A1156" t="s">
        <v>1168</v>
      </c>
      <c r="B1156" s="1">
        <v>44895</v>
      </c>
      <c r="C1156" t="s">
        <v>3163</v>
      </c>
      <c r="D1156" t="s">
        <v>3999</v>
      </c>
      <c r="E1156">
        <v>57</v>
      </c>
      <c r="F1156" t="str">
        <f t="shared" si="18"/>
        <v>46+</v>
      </c>
      <c r="G1156" t="s">
        <v>4003</v>
      </c>
      <c r="H1156" t="s">
        <v>4008</v>
      </c>
      <c r="I1156" t="s">
        <v>4017</v>
      </c>
      <c r="J1156">
        <v>2</v>
      </c>
      <c r="K1156">
        <v>5867</v>
      </c>
      <c r="L1156">
        <v>0</v>
      </c>
      <c r="M1156">
        <v>11734</v>
      </c>
      <c r="N1156">
        <v>0</v>
      </c>
      <c r="O1156">
        <v>11734</v>
      </c>
    </row>
    <row r="1157" spans="1:15" x14ac:dyDescent="0.3">
      <c r="A1157" t="s">
        <v>1169</v>
      </c>
      <c r="B1157" s="1">
        <v>45075</v>
      </c>
      <c r="C1157" t="s">
        <v>3164</v>
      </c>
      <c r="D1157" t="s">
        <v>3999</v>
      </c>
      <c r="E1157">
        <v>34</v>
      </c>
      <c r="F1157" t="str">
        <f t="shared" si="18"/>
        <v>26-35</v>
      </c>
      <c r="G1157" t="s">
        <v>4005</v>
      </c>
      <c r="H1157" t="s">
        <v>4011</v>
      </c>
      <c r="I1157" t="s">
        <v>4015</v>
      </c>
      <c r="J1157">
        <v>4</v>
      </c>
      <c r="K1157">
        <v>7855</v>
      </c>
      <c r="L1157">
        <v>5</v>
      </c>
      <c r="M1157">
        <v>31420</v>
      </c>
      <c r="N1157">
        <v>1571</v>
      </c>
      <c r="O1157">
        <v>29849</v>
      </c>
    </row>
    <row r="1158" spans="1:15" x14ac:dyDescent="0.3">
      <c r="A1158" t="s">
        <v>1170</v>
      </c>
      <c r="B1158" s="1">
        <v>44592</v>
      </c>
      <c r="C1158" t="s">
        <v>3165</v>
      </c>
      <c r="D1158" t="s">
        <v>3999</v>
      </c>
      <c r="E1158">
        <v>25</v>
      </c>
      <c r="F1158" t="str">
        <f t="shared" si="18"/>
        <v>18-25</v>
      </c>
      <c r="G1158" t="s">
        <v>4005</v>
      </c>
      <c r="H1158" t="s">
        <v>4007</v>
      </c>
      <c r="I1158" t="s">
        <v>4016</v>
      </c>
      <c r="J1158">
        <v>3</v>
      </c>
      <c r="K1158">
        <v>2410</v>
      </c>
      <c r="L1158">
        <v>0</v>
      </c>
      <c r="M1158">
        <v>7230</v>
      </c>
      <c r="N1158">
        <v>0</v>
      </c>
      <c r="O1158">
        <v>7230</v>
      </c>
    </row>
    <row r="1159" spans="1:15" x14ac:dyDescent="0.3">
      <c r="A1159" t="s">
        <v>1171</v>
      </c>
      <c r="B1159" s="1">
        <v>44771</v>
      </c>
      <c r="C1159" t="s">
        <v>3166</v>
      </c>
      <c r="D1159" t="s">
        <v>4000</v>
      </c>
      <c r="E1159">
        <v>63</v>
      </c>
      <c r="F1159" t="str">
        <f t="shared" si="18"/>
        <v>46+</v>
      </c>
      <c r="G1159" t="s">
        <v>4004</v>
      </c>
      <c r="H1159" t="s">
        <v>4011</v>
      </c>
      <c r="I1159" t="s">
        <v>4014</v>
      </c>
      <c r="J1159">
        <v>5</v>
      </c>
      <c r="K1159">
        <v>1880</v>
      </c>
      <c r="L1159">
        <v>10</v>
      </c>
      <c r="M1159">
        <v>9400</v>
      </c>
      <c r="N1159">
        <v>940</v>
      </c>
      <c r="O1159">
        <v>8460</v>
      </c>
    </row>
    <row r="1160" spans="1:15" x14ac:dyDescent="0.3">
      <c r="A1160" t="s">
        <v>1172</v>
      </c>
      <c r="B1160" s="1">
        <v>44621</v>
      </c>
      <c r="C1160" t="s">
        <v>3167</v>
      </c>
      <c r="D1160" t="s">
        <v>3999</v>
      </c>
      <c r="E1160">
        <v>20</v>
      </c>
      <c r="F1160" t="str">
        <f t="shared" si="18"/>
        <v>18-25</v>
      </c>
      <c r="G1160" t="s">
        <v>4003</v>
      </c>
      <c r="H1160" t="s">
        <v>4012</v>
      </c>
      <c r="I1160" t="s">
        <v>4017</v>
      </c>
      <c r="J1160">
        <v>6</v>
      </c>
      <c r="K1160">
        <v>577</v>
      </c>
      <c r="L1160">
        <v>5</v>
      </c>
      <c r="M1160">
        <v>3462</v>
      </c>
      <c r="N1160">
        <v>173.1</v>
      </c>
      <c r="O1160">
        <v>3288.9</v>
      </c>
    </row>
    <row r="1161" spans="1:15" x14ac:dyDescent="0.3">
      <c r="A1161" t="s">
        <v>1173</v>
      </c>
      <c r="B1161" s="1">
        <v>45189</v>
      </c>
      <c r="C1161" t="s">
        <v>3168</v>
      </c>
      <c r="D1161" t="s">
        <v>3999</v>
      </c>
      <c r="E1161">
        <v>44</v>
      </c>
      <c r="F1161" t="str">
        <f t="shared" si="18"/>
        <v>36-45</v>
      </c>
      <c r="G1161" t="s">
        <v>4006</v>
      </c>
      <c r="H1161" t="s">
        <v>4007</v>
      </c>
      <c r="I1161" t="s">
        <v>4013</v>
      </c>
      <c r="J1161">
        <v>6</v>
      </c>
      <c r="K1161">
        <v>6519</v>
      </c>
      <c r="L1161">
        <v>15</v>
      </c>
      <c r="M1161">
        <v>39114</v>
      </c>
      <c r="N1161">
        <v>5867.1</v>
      </c>
      <c r="O1161">
        <v>33246.9</v>
      </c>
    </row>
    <row r="1162" spans="1:15" x14ac:dyDescent="0.3">
      <c r="A1162" t="s">
        <v>1174</v>
      </c>
      <c r="B1162" s="1">
        <v>45010</v>
      </c>
      <c r="C1162" t="s">
        <v>3169</v>
      </c>
      <c r="D1162" t="s">
        <v>4000</v>
      </c>
      <c r="E1162">
        <v>26</v>
      </c>
      <c r="F1162" t="str">
        <f t="shared" si="18"/>
        <v>26-35</v>
      </c>
      <c r="G1162" t="s">
        <v>4004</v>
      </c>
      <c r="H1162" t="s">
        <v>4007</v>
      </c>
      <c r="I1162" t="s">
        <v>4014</v>
      </c>
      <c r="J1162">
        <v>4</v>
      </c>
      <c r="K1162">
        <v>5779</v>
      </c>
      <c r="L1162">
        <v>0</v>
      </c>
      <c r="M1162">
        <v>23116</v>
      </c>
      <c r="N1162">
        <v>0</v>
      </c>
      <c r="O1162">
        <v>23116</v>
      </c>
    </row>
    <row r="1163" spans="1:15" x14ac:dyDescent="0.3">
      <c r="A1163" t="s">
        <v>1175</v>
      </c>
      <c r="B1163" s="1">
        <v>44645</v>
      </c>
      <c r="C1163" t="s">
        <v>3170</v>
      </c>
      <c r="D1163" t="s">
        <v>4000</v>
      </c>
      <c r="E1163">
        <v>64</v>
      </c>
      <c r="F1163" t="str">
        <f t="shared" si="18"/>
        <v>46+</v>
      </c>
      <c r="G1163" t="s">
        <v>4002</v>
      </c>
      <c r="H1163" t="s">
        <v>4007</v>
      </c>
      <c r="I1163" t="s">
        <v>4016</v>
      </c>
      <c r="J1163">
        <v>2</v>
      </c>
      <c r="K1163">
        <v>2783</v>
      </c>
      <c r="L1163">
        <v>10</v>
      </c>
      <c r="M1163">
        <v>5566</v>
      </c>
      <c r="N1163">
        <v>556.6</v>
      </c>
      <c r="O1163">
        <v>5009.3999999999996</v>
      </c>
    </row>
    <row r="1164" spans="1:15" x14ac:dyDescent="0.3">
      <c r="A1164" t="s">
        <v>1176</v>
      </c>
      <c r="B1164" s="1">
        <v>45180</v>
      </c>
      <c r="C1164" t="s">
        <v>3171</v>
      </c>
      <c r="D1164" t="s">
        <v>3999</v>
      </c>
      <c r="E1164">
        <v>21</v>
      </c>
      <c r="F1164" t="str">
        <f t="shared" si="18"/>
        <v>18-25</v>
      </c>
      <c r="G1164" t="s">
        <v>4003</v>
      </c>
      <c r="H1164" t="s">
        <v>4010</v>
      </c>
      <c r="I1164" t="s">
        <v>4016</v>
      </c>
      <c r="J1164">
        <v>6</v>
      </c>
      <c r="K1164">
        <v>3132</v>
      </c>
      <c r="L1164">
        <v>0</v>
      </c>
      <c r="M1164">
        <v>18792</v>
      </c>
      <c r="N1164">
        <v>0</v>
      </c>
      <c r="O1164">
        <v>18792</v>
      </c>
    </row>
    <row r="1165" spans="1:15" x14ac:dyDescent="0.3">
      <c r="A1165" t="s">
        <v>1177</v>
      </c>
      <c r="B1165" s="1">
        <v>45230</v>
      </c>
      <c r="C1165" t="s">
        <v>3172</v>
      </c>
      <c r="D1165" t="s">
        <v>4000</v>
      </c>
      <c r="E1165">
        <v>52</v>
      </c>
      <c r="F1165" t="str">
        <f t="shared" si="18"/>
        <v>46+</v>
      </c>
      <c r="G1165" t="s">
        <v>4002</v>
      </c>
      <c r="H1165" t="s">
        <v>4010</v>
      </c>
      <c r="I1165" t="s">
        <v>4013</v>
      </c>
      <c r="J1165">
        <v>4</v>
      </c>
      <c r="K1165">
        <v>3309</v>
      </c>
      <c r="L1165">
        <v>10</v>
      </c>
      <c r="M1165">
        <v>13236</v>
      </c>
      <c r="N1165">
        <v>1323.6</v>
      </c>
      <c r="O1165">
        <v>11912.4</v>
      </c>
    </row>
    <row r="1166" spans="1:15" x14ac:dyDescent="0.3">
      <c r="A1166" t="s">
        <v>1178</v>
      </c>
      <c r="B1166" s="1">
        <v>44823</v>
      </c>
      <c r="C1166" t="s">
        <v>3173</v>
      </c>
      <c r="D1166" t="s">
        <v>3999</v>
      </c>
      <c r="E1166">
        <v>57</v>
      </c>
      <c r="F1166" t="str">
        <f t="shared" si="18"/>
        <v>46+</v>
      </c>
      <c r="G1166" t="s">
        <v>4002</v>
      </c>
      <c r="H1166" t="s">
        <v>4010</v>
      </c>
      <c r="I1166" t="s">
        <v>4016</v>
      </c>
      <c r="J1166">
        <v>7</v>
      </c>
      <c r="K1166">
        <v>1009</v>
      </c>
      <c r="L1166">
        <v>10</v>
      </c>
      <c r="M1166">
        <v>7063</v>
      </c>
      <c r="N1166">
        <v>706.3</v>
      </c>
      <c r="O1166">
        <v>6356.7</v>
      </c>
    </row>
    <row r="1167" spans="1:15" x14ac:dyDescent="0.3">
      <c r="A1167" t="s">
        <v>1179</v>
      </c>
      <c r="B1167" s="1">
        <v>44710</v>
      </c>
      <c r="C1167" t="s">
        <v>3174</v>
      </c>
      <c r="D1167" t="s">
        <v>4000</v>
      </c>
      <c r="E1167">
        <v>43</v>
      </c>
      <c r="F1167" t="str">
        <f t="shared" si="18"/>
        <v>36-45</v>
      </c>
      <c r="G1167" t="s">
        <v>4003</v>
      </c>
      <c r="H1167" t="s">
        <v>4009</v>
      </c>
      <c r="I1167" t="s">
        <v>4013</v>
      </c>
      <c r="J1167">
        <v>1</v>
      </c>
      <c r="K1167">
        <v>7464</v>
      </c>
      <c r="L1167">
        <v>5</v>
      </c>
      <c r="M1167">
        <v>7464</v>
      </c>
      <c r="N1167">
        <v>373.2</v>
      </c>
      <c r="O1167">
        <v>7090.8</v>
      </c>
    </row>
    <row r="1168" spans="1:15" x14ac:dyDescent="0.3">
      <c r="A1168" t="s">
        <v>1180</v>
      </c>
      <c r="B1168" s="1">
        <v>44602</v>
      </c>
      <c r="C1168" t="s">
        <v>3175</v>
      </c>
      <c r="D1168" t="s">
        <v>4000</v>
      </c>
      <c r="E1168">
        <v>57</v>
      </c>
      <c r="F1168" t="str">
        <f t="shared" si="18"/>
        <v>46+</v>
      </c>
      <c r="G1168" t="s">
        <v>4001</v>
      </c>
      <c r="H1168" t="s">
        <v>4011</v>
      </c>
      <c r="I1168" t="s">
        <v>4017</v>
      </c>
      <c r="J1168">
        <v>3</v>
      </c>
      <c r="K1168">
        <v>6004</v>
      </c>
      <c r="L1168">
        <v>15</v>
      </c>
      <c r="M1168">
        <v>18012</v>
      </c>
      <c r="N1168">
        <v>2701.8</v>
      </c>
      <c r="O1168">
        <v>15310.2</v>
      </c>
    </row>
    <row r="1169" spans="1:15" x14ac:dyDescent="0.3">
      <c r="A1169" t="s">
        <v>1181</v>
      </c>
      <c r="B1169" s="1">
        <v>45119</v>
      </c>
      <c r="C1169" t="s">
        <v>3176</v>
      </c>
      <c r="D1169" t="s">
        <v>4000</v>
      </c>
      <c r="E1169">
        <v>62</v>
      </c>
      <c r="F1169" t="str">
        <f t="shared" si="18"/>
        <v>46+</v>
      </c>
      <c r="G1169" t="s">
        <v>4004</v>
      </c>
      <c r="H1169" t="s">
        <v>4009</v>
      </c>
      <c r="I1169" t="s">
        <v>4014</v>
      </c>
      <c r="J1169">
        <v>3</v>
      </c>
      <c r="K1169">
        <v>3942</v>
      </c>
      <c r="L1169">
        <v>0</v>
      </c>
      <c r="M1169">
        <v>11826</v>
      </c>
      <c r="N1169">
        <v>0</v>
      </c>
      <c r="O1169">
        <v>11826</v>
      </c>
    </row>
    <row r="1170" spans="1:15" x14ac:dyDescent="0.3">
      <c r="A1170" t="s">
        <v>1182</v>
      </c>
      <c r="B1170" s="1">
        <v>44897</v>
      </c>
      <c r="C1170" t="s">
        <v>3177</v>
      </c>
      <c r="D1170" t="s">
        <v>3999</v>
      </c>
      <c r="E1170">
        <v>19</v>
      </c>
      <c r="F1170" t="str">
        <f t="shared" si="18"/>
        <v>18-25</v>
      </c>
      <c r="G1170" t="s">
        <v>4005</v>
      </c>
      <c r="H1170" t="s">
        <v>4008</v>
      </c>
      <c r="I1170" t="s">
        <v>4015</v>
      </c>
      <c r="J1170">
        <v>6</v>
      </c>
      <c r="K1170">
        <v>4990</v>
      </c>
      <c r="L1170">
        <v>15</v>
      </c>
      <c r="M1170">
        <v>29940</v>
      </c>
      <c r="N1170">
        <v>4491</v>
      </c>
      <c r="O1170">
        <v>25449</v>
      </c>
    </row>
    <row r="1171" spans="1:15" x14ac:dyDescent="0.3">
      <c r="A1171" t="s">
        <v>1183</v>
      </c>
      <c r="B1171" s="1">
        <v>44615</v>
      </c>
      <c r="C1171" t="s">
        <v>3178</v>
      </c>
      <c r="D1171" t="s">
        <v>3999</v>
      </c>
      <c r="E1171">
        <v>22</v>
      </c>
      <c r="F1171" t="str">
        <f t="shared" si="18"/>
        <v>18-25</v>
      </c>
      <c r="G1171" t="s">
        <v>4004</v>
      </c>
      <c r="H1171" t="s">
        <v>4007</v>
      </c>
      <c r="I1171" t="s">
        <v>4015</v>
      </c>
      <c r="J1171">
        <v>7</v>
      </c>
      <c r="K1171">
        <v>4507</v>
      </c>
      <c r="L1171">
        <v>0</v>
      </c>
      <c r="M1171">
        <v>31549</v>
      </c>
      <c r="N1171">
        <v>0</v>
      </c>
      <c r="O1171">
        <v>31549</v>
      </c>
    </row>
    <row r="1172" spans="1:15" x14ac:dyDescent="0.3">
      <c r="A1172" t="s">
        <v>1184</v>
      </c>
      <c r="B1172" s="1">
        <v>44643</v>
      </c>
      <c r="C1172" t="s">
        <v>3179</v>
      </c>
      <c r="D1172" t="s">
        <v>3999</v>
      </c>
      <c r="E1172">
        <v>21</v>
      </c>
      <c r="F1172" t="str">
        <f t="shared" si="18"/>
        <v>18-25</v>
      </c>
      <c r="G1172" t="s">
        <v>4006</v>
      </c>
      <c r="H1172" t="s">
        <v>4007</v>
      </c>
      <c r="I1172" t="s">
        <v>4013</v>
      </c>
      <c r="J1172">
        <v>3</v>
      </c>
      <c r="K1172">
        <v>5745</v>
      </c>
      <c r="L1172">
        <v>5</v>
      </c>
      <c r="M1172">
        <v>17235</v>
      </c>
      <c r="N1172">
        <v>861.75</v>
      </c>
      <c r="O1172">
        <v>16373.25</v>
      </c>
    </row>
    <row r="1173" spans="1:15" x14ac:dyDescent="0.3">
      <c r="A1173" t="s">
        <v>1185</v>
      </c>
      <c r="B1173" s="1">
        <v>44851</v>
      </c>
      <c r="C1173" t="s">
        <v>3180</v>
      </c>
      <c r="D1173" t="s">
        <v>4000</v>
      </c>
      <c r="E1173">
        <v>60</v>
      </c>
      <c r="F1173" t="str">
        <f t="shared" si="18"/>
        <v>46+</v>
      </c>
      <c r="G1173" t="s">
        <v>4002</v>
      </c>
      <c r="H1173" t="s">
        <v>4010</v>
      </c>
      <c r="I1173" t="s">
        <v>4017</v>
      </c>
      <c r="J1173">
        <v>7</v>
      </c>
      <c r="K1173">
        <v>5988</v>
      </c>
      <c r="L1173">
        <v>10</v>
      </c>
      <c r="M1173">
        <v>41916</v>
      </c>
      <c r="N1173">
        <v>4191.6000000000004</v>
      </c>
      <c r="O1173">
        <v>37724.400000000001</v>
      </c>
    </row>
    <row r="1174" spans="1:15" x14ac:dyDescent="0.3">
      <c r="A1174" t="s">
        <v>1186</v>
      </c>
      <c r="B1174" s="1">
        <v>45195</v>
      </c>
      <c r="C1174" t="s">
        <v>3181</v>
      </c>
      <c r="D1174" t="s">
        <v>4000</v>
      </c>
      <c r="E1174">
        <v>64</v>
      </c>
      <c r="F1174" t="str">
        <f t="shared" si="18"/>
        <v>46+</v>
      </c>
      <c r="G1174" t="s">
        <v>4001</v>
      </c>
      <c r="H1174" t="s">
        <v>4008</v>
      </c>
      <c r="I1174" t="s">
        <v>4016</v>
      </c>
      <c r="J1174">
        <v>4</v>
      </c>
      <c r="K1174">
        <v>1226</v>
      </c>
      <c r="L1174">
        <v>0</v>
      </c>
      <c r="M1174">
        <v>4904</v>
      </c>
      <c r="N1174">
        <v>0</v>
      </c>
      <c r="O1174">
        <v>4904</v>
      </c>
    </row>
    <row r="1175" spans="1:15" x14ac:dyDescent="0.3">
      <c r="A1175" t="s">
        <v>1187</v>
      </c>
      <c r="B1175" s="1">
        <v>45112</v>
      </c>
      <c r="C1175" t="s">
        <v>3182</v>
      </c>
      <c r="D1175" t="s">
        <v>4000</v>
      </c>
      <c r="E1175">
        <v>25</v>
      </c>
      <c r="F1175" t="str">
        <f t="shared" si="18"/>
        <v>18-25</v>
      </c>
      <c r="G1175" t="s">
        <v>4004</v>
      </c>
      <c r="H1175" t="s">
        <v>4007</v>
      </c>
      <c r="I1175" t="s">
        <v>4013</v>
      </c>
      <c r="J1175">
        <v>5</v>
      </c>
      <c r="K1175">
        <v>6795</v>
      </c>
      <c r="L1175">
        <v>20</v>
      </c>
      <c r="M1175">
        <v>33975</v>
      </c>
      <c r="N1175">
        <v>6795</v>
      </c>
      <c r="O1175">
        <v>27180</v>
      </c>
    </row>
    <row r="1176" spans="1:15" x14ac:dyDescent="0.3">
      <c r="A1176" t="s">
        <v>1188</v>
      </c>
      <c r="B1176" s="1">
        <v>44818</v>
      </c>
      <c r="C1176" t="s">
        <v>3183</v>
      </c>
      <c r="D1176" t="s">
        <v>4000</v>
      </c>
      <c r="E1176">
        <v>18</v>
      </c>
      <c r="F1176" t="str">
        <f t="shared" si="18"/>
        <v>18-25</v>
      </c>
      <c r="G1176" t="s">
        <v>4004</v>
      </c>
      <c r="H1176" t="s">
        <v>4008</v>
      </c>
      <c r="I1176" t="s">
        <v>4017</v>
      </c>
      <c r="J1176">
        <v>7</v>
      </c>
      <c r="K1176">
        <v>1206</v>
      </c>
      <c r="L1176">
        <v>5</v>
      </c>
      <c r="M1176">
        <v>8442</v>
      </c>
      <c r="N1176">
        <v>422.1</v>
      </c>
      <c r="O1176">
        <v>8019.9</v>
      </c>
    </row>
    <row r="1177" spans="1:15" x14ac:dyDescent="0.3">
      <c r="A1177" t="s">
        <v>1189</v>
      </c>
      <c r="B1177" s="1">
        <v>45038</v>
      </c>
      <c r="C1177" t="s">
        <v>3184</v>
      </c>
      <c r="D1177" t="s">
        <v>4000</v>
      </c>
      <c r="E1177">
        <v>38</v>
      </c>
      <c r="F1177" t="str">
        <f t="shared" si="18"/>
        <v>36-45</v>
      </c>
      <c r="G1177" t="s">
        <v>4001</v>
      </c>
      <c r="H1177" t="s">
        <v>4010</v>
      </c>
      <c r="I1177" t="s">
        <v>4013</v>
      </c>
      <c r="J1177">
        <v>4</v>
      </c>
      <c r="K1177">
        <v>6477</v>
      </c>
      <c r="L1177">
        <v>20</v>
      </c>
      <c r="M1177">
        <v>25908</v>
      </c>
      <c r="N1177">
        <v>5181.6000000000004</v>
      </c>
      <c r="O1177">
        <v>20726.400000000001</v>
      </c>
    </row>
    <row r="1178" spans="1:15" x14ac:dyDescent="0.3">
      <c r="A1178" t="s">
        <v>1190</v>
      </c>
      <c r="B1178" s="1">
        <v>44698</v>
      </c>
      <c r="C1178" t="s">
        <v>3185</v>
      </c>
      <c r="D1178" t="s">
        <v>3999</v>
      </c>
      <c r="E1178">
        <v>27</v>
      </c>
      <c r="F1178" t="str">
        <f t="shared" si="18"/>
        <v>26-35</v>
      </c>
      <c r="G1178" t="s">
        <v>4001</v>
      </c>
      <c r="H1178" t="s">
        <v>4010</v>
      </c>
      <c r="I1178" t="s">
        <v>4013</v>
      </c>
      <c r="J1178">
        <v>7</v>
      </c>
      <c r="K1178">
        <v>1581</v>
      </c>
      <c r="L1178">
        <v>15</v>
      </c>
      <c r="M1178">
        <v>11067</v>
      </c>
      <c r="N1178">
        <v>1660.05</v>
      </c>
      <c r="O1178">
        <v>9406.9500000000007</v>
      </c>
    </row>
    <row r="1179" spans="1:15" x14ac:dyDescent="0.3">
      <c r="A1179" t="s">
        <v>1191</v>
      </c>
      <c r="B1179" s="1">
        <v>44687</v>
      </c>
      <c r="C1179" t="s">
        <v>3186</v>
      </c>
      <c r="D1179" t="s">
        <v>3999</v>
      </c>
      <c r="E1179">
        <v>49</v>
      </c>
      <c r="F1179" t="str">
        <f t="shared" si="18"/>
        <v>46+</v>
      </c>
      <c r="G1179" t="s">
        <v>4005</v>
      </c>
      <c r="H1179" t="s">
        <v>4011</v>
      </c>
      <c r="I1179" t="s">
        <v>4015</v>
      </c>
      <c r="J1179">
        <v>7</v>
      </c>
      <c r="K1179">
        <v>6384</v>
      </c>
      <c r="L1179">
        <v>0</v>
      </c>
      <c r="M1179">
        <v>44688</v>
      </c>
      <c r="N1179">
        <v>0</v>
      </c>
      <c r="O1179">
        <v>44688</v>
      </c>
    </row>
    <row r="1180" spans="1:15" x14ac:dyDescent="0.3">
      <c r="A1180" t="s">
        <v>1192</v>
      </c>
      <c r="B1180" s="1">
        <v>44952</v>
      </c>
      <c r="C1180" t="s">
        <v>3187</v>
      </c>
      <c r="D1180" t="s">
        <v>4000</v>
      </c>
      <c r="E1180">
        <v>27</v>
      </c>
      <c r="F1180" t="str">
        <f t="shared" si="18"/>
        <v>26-35</v>
      </c>
      <c r="G1180" t="s">
        <v>4001</v>
      </c>
      <c r="H1180" t="s">
        <v>4012</v>
      </c>
      <c r="I1180" t="s">
        <v>4013</v>
      </c>
      <c r="J1180">
        <v>1</v>
      </c>
      <c r="K1180">
        <v>4958</v>
      </c>
      <c r="L1180">
        <v>10</v>
      </c>
      <c r="M1180">
        <v>4958</v>
      </c>
      <c r="N1180">
        <v>495.8</v>
      </c>
      <c r="O1180">
        <v>4462.2</v>
      </c>
    </row>
    <row r="1181" spans="1:15" x14ac:dyDescent="0.3">
      <c r="A1181" t="s">
        <v>1193</v>
      </c>
      <c r="B1181" s="1">
        <v>44930</v>
      </c>
      <c r="C1181" t="s">
        <v>3188</v>
      </c>
      <c r="D1181" t="s">
        <v>3999</v>
      </c>
      <c r="E1181">
        <v>56</v>
      </c>
      <c r="F1181" t="str">
        <f t="shared" si="18"/>
        <v>46+</v>
      </c>
      <c r="G1181" t="s">
        <v>4005</v>
      </c>
      <c r="H1181" t="s">
        <v>4009</v>
      </c>
      <c r="I1181" t="s">
        <v>4017</v>
      </c>
      <c r="J1181">
        <v>1</v>
      </c>
      <c r="K1181">
        <v>5556</v>
      </c>
      <c r="L1181">
        <v>0</v>
      </c>
      <c r="M1181">
        <v>5556</v>
      </c>
      <c r="N1181">
        <v>0</v>
      </c>
      <c r="O1181">
        <v>5556</v>
      </c>
    </row>
    <row r="1182" spans="1:15" x14ac:dyDescent="0.3">
      <c r="A1182" t="s">
        <v>1194</v>
      </c>
      <c r="B1182" s="1">
        <v>45166</v>
      </c>
      <c r="C1182" t="s">
        <v>3189</v>
      </c>
      <c r="D1182" t="s">
        <v>3999</v>
      </c>
      <c r="E1182">
        <v>25</v>
      </c>
      <c r="F1182" t="str">
        <f t="shared" si="18"/>
        <v>18-25</v>
      </c>
      <c r="G1182" t="s">
        <v>4003</v>
      </c>
      <c r="H1182" t="s">
        <v>4011</v>
      </c>
      <c r="I1182" t="s">
        <v>4014</v>
      </c>
      <c r="J1182">
        <v>7</v>
      </c>
      <c r="K1182">
        <v>5439</v>
      </c>
      <c r="L1182">
        <v>10</v>
      </c>
      <c r="M1182">
        <v>38073</v>
      </c>
      <c r="N1182">
        <v>3807.3</v>
      </c>
      <c r="O1182">
        <v>34265.699999999997</v>
      </c>
    </row>
    <row r="1183" spans="1:15" x14ac:dyDescent="0.3">
      <c r="A1183" t="s">
        <v>1195</v>
      </c>
      <c r="B1183" s="1">
        <v>44771</v>
      </c>
      <c r="C1183" t="s">
        <v>3190</v>
      </c>
      <c r="D1183" t="s">
        <v>4000</v>
      </c>
      <c r="E1183">
        <v>40</v>
      </c>
      <c r="F1183" t="str">
        <f t="shared" si="18"/>
        <v>36-45</v>
      </c>
      <c r="G1183" t="s">
        <v>4006</v>
      </c>
      <c r="H1183" t="s">
        <v>4011</v>
      </c>
      <c r="I1183" t="s">
        <v>4016</v>
      </c>
      <c r="J1183">
        <v>2</v>
      </c>
      <c r="K1183">
        <v>587</v>
      </c>
      <c r="L1183">
        <v>0</v>
      </c>
      <c r="M1183">
        <v>1174</v>
      </c>
      <c r="N1183">
        <v>0</v>
      </c>
      <c r="O1183">
        <v>1174</v>
      </c>
    </row>
    <row r="1184" spans="1:15" x14ac:dyDescent="0.3">
      <c r="A1184" t="s">
        <v>1196</v>
      </c>
      <c r="B1184" s="1">
        <v>44787</v>
      </c>
      <c r="C1184" t="s">
        <v>3191</v>
      </c>
      <c r="D1184" t="s">
        <v>4000</v>
      </c>
      <c r="E1184">
        <v>59</v>
      </c>
      <c r="F1184" t="str">
        <f t="shared" si="18"/>
        <v>46+</v>
      </c>
      <c r="G1184" t="s">
        <v>4005</v>
      </c>
      <c r="H1184" t="s">
        <v>4008</v>
      </c>
      <c r="I1184" t="s">
        <v>4017</v>
      </c>
      <c r="J1184">
        <v>3</v>
      </c>
      <c r="K1184">
        <v>1947</v>
      </c>
      <c r="L1184">
        <v>10</v>
      </c>
      <c r="M1184">
        <v>5841</v>
      </c>
      <c r="N1184">
        <v>584.1</v>
      </c>
      <c r="O1184">
        <v>5256.9</v>
      </c>
    </row>
    <row r="1185" spans="1:15" x14ac:dyDescent="0.3">
      <c r="A1185" t="s">
        <v>1197</v>
      </c>
      <c r="B1185" s="1">
        <v>45209</v>
      </c>
      <c r="C1185" t="s">
        <v>3192</v>
      </c>
      <c r="D1185" t="s">
        <v>3999</v>
      </c>
      <c r="E1185">
        <v>64</v>
      </c>
      <c r="F1185" t="str">
        <f t="shared" si="18"/>
        <v>46+</v>
      </c>
      <c r="G1185" t="s">
        <v>4003</v>
      </c>
      <c r="H1185" t="s">
        <v>4008</v>
      </c>
      <c r="I1185" t="s">
        <v>4015</v>
      </c>
      <c r="J1185">
        <v>4</v>
      </c>
      <c r="K1185">
        <v>6810</v>
      </c>
      <c r="L1185">
        <v>5</v>
      </c>
      <c r="M1185">
        <v>27240</v>
      </c>
      <c r="N1185">
        <v>1362</v>
      </c>
      <c r="O1185">
        <v>25878</v>
      </c>
    </row>
    <row r="1186" spans="1:15" x14ac:dyDescent="0.3">
      <c r="A1186" t="s">
        <v>1198</v>
      </c>
      <c r="B1186" s="1">
        <v>44694</v>
      </c>
      <c r="C1186" t="s">
        <v>3193</v>
      </c>
      <c r="D1186" t="s">
        <v>4000</v>
      </c>
      <c r="E1186">
        <v>27</v>
      </c>
      <c r="F1186" t="str">
        <f t="shared" si="18"/>
        <v>26-35</v>
      </c>
      <c r="G1186" t="s">
        <v>4002</v>
      </c>
      <c r="H1186" t="s">
        <v>4010</v>
      </c>
      <c r="I1186" t="s">
        <v>4015</v>
      </c>
      <c r="J1186">
        <v>6</v>
      </c>
      <c r="K1186">
        <v>5147</v>
      </c>
      <c r="L1186">
        <v>5</v>
      </c>
      <c r="M1186">
        <v>30882</v>
      </c>
      <c r="N1186">
        <v>1544.1</v>
      </c>
      <c r="O1186">
        <v>29337.9</v>
      </c>
    </row>
    <row r="1187" spans="1:15" x14ac:dyDescent="0.3">
      <c r="A1187" t="s">
        <v>1199</v>
      </c>
      <c r="B1187" s="1">
        <v>45143</v>
      </c>
      <c r="C1187" t="s">
        <v>3194</v>
      </c>
      <c r="D1187" t="s">
        <v>4000</v>
      </c>
      <c r="E1187">
        <v>59</v>
      </c>
      <c r="F1187" t="str">
        <f t="shared" si="18"/>
        <v>46+</v>
      </c>
      <c r="G1187" t="s">
        <v>4005</v>
      </c>
      <c r="H1187" t="s">
        <v>4007</v>
      </c>
      <c r="I1187" t="s">
        <v>4014</v>
      </c>
      <c r="J1187">
        <v>2</v>
      </c>
      <c r="K1187">
        <v>6178</v>
      </c>
      <c r="L1187">
        <v>15</v>
      </c>
      <c r="M1187">
        <v>12356</v>
      </c>
      <c r="N1187">
        <v>1853.4</v>
      </c>
      <c r="O1187">
        <v>10502.6</v>
      </c>
    </row>
    <row r="1188" spans="1:15" x14ac:dyDescent="0.3">
      <c r="A1188" t="s">
        <v>1200</v>
      </c>
      <c r="B1188" s="1">
        <v>44878</v>
      </c>
      <c r="C1188" t="s">
        <v>3195</v>
      </c>
      <c r="D1188" t="s">
        <v>4000</v>
      </c>
      <c r="E1188">
        <v>59</v>
      </c>
      <c r="F1188" t="str">
        <f t="shared" si="18"/>
        <v>46+</v>
      </c>
      <c r="G1188" t="s">
        <v>4001</v>
      </c>
      <c r="H1188" t="s">
        <v>4010</v>
      </c>
      <c r="I1188" t="s">
        <v>4016</v>
      </c>
      <c r="J1188">
        <v>2</v>
      </c>
      <c r="K1188">
        <v>7519</v>
      </c>
      <c r="L1188">
        <v>5</v>
      </c>
      <c r="M1188">
        <v>15038</v>
      </c>
      <c r="N1188">
        <v>751.9</v>
      </c>
      <c r="O1188">
        <v>14286.1</v>
      </c>
    </row>
    <row r="1189" spans="1:15" x14ac:dyDescent="0.3">
      <c r="A1189" t="s">
        <v>1201</v>
      </c>
      <c r="B1189" s="1">
        <v>45121</v>
      </c>
      <c r="C1189" t="s">
        <v>3196</v>
      </c>
      <c r="D1189" t="s">
        <v>3999</v>
      </c>
      <c r="E1189">
        <v>35</v>
      </c>
      <c r="F1189" t="str">
        <f t="shared" si="18"/>
        <v>26-35</v>
      </c>
      <c r="G1189" t="s">
        <v>4002</v>
      </c>
      <c r="H1189" t="s">
        <v>4007</v>
      </c>
      <c r="I1189" t="s">
        <v>4014</v>
      </c>
      <c r="J1189">
        <v>4</v>
      </c>
      <c r="K1189">
        <v>5741</v>
      </c>
      <c r="L1189">
        <v>5</v>
      </c>
      <c r="M1189">
        <v>22964</v>
      </c>
      <c r="N1189">
        <v>1148.2</v>
      </c>
      <c r="O1189">
        <v>21815.8</v>
      </c>
    </row>
    <row r="1190" spans="1:15" x14ac:dyDescent="0.3">
      <c r="A1190" t="s">
        <v>1202</v>
      </c>
      <c r="B1190" s="1">
        <v>44880</v>
      </c>
      <c r="C1190" t="s">
        <v>3197</v>
      </c>
      <c r="D1190" t="s">
        <v>3999</v>
      </c>
      <c r="E1190">
        <v>41</v>
      </c>
      <c r="F1190" t="str">
        <f t="shared" si="18"/>
        <v>36-45</v>
      </c>
      <c r="G1190" t="s">
        <v>4005</v>
      </c>
      <c r="H1190" t="s">
        <v>4009</v>
      </c>
      <c r="I1190" t="s">
        <v>4015</v>
      </c>
      <c r="J1190">
        <v>1</v>
      </c>
      <c r="K1190">
        <v>1985</v>
      </c>
      <c r="L1190">
        <v>0</v>
      </c>
      <c r="M1190">
        <v>1985</v>
      </c>
      <c r="N1190">
        <v>0</v>
      </c>
      <c r="O1190">
        <v>1985</v>
      </c>
    </row>
    <row r="1191" spans="1:15" x14ac:dyDescent="0.3">
      <c r="A1191" t="s">
        <v>1203</v>
      </c>
      <c r="B1191" s="1">
        <v>45104</v>
      </c>
      <c r="C1191" t="s">
        <v>3198</v>
      </c>
      <c r="D1191" t="s">
        <v>4000</v>
      </c>
      <c r="E1191">
        <v>36</v>
      </c>
      <c r="F1191" t="str">
        <f t="shared" si="18"/>
        <v>36-45</v>
      </c>
      <c r="G1191" t="s">
        <v>4006</v>
      </c>
      <c r="H1191" t="s">
        <v>4007</v>
      </c>
      <c r="I1191" t="s">
        <v>4014</v>
      </c>
      <c r="J1191">
        <v>1</v>
      </c>
      <c r="K1191">
        <v>4605</v>
      </c>
      <c r="L1191">
        <v>10</v>
      </c>
      <c r="M1191">
        <v>4605</v>
      </c>
      <c r="N1191">
        <v>460.5</v>
      </c>
      <c r="O1191">
        <v>4144.5</v>
      </c>
    </row>
    <row r="1192" spans="1:15" x14ac:dyDescent="0.3">
      <c r="A1192" t="s">
        <v>1204</v>
      </c>
      <c r="B1192" s="1">
        <v>44867</v>
      </c>
      <c r="C1192" t="s">
        <v>3199</v>
      </c>
      <c r="D1192" t="s">
        <v>3999</v>
      </c>
      <c r="E1192">
        <v>64</v>
      </c>
      <c r="F1192" t="str">
        <f t="shared" si="18"/>
        <v>46+</v>
      </c>
      <c r="G1192" t="s">
        <v>4006</v>
      </c>
      <c r="H1192" t="s">
        <v>4007</v>
      </c>
      <c r="I1192" t="s">
        <v>4013</v>
      </c>
      <c r="J1192">
        <v>1</v>
      </c>
      <c r="K1192">
        <v>6326</v>
      </c>
      <c r="L1192">
        <v>0</v>
      </c>
      <c r="M1192">
        <v>6326</v>
      </c>
      <c r="N1192">
        <v>0</v>
      </c>
      <c r="O1192">
        <v>6326</v>
      </c>
    </row>
    <row r="1193" spans="1:15" x14ac:dyDescent="0.3">
      <c r="A1193" t="s">
        <v>1205</v>
      </c>
      <c r="B1193" s="1">
        <v>45039</v>
      </c>
      <c r="C1193" t="s">
        <v>3200</v>
      </c>
      <c r="D1193" t="s">
        <v>4000</v>
      </c>
      <c r="E1193">
        <v>62</v>
      </c>
      <c r="F1193" t="str">
        <f t="shared" si="18"/>
        <v>46+</v>
      </c>
      <c r="G1193" t="s">
        <v>4002</v>
      </c>
      <c r="H1193" t="s">
        <v>4008</v>
      </c>
      <c r="I1193" t="s">
        <v>4015</v>
      </c>
      <c r="J1193">
        <v>1</v>
      </c>
      <c r="K1193">
        <v>5348</v>
      </c>
      <c r="L1193">
        <v>10</v>
      </c>
      <c r="M1193">
        <v>5348</v>
      </c>
      <c r="N1193">
        <v>534.79999999999995</v>
      </c>
      <c r="O1193">
        <v>4813.2</v>
      </c>
    </row>
    <row r="1194" spans="1:15" x14ac:dyDescent="0.3">
      <c r="A1194" t="s">
        <v>1206</v>
      </c>
      <c r="B1194" s="1">
        <v>45073</v>
      </c>
      <c r="C1194" t="s">
        <v>3201</v>
      </c>
      <c r="D1194" t="s">
        <v>4000</v>
      </c>
      <c r="E1194">
        <v>56</v>
      </c>
      <c r="F1194" t="str">
        <f t="shared" si="18"/>
        <v>46+</v>
      </c>
      <c r="G1194" t="s">
        <v>4005</v>
      </c>
      <c r="H1194" t="s">
        <v>4008</v>
      </c>
      <c r="I1194" t="s">
        <v>4013</v>
      </c>
      <c r="J1194">
        <v>2</v>
      </c>
      <c r="K1194">
        <v>2118</v>
      </c>
      <c r="L1194">
        <v>0</v>
      </c>
      <c r="M1194">
        <v>4236</v>
      </c>
      <c r="N1194">
        <v>0</v>
      </c>
      <c r="O1194">
        <v>4236</v>
      </c>
    </row>
    <row r="1195" spans="1:15" x14ac:dyDescent="0.3">
      <c r="A1195" t="s">
        <v>1207</v>
      </c>
      <c r="B1195" s="1">
        <v>44944</v>
      </c>
      <c r="C1195" t="s">
        <v>3202</v>
      </c>
      <c r="D1195" t="s">
        <v>4000</v>
      </c>
      <c r="E1195">
        <v>56</v>
      </c>
      <c r="F1195" t="str">
        <f t="shared" si="18"/>
        <v>46+</v>
      </c>
      <c r="G1195" t="s">
        <v>4006</v>
      </c>
      <c r="H1195" t="s">
        <v>4007</v>
      </c>
      <c r="I1195" t="s">
        <v>4013</v>
      </c>
      <c r="J1195">
        <v>6</v>
      </c>
      <c r="K1195">
        <v>6303</v>
      </c>
      <c r="L1195">
        <v>5</v>
      </c>
      <c r="M1195">
        <v>37818</v>
      </c>
      <c r="N1195">
        <v>1890.9</v>
      </c>
      <c r="O1195">
        <v>35927.1</v>
      </c>
    </row>
    <row r="1196" spans="1:15" x14ac:dyDescent="0.3">
      <c r="A1196" t="s">
        <v>1208</v>
      </c>
      <c r="B1196" s="1">
        <v>45034</v>
      </c>
      <c r="C1196" t="s">
        <v>3203</v>
      </c>
      <c r="D1196" t="s">
        <v>4000</v>
      </c>
      <c r="E1196">
        <v>52</v>
      </c>
      <c r="F1196" t="str">
        <f t="shared" si="18"/>
        <v>46+</v>
      </c>
      <c r="G1196" t="s">
        <v>4006</v>
      </c>
      <c r="H1196" t="s">
        <v>4010</v>
      </c>
      <c r="I1196" t="s">
        <v>4013</v>
      </c>
      <c r="J1196">
        <v>5</v>
      </c>
      <c r="K1196">
        <v>3532</v>
      </c>
      <c r="L1196">
        <v>15</v>
      </c>
      <c r="M1196">
        <v>17660</v>
      </c>
      <c r="N1196">
        <v>2649</v>
      </c>
      <c r="O1196">
        <v>15011</v>
      </c>
    </row>
    <row r="1197" spans="1:15" x14ac:dyDescent="0.3">
      <c r="A1197" t="s">
        <v>1209</v>
      </c>
      <c r="B1197" s="1">
        <v>44623</v>
      </c>
      <c r="C1197" t="s">
        <v>3204</v>
      </c>
      <c r="D1197" t="s">
        <v>4000</v>
      </c>
      <c r="E1197">
        <v>51</v>
      </c>
      <c r="F1197" t="str">
        <f t="shared" si="18"/>
        <v>46+</v>
      </c>
      <c r="G1197" t="s">
        <v>4002</v>
      </c>
      <c r="H1197" t="s">
        <v>4010</v>
      </c>
      <c r="I1197" t="s">
        <v>4017</v>
      </c>
      <c r="J1197">
        <v>6</v>
      </c>
      <c r="K1197">
        <v>7591</v>
      </c>
      <c r="L1197">
        <v>15</v>
      </c>
      <c r="M1197">
        <v>45546</v>
      </c>
      <c r="N1197">
        <v>6831.9</v>
      </c>
      <c r="O1197">
        <v>38714.1</v>
      </c>
    </row>
    <row r="1198" spans="1:15" x14ac:dyDescent="0.3">
      <c r="A1198" t="s">
        <v>1210</v>
      </c>
      <c r="B1198" s="1">
        <v>45074</v>
      </c>
      <c r="C1198" t="s">
        <v>3205</v>
      </c>
      <c r="D1198" t="s">
        <v>4000</v>
      </c>
      <c r="E1198">
        <v>42</v>
      </c>
      <c r="F1198" t="str">
        <f t="shared" si="18"/>
        <v>36-45</v>
      </c>
      <c r="G1198" t="s">
        <v>4004</v>
      </c>
      <c r="H1198" t="s">
        <v>4007</v>
      </c>
      <c r="I1198" t="s">
        <v>4015</v>
      </c>
      <c r="J1198">
        <v>5</v>
      </c>
      <c r="K1198">
        <v>2035</v>
      </c>
      <c r="L1198">
        <v>5</v>
      </c>
      <c r="M1198">
        <v>10175</v>
      </c>
      <c r="N1198">
        <v>508.75</v>
      </c>
      <c r="O1198">
        <v>9666.25</v>
      </c>
    </row>
    <row r="1199" spans="1:15" x14ac:dyDescent="0.3">
      <c r="A1199" t="s">
        <v>1211</v>
      </c>
      <c r="B1199" s="1">
        <v>45113</v>
      </c>
      <c r="C1199" t="s">
        <v>3206</v>
      </c>
      <c r="D1199" t="s">
        <v>3999</v>
      </c>
      <c r="E1199">
        <v>56</v>
      </c>
      <c r="F1199" t="str">
        <f t="shared" si="18"/>
        <v>46+</v>
      </c>
      <c r="G1199" t="s">
        <v>4002</v>
      </c>
      <c r="H1199" t="s">
        <v>4010</v>
      </c>
      <c r="I1199" t="s">
        <v>4013</v>
      </c>
      <c r="J1199">
        <v>5</v>
      </c>
      <c r="K1199">
        <v>190</v>
      </c>
      <c r="L1199">
        <v>0</v>
      </c>
      <c r="M1199">
        <v>950</v>
      </c>
      <c r="N1199">
        <v>0</v>
      </c>
      <c r="O1199">
        <v>950</v>
      </c>
    </row>
    <row r="1200" spans="1:15" x14ac:dyDescent="0.3">
      <c r="A1200" t="s">
        <v>1212</v>
      </c>
      <c r="B1200" s="1">
        <v>44898</v>
      </c>
      <c r="C1200" t="s">
        <v>3207</v>
      </c>
      <c r="D1200" t="s">
        <v>4000</v>
      </c>
      <c r="E1200">
        <v>50</v>
      </c>
      <c r="F1200" t="str">
        <f t="shared" si="18"/>
        <v>46+</v>
      </c>
      <c r="G1200" t="s">
        <v>4006</v>
      </c>
      <c r="H1200" t="s">
        <v>4011</v>
      </c>
      <c r="I1200" t="s">
        <v>4017</v>
      </c>
      <c r="J1200">
        <v>5</v>
      </c>
      <c r="K1200">
        <v>6883</v>
      </c>
      <c r="L1200">
        <v>10</v>
      </c>
      <c r="M1200">
        <v>34415</v>
      </c>
      <c r="N1200">
        <v>3441.5</v>
      </c>
      <c r="O1200">
        <v>30973.5</v>
      </c>
    </row>
    <row r="1201" spans="1:15" x14ac:dyDescent="0.3">
      <c r="A1201" t="s">
        <v>1213</v>
      </c>
      <c r="B1201" s="1">
        <v>45130</v>
      </c>
      <c r="C1201" t="s">
        <v>3208</v>
      </c>
      <c r="D1201" t="s">
        <v>4000</v>
      </c>
      <c r="E1201">
        <v>52</v>
      </c>
      <c r="F1201" t="str">
        <f t="shared" si="18"/>
        <v>46+</v>
      </c>
      <c r="G1201" t="s">
        <v>4001</v>
      </c>
      <c r="H1201" t="s">
        <v>4007</v>
      </c>
      <c r="I1201" t="s">
        <v>4016</v>
      </c>
      <c r="J1201">
        <v>1</v>
      </c>
      <c r="K1201">
        <v>2764</v>
      </c>
      <c r="L1201">
        <v>15</v>
      </c>
      <c r="M1201">
        <v>2764</v>
      </c>
      <c r="N1201">
        <v>414.6</v>
      </c>
      <c r="O1201">
        <v>2349.4</v>
      </c>
    </row>
    <row r="1202" spans="1:15" x14ac:dyDescent="0.3">
      <c r="A1202" t="s">
        <v>1214</v>
      </c>
      <c r="B1202" s="1">
        <v>44894</v>
      </c>
      <c r="C1202" t="s">
        <v>3209</v>
      </c>
      <c r="D1202" t="s">
        <v>3999</v>
      </c>
      <c r="E1202">
        <v>39</v>
      </c>
      <c r="F1202" t="str">
        <f t="shared" si="18"/>
        <v>36-45</v>
      </c>
      <c r="G1202" t="s">
        <v>4003</v>
      </c>
      <c r="H1202" t="s">
        <v>4012</v>
      </c>
      <c r="I1202" t="s">
        <v>4017</v>
      </c>
      <c r="J1202">
        <v>4</v>
      </c>
      <c r="K1202">
        <v>7282</v>
      </c>
      <c r="L1202">
        <v>0</v>
      </c>
      <c r="M1202">
        <v>29128</v>
      </c>
      <c r="N1202">
        <v>0</v>
      </c>
      <c r="O1202">
        <v>29128</v>
      </c>
    </row>
    <row r="1203" spans="1:15" x14ac:dyDescent="0.3">
      <c r="A1203" t="s">
        <v>1215</v>
      </c>
      <c r="B1203" s="1">
        <v>44629</v>
      </c>
      <c r="C1203" t="s">
        <v>3210</v>
      </c>
      <c r="D1203" t="s">
        <v>3999</v>
      </c>
      <c r="E1203">
        <v>60</v>
      </c>
      <c r="F1203" t="str">
        <f t="shared" si="18"/>
        <v>46+</v>
      </c>
      <c r="G1203" t="s">
        <v>4006</v>
      </c>
      <c r="H1203" t="s">
        <v>4007</v>
      </c>
      <c r="I1203" t="s">
        <v>4015</v>
      </c>
      <c r="J1203">
        <v>6</v>
      </c>
      <c r="K1203">
        <v>3759</v>
      </c>
      <c r="L1203">
        <v>0</v>
      </c>
      <c r="M1203">
        <v>22554</v>
      </c>
      <c r="N1203">
        <v>0</v>
      </c>
      <c r="O1203">
        <v>22554</v>
      </c>
    </row>
    <row r="1204" spans="1:15" x14ac:dyDescent="0.3">
      <c r="A1204" t="s">
        <v>1216</v>
      </c>
      <c r="B1204" s="1">
        <v>44646</v>
      </c>
      <c r="C1204" t="s">
        <v>3211</v>
      </c>
      <c r="D1204" t="s">
        <v>4000</v>
      </c>
      <c r="E1204">
        <v>18</v>
      </c>
      <c r="F1204" t="str">
        <f t="shared" si="18"/>
        <v>18-25</v>
      </c>
      <c r="G1204" t="s">
        <v>4002</v>
      </c>
      <c r="H1204" t="s">
        <v>4012</v>
      </c>
      <c r="I1204" t="s">
        <v>4015</v>
      </c>
      <c r="J1204">
        <v>2</v>
      </c>
      <c r="K1204">
        <v>3377</v>
      </c>
      <c r="L1204">
        <v>0</v>
      </c>
      <c r="M1204">
        <v>6754</v>
      </c>
      <c r="N1204">
        <v>0</v>
      </c>
      <c r="O1204">
        <v>6754</v>
      </c>
    </row>
    <row r="1205" spans="1:15" x14ac:dyDescent="0.3">
      <c r="A1205" t="s">
        <v>1217</v>
      </c>
      <c r="B1205" s="1">
        <v>44694</v>
      </c>
      <c r="C1205" t="s">
        <v>3212</v>
      </c>
      <c r="D1205" t="s">
        <v>3999</v>
      </c>
      <c r="E1205">
        <v>40</v>
      </c>
      <c r="F1205" t="str">
        <f t="shared" si="18"/>
        <v>36-45</v>
      </c>
      <c r="G1205" t="s">
        <v>4004</v>
      </c>
      <c r="H1205" t="s">
        <v>4007</v>
      </c>
      <c r="I1205" t="s">
        <v>4013</v>
      </c>
      <c r="J1205">
        <v>7</v>
      </c>
      <c r="K1205">
        <v>627</v>
      </c>
      <c r="L1205">
        <v>10</v>
      </c>
      <c r="M1205">
        <v>4389</v>
      </c>
      <c r="N1205">
        <v>438.9</v>
      </c>
      <c r="O1205">
        <v>3950.1</v>
      </c>
    </row>
    <row r="1206" spans="1:15" x14ac:dyDescent="0.3">
      <c r="A1206" t="s">
        <v>1218</v>
      </c>
      <c r="B1206" s="1">
        <v>45080</v>
      </c>
      <c r="C1206" t="s">
        <v>3213</v>
      </c>
      <c r="D1206" t="s">
        <v>3999</v>
      </c>
      <c r="E1206">
        <v>20</v>
      </c>
      <c r="F1206" t="str">
        <f t="shared" si="18"/>
        <v>18-25</v>
      </c>
      <c r="G1206" t="s">
        <v>4002</v>
      </c>
      <c r="H1206" t="s">
        <v>4010</v>
      </c>
      <c r="I1206" t="s">
        <v>4017</v>
      </c>
      <c r="J1206">
        <v>3</v>
      </c>
      <c r="K1206">
        <v>4487</v>
      </c>
      <c r="L1206">
        <v>5</v>
      </c>
      <c r="M1206">
        <v>13461</v>
      </c>
      <c r="N1206">
        <v>673.05</v>
      </c>
      <c r="O1206">
        <v>12787.95</v>
      </c>
    </row>
    <row r="1207" spans="1:15" x14ac:dyDescent="0.3">
      <c r="A1207" t="s">
        <v>1219</v>
      </c>
      <c r="B1207" s="1">
        <v>45239</v>
      </c>
      <c r="C1207" t="s">
        <v>3214</v>
      </c>
      <c r="D1207" t="s">
        <v>4000</v>
      </c>
      <c r="E1207">
        <v>47</v>
      </c>
      <c r="F1207" t="str">
        <f t="shared" si="18"/>
        <v>46+</v>
      </c>
      <c r="G1207" t="s">
        <v>4002</v>
      </c>
      <c r="H1207" t="s">
        <v>4007</v>
      </c>
      <c r="I1207" t="s">
        <v>4016</v>
      </c>
      <c r="J1207">
        <v>3</v>
      </c>
      <c r="K1207">
        <v>2036</v>
      </c>
      <c r="L1207">
        <v>0</v>
      </c>
      <c r="M1207">
        <v>6108</v>
      </c>
      <c r="N1207">
        <v>0</v>
      </c>
      <c r="O1207">
        <v>6108</v>
      </c>
    </row>
    <row r="1208" spans="1:15" x14ac:dyDescent="0.3">
      <c r="A1208" t="s">
        <v>1220</v>
      </c>
      <c r="B1208" s="1">
        <v>45208</v>
      </c>
      <c r="C1208" t="s">
        <v>3215</v>
      </c>
      <c r="D1208" t="s">
        <v>4000</v>
      </c>
      <c r="E1208">
        <v>22</v>
      </c>
      <c r="F1208" t="str">
        <f t="shared" si="18"/>
        <v>18-25</v>
      </c>
      <c r="G1208" t="s">
        <v>4001</v>
      </c>
      <c r="H1208" t="s">
        <v>4007</v>
      </c>
      <c r="I1208" t="s">
        <v>4017</v>
      </c>
      <c r="J1208">
        <v>5</v>
      </c>
      <c r="K1208">
        <v>264</v>
      </c>
      <c r="L1208">
        <v>10</v>
      </c>
      <c r="M1208">
        <v>1320</v>
      </c>
      <c r="N1208">
        <v>132</v>
      </c>
      <c r="O1208">
        <v>1188</v>
      </c>
    </row>
    <row r="1209" spans="1:15" x14ac:dyDescent="0.3">
      <c r="A1209" t="s">
        <v>1221</v>
      </c>
      <c r="B1209" s="1">
        <v>44953</v>
      </c>
      <c r="C1209" t="s">
        <v>3216</v>
      </c>
      <c r="D1209" t="s">
        <v>4000</v>
      </c>
      <c r="E1209">
        <v>31</v>
      </c>
      <c r="F1209" t="str">
        <f t="shared" si="18"/>
        <v>26-35</v>
      </c>
      <c r="G1209" t="s">
        <v>4004</v>
      </c>
      <c r="H1209" t="s">
        <v>4011</v>
      </c>
      <c r="I1209" t="s">
        <v>4016</v>
      </c>
      <c r="J1209">
        <v>5</v>
      </c>
      <c r="K1209">
        <v>5852</v>
      </c>
      <c r="L1209">
        <v>0</v>
      </c>
      <c r="M1209">
        <v>29260</v>
      </c>
      <c r="N1209">
        <v>0</v>
      </c>
      <c r="O1209">
        <v>29260</v>
      </c>
    </row>
    <row r="1210" spans="1:15" x14ac:dyDescent="0.3">
      <c r="A1210" t="s">
        <v>1222</v>
      </c>
      <c r="B1210" s="1">
        <v>44568</v>
      </c>
      <c r="C1210" t="s">
        <v>3217</v>
      </c>
      <c r="D1210" t="s">
        <v>4000</v>
      </c>
      <c r="E1210">
        <v>31</v>
      </c>
      <c r="F1210" t="str">
        <f t="shared" si="18"/>
        <v>26-35</v>
      </c>
      <c r="G1210" t="s">
        <v>4005</v>
      </c>
      <c r="H1210" t="s">
        <v>4011</v>
      </c>
      <c r="I1210" t="s">
        <v>4017</v>
      </c>
      <c r="J1210">
        <v>4</v>
      </c>
      <c r="K1210">
        <v>366</v>
      </c>
      <c r="L1210">
        <v>15</v>
      </c>
      <c r="M1210">
        <v>1464</v>
      </c>
      <c r="N1210">
        <v>219.6</v>
      </c>
      <c r="O1210">
        <v>1244.4000000000001</v>
      </c>
    </row>
    <row r="1211" spans="1:15" x14ac:dyDescent="0.3">
      <c r="A1211" t="s">
        <v>1223</v>
      </c>
      <c r="B1211" s="1">
        <v>44614</v>
      </c>
      <c r="C1211" t="s">
        <v>3218</v>
      </c>
      <c r="D1211" t="s">
        <v>4000</v>
      </c>
      <c r="E1211">
        <v>36</v>
      </c>
      <c r="F1211" t="str">
        <f t="shared" si="18"/>
        <v>36-45</v>
      </c>
      <c r="G1211" t="s">
        <v>4001</v>
      </c>
      <c r="H1211" t="s">
        <v>4011</v>
      </c>
      <c r="I1211" t="s">
        <v>4017</v>
      </c>
      <c r="J1211">
        <v>3</v>
      </c>
      <c r="K1211">
        <v>2771</v>
      </c>
      <c r="L1211">
        <v>5</v>
      </c>
      <c r="M1211">
        <v>8313</v>
      </c>
      <c r="N1211">
        <v>415.65</v>
      </c>
      <c r="O1211">
        <v>7897.35</v>
      </c>
    </row>
    <row r="1212" spans="1:15" x14ac:dyDescent="0.3">
      <c r="A1212" t="s">
        <v>1224</v>
      </c>
      <c r="B1212" s="1">
        <v>44979</v>
      </c>
      <c r="C1212" t="s">
        <v>3219</v>
      </c>
      <c r="D1212" t="s">
        <v>4000</v>
      </c>
      <c r="E1212">
        <v>20</v>
      </c>
      <c r="F1212" t="str">
        <f t="shared" si="18"/>
        <v>18-25</v>
      </c>
      <c r="G1212" t="s">
        <v>4005</v>
      </c>
      <c r="H1212" t="s">
        <v>4007</v>
      </c>
      <c r="I1212" t="s">
        <v>4017</v>
      </c>
      <c r="J1212">
        <v>1</v>
      </c>
      <c r="K1212">
        <v>1405</v>
      </c>
      <c r="L1212">
        <v>5</v>
      </c>
      <c r="M1212">
        <v>1405</v>
      </c>
      <c r="N1212">
        <v>70.25</v>
      </c>
      <c r="O1212">
        <v>1334.75</v>
      </c>
    </row>
    <row r="1213" spans="1:15" x14ac:dyDescent="0.3">
      <c r="A1213" t="s">
        <v>1225</v>
      </c>
      <c r="B1213" s="1">
        <v>45248</v>
      </c>
      <c r="C1213" t="s">
        <v>3220</v>
      </c>
      <c r="D1213" t="s">
        <v>4000</v>
      </c>
      <c r="E1213">
        <v>64</v>
      </c>
      <c r="F1213" t="str">
        <f t="shared" si="18"/>
        <v>46+</v>
      </c>
      <c r="G1213" t="s">
        <v>4003</v>
      </c>
      <c r="H1213" t="s">
        <v>4009</v>
      </c>
      <c r="I1213" t="s">
        <v>4015</v>
      </c>
      <c r="J1213">
        <v>3</v>
      </c>
      <c r="K1213">
        <v>662</v>
      </c>
      <c r="L1213">
        <v>10</v>
      </c>
      <c r="M1213">
        <v>1986</v>
      </c>
      <c r="N1213">
        <v>198.6</v>
      </c>
      <c r="O1213">
        <v>1787.4</v>
      </c>
    </row>
    <row r="1214" spans="1:15" x14ac:dyDescent="0.3">
      <c r="A1214" t="s">
        <v>1226</v>
      </c>
      <c r="B1214" s="1">
        <v>44842</v>
      </c>
      <c r="C1214" t="s">
        <v>3221</v>
      </c>
      <c r="D1214" t="s">
        <v>4000</v>
      </c>
      <c r="E1214">
        <v>22</v>
      </c>
      <c r="F1214" t="str">
        <f t="shared" si="18"/>
        <v>18-25</v>
      </c>
      <c r="G1214" t="s">
        <v>4003</v>
      </c>
      <c r="H1214" t="s">
        <v>4010</v>
      </c>
      <c r="I1214" t="s">
        <v>4016</v>
      </c>
      <c r="J1214">
        <v>5</v>
      </c>
      <c r="K1214">
        <v>2430</v>
      </c>
      <c r="L1214">
        <v>5</v>
      </c>
      <c r="M1214">
        <v>12150</v>
      </c>
      <c r="N1214">
        <v>607.5</v>
      </c>
      <c r="O1214">
        <v>11542.5</v>
      </c>
    </row>
    <row r="1215" spans="1:15" x14ac:dyDescent="0.3">
      <c r="A1215" t="s">
        <v>1227</v>
      </c>
      <c r="B1215" s="1">
        <v>45072</v>
      </c>
      <c r="C1215" t="s">
        <v>3222</v>
      </c>
      <c r="D1215" t="s">
        <v>3999</v>
      </c>
      <c r="E1215">
        <v>23</v>
      </c>
      <c r="F1215" t="str">
        <f t="shared" si="18"/>
        <v>18-25</v>
      </c>
      <c r="G1215" t="s">
        <v>4001</v>
      </c>
      <c r="H1215" t="s">
        <v>4009</v>
      </c>
      <c r="I1215" t="s">
        <v>4013</v>
      </c>
      <c r="J1215">
        <v>4</v>
      </c>
      <c r="K1215">
        <v>1676</v>
      </c>
      <c r="L1215">
        <v>5</v>
      </c>
      <c r="M1215">
        <v>6704</v>
      </c>
      <c r="N1215">
        <v>335.2</v>
      </c>
      <c r="O1215">
        <v>6368.8</v>
      </c>
    </row>
    <row r="1216" spans="1:15" x14ac:dyDescent="0.3">
      <c r="A1216" t="s">
        <v>1228</v>
      </c>
      <c r="B1216" s="1">
        <v>44610</v>
      </c>
      <c r="C1216" t="s">
        <v>3223</v>
      </c>
      <c r="D1216" t="s">
        <v>3999</v>
      </c>
      <c r="E1216">
        <v>30</v>
      </c>
      <c r="F1216" t="str">
        <f t="shared" si="18"/>
        <v>26-35</v>
      </c>
      <c r="G1216" t="s">
        <v>4003</v>
      </c>
      <c r="H1216" t="s">
        <v>4012</v>
      </c>
      <c r="I1216" t="s">
        <v>4016</v>
      </c>
      <c r="J1216">
        <v>1</v>
      </c>
      <c r="K1216">
        <v>7662</v>
      </c>
      <c r="L1216">
        <v>10</v>
      </c>
      <c r="M1216">
        <v>7662</v>
      </c>
      <c r="N1216">
        <v>766.2</v>
      </c>
      <c r="O1216">
        <v>6895.8</v>
      </c>
    </row>
    <row r="1217" spans="1:15" x14ac:dyDescent="0.3">
      <c r="A1217" t="s">
        <v>1229</v>
      </c>
      <c r="B1217" s="1">
        <v>44684</v>
      </c>
      <c r="C1217" t="s">
        <v>3224</v>
      </c>
      <c r="D1217" t="s">
        <v>4000</v>
      </c>
      <c r="E1217">
        <v>54</v>
      </c>
      <c r="F1217" t="str">
        <f t="shared" si="18"/>
        <v>46+</v>
      </c>
      <c r="G1217" t="s">
        <v>4005</v>
      </c>
      <c r="H1217" t="s">
        <v>4011</v>
      </c>
      <c r="I1217" t="s">
        <v>4014</v>
      </c>
      <c r="J1217">
        <v>3</v>
      </c>
      <c r="K1217">
        <v>5754</v>
      </c>
      <c r="L1217">
        <v>10</v>
      </c>
      <c r="M1217">
        <v>17262</v>
      </c>
      <c r="N1217">
        <v>1726.2</v>
      </c>
      <c r="O1217">
        <v>15535.8</v>
      </c>
    </row>
    <row r="1218" spans="1:15" x14ac:dyDescent="0.3">
      <c r="A1218" t="s">
        <v>1230</v>
      </c>
      <c r="B1218" s="1">
        <v>45071</v>
      </c>
      <c r="C1218" t="s">
        <v>3225</v>
      </c>
      <c r="D1218" t="s">
        <v>4000</v>
      </c>
      <c r="E1218">
        <v>37</v>
      </c>
      <c r="F1218" t="str">
        <f t="shared" ref="F1218:F1281" si="19">IF(E1218&lt;=25,"18-25",IF(E1218&lt;=35,"26-35",IF(E1218&lt;=45,"36-45","46+")))</f>
        <v>36-45</v>
      </c>
      <c r="G1218" t="s">
        <v>4004</v>
      </c>
      <c r="H1218" t="s">
        <v>4008</v>
      </c>
      <c r="I1218" t="s">
        <v>4016</v>
      </c>
      <c r="J1218">
        <v>1</v>
      </c>
      <c r="K1218">
        <v>6676</v>
      </c>
      <c r="L1218">
        <v>10</v>
      </c>
      <c r="M1218">
        <v>6676</v>
      </c>
      <c r="N1218">
        <v>667.6</v>
      </c>
      <c r="O1218">
        <v>6008.4</v>
      </c>
    </row>
    <row r="1219" spans="1:15" x14ac:dyDescent="0.3">
      <c r="A1219" t="s">
        <v>1231</v>
      </c>
      <c r="B1219" s="1">
        <v>45217</v>
      </c>
      <c r="C1219" t="s">
        <v>3226</v>
      </c>
      <c r="D1219" t="s">
        <v>3999</v>
      </c>
      <c r="E1219">
        <v>43</v>
      </c>
      <c r="F1219" t="str">
        <f t="shared" si="19"/>
        <v>36-45</v>
      </c>
      <c r="G1219" t="s">
        <v>4002</v>
      </c>
      <c r="H1219" t="s">
        <v>4012</v>
      </c>
      <c r="I1219" t="s">
        <v>4014</v>
      </c>
      <c r="J1219">
        <v>4</v>
      </c>
      <c r="K1219">
        <v>1819</v>
      </c>
      <c r="L1219">
        <v>0</v>
      </c>
      <c r="M1219">
        <v>7276</v>
      </c>
      <c r="N1219">
        <v>0</v>
      </c>
      <c r="O1219">
        <v>7276</v>
      </c>
    </row>
    <row r="1220" spans="1:15" x14ac:dyDescent="0.3">
      <c r="A1220" t="s">
        <v>1232</v>
      </c>
      <c r="B1220" s="1">
        <v>45183</v>
      </c>
      <c r="C1220" t="s">
        <v>3227</v>
      </c>
      <c r="D1220" t="s">
        <v>4000</v>
      </c>
      <c r="E1220">
        <v>30</v>
      </c>
      <c r="F1220" t="str">
        <f t="shared" si="19"/>
        <v>26-35</v>
      </c>
      <c r="G1220" t="s">
        <v>4003</v>
      </c>
      <c r="H1220" t="s">
        <v>4007</v>
      </c>
      <c r="I1220" t="s">
        <v>4013</v>
      </c>
      <c r="J1220">
        <v>2</v>
      </c>
      <c r="K1220">
        <v>6558</v>
      </c>
      <c r="L1220">
        <v>5</v>
      </c>
      <c r="M1220">
        <v>13116</v>
      </c>
      <c r="N1220">
        <v>655.8</v>
      </c>
      <c r="O1220">
        <v>12460.2</v>
      </c>
    </row>
    <row r="1221" spans="1:15" x14ac:dyDescent="0.3">
      <c r="A1221" t="s">
        <v>1233</v>
      </c>
      <c r="B1221" s="1">
        <v>44797</v>
      </c>
      <c r="C1221" t="s">
        <v>3228</v>
      </c>
      <c r="D1221" t="s">
        <v>4000</v>
      </c>
      <c r="E1221">
        <v>49</v>
      </c>
      <c r="F1221" t="str">
        <f t="shared" si="19"/>
        <v>46+</v>
      </c>
      <c r="G1221" t="s">
        <v>4002</v>
      </c>
      <c r="H1221" t="s">
        <v>4010</v>
      </c>
      <c r="I1221" t="s">
        <v>4013</v>
      </c>
      <c r="J1221">
        <v>7</v>
      </c>
      <c r="K1221">
        <v>5809</v>
      </c>
      <c r="L1221">
        <v>20</v>
      </c>
      <c r="M1221">
        <v>40663</v>
      </c>
      <c r="N1221">
        <v>8132.6</v>
      </c>
      <c r="O1221">
        <v>32530.400000000001</v>
      </c>
    </row>
    <row r="1222" spans="1:15" x14ac:dyDescent="0.3">
      <c r="A1222" t="s">
        <v>1234</v>
      </c>
      <c r="B1222" s="1">
        <v>45153</v>
      </c>
      <c r="C1222" t="s">
        <v>3229</v>
      </c>
      <c r="D1222" t="s">
        <v>4000</v>
      </c>
      <c r="E1222">
        <v>47</v>
      </c>
      <c r="F1222" t="str">
        <f t="shared" si="19"/>
        <v>46+</v>
      </c>
      <c r="G1222" t="s">
        <v>4004</v>
      </c>
      <c r="H1222" t="s">
        <v>4011</v>
      </c>
      <c r="I1222" t="s">
        <v>4017</v>
      </c>
      <c r="J1222">
        <v>6</v>
      </c>
      <c r="K1222">
        <v>501</v>
      </c>
      <c r="L1222">
        <v>0</v>
      </c>
      <c r="M1222">
        <v>3006</v>
      </c>
      <c r="N1222">
        <v>0</v>
      </c>
      <c r="O1222">
        <v>3006</v>
      </c>
    </row>
    <row r="1223" spans="1:15" x14ac:dyDescent="0.3">
      <c r="A1223" t="s">
        <v>1235</v>
      </c>
      <c r="B1223" s="1">
        <v>44807</v>
      </c>
      <c r="C1223" t="s">
        <v>3230</v>
      </c>
      <c r="D1223" t="s">
        <v>4000</v>
      </c>
      <c r="E1223">
        <v>41</v>
      </c>
      <c r="F1223" t="str">
        <f t="shared" si="19"/>
        <v>36-45</v>
      </c>
      <c r="G1223" t="s">
        <v>4003</v>
      </c>
      <c r="H1223" t="s">
        <v>4008</v>
      </c>
      <c r="I1223" t="s">
        <v>4015</v>
      </c>
      <c r="J1223">
        <v>7</v>
      </c>
      <c r="K1223">
        <v>4627</v>
      </c>
      <c r="L1223">
        <v>15</v>
      </c>
      <c r="M1223">
        <v>32389</v>
      </c>
      <c r="N1223">
        <v>4858.3500000000004</v>
      </c>
      <c r="O1223">
        <v>27530.65</v>
      </c>
    </row>
    <row r="1224" spans="1:15" x14ac:dyDescent="0.3">
      <c r="A1224" t="s">
        <v>1236</v>
      </c>
      <c r="B1224" s="1">
        <v>44883</v>
      </c>
      <c r="C1224" t="s">
        <v>3231</v>
      </c>
      <c r="D1224" t="s">
        <v>3999</v>
      </c>
      <c r="E1224">
        <v>29</v>
      </c>
      <c r="F1224" t="str">
        <f t="shared" si="19"/>
        <v>26-35</v>
      </c>
      <c r="G1224" t="s">
        <v>4005</v>
      </c>
      <c r="H1224" t="s">
        <v>4012</v>
      </c>
      <c r="I1224" t="s">
        <v>4015</v>
      </c>
      <c r="J1224">
        <v>2</v>
      </c>
      <c r="K1224">
        <v>6761</v>
      </c>
      <c r="L1224">
        <v>10</v>
      </c>
      <c r="M1224">
        <v>13522</v>
      </c>
      <c r="N1224">
        <v>1352.2</v>
      </c>
      <c r="O1224">
        <v>12169.8</v>
      </c>
    </row>
    <row r="1225" spans="1:15" x14ac:dyDescent="0.3">
      <c r="A1225" t="s">
        <v>1237</v>
      </c>
      <c r="B1225" s="1">
        <v>45043</v>
      </c>
      <c r="C1225" t="s">
        <v>3232</v>
      </c>
      <c r="D1225" t="s">
        <v>4000</v>
      </c>
      <c r="E1225">
        <v>44</v>
      </c>
      <c r="F1225" t="str">
        <f t="shared" si="19"/>
        <v>36-45</v>
      </c>
      <c r="G1225" t="s">
        <v>4002</v>
      </c>
      <c r="H1225" t="s">
        <v>4009</v>
      </c>
      <c r="I1225" t="s">
        <v>4016</v>
      </c>
      <c r="J1225">
        <v>2</v>
      </c>
      <c r="K1225">
        <v>2555</v>
      </c>
      <c r="L1225">
        <v>0</v>
      </c>
      <c r="M1225">
        <v>5110</v>
      </c>
      <c r="N1225">
        <v>0</v>
      </c>
      <c r="O1225">
        <v>5110</v>
      </c>
    </row>
    <row r="1226" spans="1:15" x14ac:dyDescent="0.3">
      <c r="A1226" t="s">
        <v>1238</v>
      </c>
      <c r="B1226" s="1">
        <v>45067</v>
      </c>
      <c r="C1226" t="s">
        <v>3233</v>
      </c>
      <c r="D1226" t="s">
        <v>3999</v>
      </c>
      <c r="E1226">
        <v>42</v>
      </c>
      <c r="F1226" t="str">
        <f t="shared" si="19"/>
        <v>36-45</v>
      </c>
      <c r="G1226" t="s">
        <v>4003</v>
      </c>
      <c r="H1226" t="s">
        <v>4007</v>
      </c>
      <c r="I1226" t="s">
        <v>4015</v>
      </c>
      <c r="J1226">
        <v>7</v>
      </c>
      <c r="K1226">
        <v>1267</v>
      </c>
      <c r="L1226">
        <v>10</v>
      </c>
      <c r="M1226">
        <v>8869</v>
      </c>
      <c r="N1226">
        <v>886.9</v>
      </c>
      <c r="O1226">
        <v>7982.1</v>
      </c>
    </row>
    <row r="1227" spans="1:15" x14ac:dyDescent="0.3">
      <c r="A1227" t="s">
        <v>1239</v>
      </c>
      <c r="B1227" s="1">
        <v>44719</v>
      </c>
      <c r="C1227" t="s">
        <v>3234</v>
      </c>
      <c r="D1227" t="s">
        <v>3999</v>
      </c>
      <c r="E1227">
        <v>47</v>
      </c>
      <c r="F1227" t="str">
        <f t="shared" si="19"/>
        <v>46+</v>
      </c>
      <c r="G1227" t="s">
        <v>4003</v>
      </c>
      <c r="H1227" t="s">
        <v>4007</v>
      </c>
      <c r="I1227" t="s">
        <v>4013</v>
      </c>
      <c r="J1227">
        <v>2</v>
      </c>
      <c r="K1227">
        <v>1151</v>
      </c>
      <c r="L1227">
        <v>0</v>
      </c>
      <c r="M1227">
        <v>2302</v>
      </c>
      <c r="N1227">
        <v>0</v>
      </c>
      <c r="O1227">
        <v>2302</v>
      </c>
    </row>
    <row r="1228" spans="1:15" x14ac:dyDescent="0.3">
      <c r="A1228" t="s">
        <v>1240</v>
      </c>
      <c r="B1228" s="1">
        <v>44845</v>
      </c>
      <c r="C1228" t="s">
        <v>3235</v>
      </c>
      <c r="D1228" t="s">
        <v>3999</v>
      </c>
      <c r="E1228">
        <v>35</v>
      </c>
      <c r="F1228" t="str">
        <f t="shared" si="19"/>
        <v>26-35</v>
      </c>
      <c r="G1228" t="s">
        <v>4004</v>
      </c>
      <c r="H1228" t="s">
        <v>4007</v>
      </c>
      <c r="I1228" t="s">
        <v>4017</v>
      </c>
      <c r="J1228">
        <v>4</v>
      </c>
      <c r="K1228">
        <v>5412</v>
      </c>
      <c r="L1228">
        <v>0</v>
      </c>
      <c r="M1228">
        <v>21648</v>
      </c>
      <c r="N1228">
        <v>0</v>
      </c>
      <c r="O1228">
        <v>21648</v>
      </c>
    </row>
    <row r="1229" spans="1:15" x14ac:dyDescent="0.3">
      <c r="A1229" t="s">
        <v>1241</v>
      </c>
      <c r="B1229" s="1">
        <v>44864</v>
      </c>
      <c r="C1229" t="s">
        <v>3236</v>
      </c>
      <c r="D1229" t="s">
        <v>4000</v>
      </c>
      <c r="E1229">
        <v>47</v>
      </c>
      <c r="F1229" t="str">
        <f t="shared" si="19"/>
        <v>46+</v>
      </c>
      <c r="G1229" t="s">
        <v>4001</v>
      </c>
      <c r="H1229" t="s">
        <v>4009</v>
      </c>
      <c r="I1229" t="s">
        <v>4017</v>
      </c>
      <c r="J1229">
        <v>5</v>
      </c>
      <c r="K1229">
        <v>6326</v>
      </c>
      <c r="L1229">
        <v>0</v>
      </c>
      <c r="M1229">
        <v>31630</v>
      </c>
      <c r="N1229">
        <v>0</v>
      </c>
      <c r="O1229">
        <v>31630</v>
      </c>
    </row>
    <row r="1230" spans="1:15" x14ac:dyDescent="0.3">
      <c r="A1230" t="s">
        <v>1242</v>
      </c>
      <c r="B1230" s="1">
        <v>45254</v>
      </c>
      <c r="C1230" t="s">
        <v>3237</v>
      </c>
      <c r="D1230" t="s">
        <v>4000</v>
      </c>
      <c r="E1230">
        <v>42</v>
      </c>
      <c r="F1230" t="str">
        <f t="shared" si="19"/>
        <v>36-45</v>
      </c>
      <c r="G1230" t="s">
        <v>4002</v>
      </c>
      <c r="H1230" t="s">
        <v>4010</v>
      </c>
      <c r="I1230" t="s">
        <v>4013</v>
      </c>
      <c r="J1230">
        <v>7</v>
      </c>
      <c r="K1230">
        <v>3378</v>
      </c>
      <c r="L1230">
        <v>0</v>
      </c>
      <c r="M1230">
        <v>23646</v>
      </c>
      <c r="N1230">
        <v>0</v>
      </c>
      <c r="O1230">
        <v>23646</v>
      </c>
    </row>
    <row r="1231" spans="1:15" x14ac:dyDescent="0.3">
      <c r="A1231" t="s">
        <v>1243</v>
      </c>
      <c r="B1231" s="1">
        <v>45024</v>
      </c>
      <c r="C1231" t="s">
        <v>3238</v>
      </c>
      <c r="D1231" t="s">
        <v>3999</v>
      </c>
      <c r="E1231">
        <v>50</v>
      </c>
      <c r="F1231" t="str">
        <f t="shared" si="19"/>
        <v>46+</v>
      </c>
      <c r="G1231" t="s">
        <v>4001</v>
      </c>
      <c r="H1231" t="s">
        <v>4007</v>
      </c>
      <c r="I1231" t="s">
        <v>4017</v>
      </c>
      <c r="J1231">
        <v>6</v>
      </c>
      <c r="K1231">
        <v>7512</v>
      </c>
      <c r="L1231">
        <v>10</v>
      </c>
      <c r="M1231">
        <v>45072</v>
      </c>
      <c r="N1231">
        <v>4507.2</v>
      </c>
      <c r="O1231">
        <v>40564.800000000003</v>
      </c>
    </row>
    <row r="1232" spans="1:15" x14ac:dyDescent="0.3">
      <c r="A1232" t="s">
        <v>1244</v>
      </c>
      <c r="B1232" s="1">
        <v>44693</v>
      </c>
      <c r="C1232" t="s">
        <v>3239</v>
      </c>
      <c r="D1232" t="s">
        <v>4000</v>
      </c>
      <c r="E1232">
        <v>47</v>
      </c>
      <c r="F1232" t="str">
        <f t="shared" si="19"/>
        <v>46+</v>
      </c>
      <c r="G1232" t="s">
        <v>4003</v>
      </c>
      <c r="H1232" t="s">
        <v>4007</v>
      </c>
      <c r="I1232" t="s">
        <v>4017</v>
      </c>
      <c r="J1232">
        <v>2</v>
      </c>
      <c r="K1232">
        <v>2078</v>
      </c>
      <c r="L1232">
        <v>5</v>
      </c>
      <c r="M1232">
        <v>4156</v>
      </c>
      <c r="N1232">
        <v>207.8</v>
      </c>
      <c r="O1232">
        <v>3948.2</v>
      </c>
    </row>
    <row r="1233" spans="1:15" x14ac:dyDescent="0.3">
      <c r="A1233" t="s">
        <v>1245</v>
      </c>
      <c r="B1233" s="1">
        <v>44717</v>
      </c>
      <c r="C1233" t="s">
        <v>3240</v>
      </c>
      <c r="D1233" t="s">
        <v>4000</v>
      </c>
      <c r="E1233">
        <v>31</v>
      </c>
      <c r="F1233" t="str">
        <f t="shared" si="19"/>
        <v>26-35</v>
      </c>
      <c r="G1233" t="s">
        <v>4001</v>
      </c>
      <c r="H1233" t="s">
        <v>4011</v>
      </c>
      <c r="I1233" t="s">
        <v>4017</v>
      </c>
      <c r="J1233">
        <v>1</v>
      </c>
      <c r="K1233">
        <v>2106</v>
      </c>
      <c r="L1233">
        <v>0</v>
      </c>
      <c r="M1233">
        <v>2106</v>
      </c>
      <c r="N1233">
        <v>0</v>
      </c>
      <c r="O1233">
        <v>2106</v>
      </c>
    </row>
    <row r="1234" spans="1:15" x14ac:dyDescent="0.3">
      <c r="A1234" t="s">
        <v>1246</v>
      </c>
      <c r="B1234" s="1">
        <v>45218</v>
      </c>
      <c r="C1234" t="s">
        <v>3241</v>
      </c>
      <c r="D1234" t="s">
        <v>3999</v>
      </c>
      <c r="E1234">
        <v>42</v>
      </c>
      <c r="F1234" t="str">
        <f t="shared" si="19"/>
        <v>36-45</v>
      </c>
      <c r="G1234" t="s">
        <v>4002</v>
      </c>
      <c r="H1234" t="s">
        <v>4011</v>
      </c>
      <c r="I1234" t="s">
        <v>4015</v>
      </c>
      <c r="J1234">
        <v>2</v>
      </c>
      <c r="K1234">
        <v>1486</v>
      </c>
      <c r="L1234">
        <v>0</v>
      </c>
      <c r="M1234">
        <v>2972</v>
      </c>
      <c r="N1234">
        <v>0</v>
      </c>
      <c r="O1234">
        <v>2972</v>
      </c>
    </row>
    <row r="1235" spans="1:15" x14ac:dyDescent="0.3">
      <c r="A1235" t="s">
        <v>1247</v>
      </c>
      <c r="B1235" s="1">
        <v>44808</v>
      </c>
      <c r="C1235" t="s">
        <v>3242</v>
      </c>
      <c r="D1235" t="s">
        <v>3999</v>
      </c>
      <c r="E1235">
        <v>40</v>
      </c>
      <c r="F1235" t="str">
        <f t="shared" si="19"/>
        <v>36-45</v>
      </c>
      <c r="G1235" t="s">
        <v>4001</v>
      </c>
      <c r="H1235" t="s">
        <v>4012</v>
      </c>
      <c r="I1235" t="s">
        <v>4014</v>
      </c>
      <c r="J1235">
        <v>4</v>
      </c>
      <c r="K1235">
        <v>3713</v>
      </c>
      <c r="L1235">
        <v>5</v>
      </c>
      <c r="M1235">
        <v>14852</v>
      </c>
      <c r="N1235">
        <v>742.6</v>
      </c>
      <c r="O1235">
        <v>14109.4</v>
      </c>
    </row>
    <row r="1236" spans="1:15" x14ac:dyDescent="0.3">
      <c r="A1236" t="s">
        <v>1248</v>
      </c>
      <c r="B1236" s="1">
        <v>44749</v>
      </c>
      <c r="C1236" t="s">
        <v>3243</v>
      </c>
      <c r="D1236" t="s">
        <v>4000</v>
      </c>
      <c r="E1236">
        <v>22</v>
      </c>
      <c r="F1236" t="str">
        <f t="shared" si="19"/>
        <v>18-25</v>
      </c>
      <c r="G1236" t="s">
        <v>4006</v>
      </c>
      <c r="H1236" t="s">
        <v>4008</v>
      </c>
      <c r="I1236" t="s">
        <v>4015</v>
      </c>
      <c r="J1236">
        <v>1</v>
      </c>
      <c r="K1236">
        <v>5983</v>
      </c>
      <c r="L1236">
        <v>15</v>
      </c>
      <c r="M1236">
        <v>5983</v>
      </c>
      <c r="N1236">
        <v>897.45</v>
      </c>
      <c r="O1236">
        <v>5085.55</v>
      </c>
    </row>
    <row r="1237" spans="1:15" x14ac:dyDescent="0.3">
      <c r="A1237" t="s">
        <v>1249</v>
      </c>
      <c r="B1237" s="1">
        <v>44642</v>
      </c>
      <c r="C1237" t="s">
        <v>3244</v>
      </c>
      <c r="D1237" t="s">
        <v>3999</v>
      </c>
      <c r="E1237">
        <v>53</v>
      </c>
      <c r="F1237" t="str">
        <f t="shared" si="19"/>
        <v>46+</v>
      </c>
      <c r="G1237" t="s">
        <v>4004</v>
      </c>
      <c r="H1237" t="s">
        <v>4009</v>
      </c>
      <c r="I1237" t="s">
        <v>4013</v>
      </c>
      <c r="J1237">
        <v>4</v>
      </c>
      <c r="K1237">
        <v>7678</v>
      </c>
      <c r="L1237">
        <v>10</v>
      </c>
      <c r="M1237">
        <v>30712</v>
      </c>
      <c r="N1237">
        <v>3071.2</v>
      </c>
      <c r="O1237">
        <v>27640.799999999999</v>
      </c>
    </row>
    <row r="1238" spans="1:15" x14ac:dyDescent="0.3">
      <c r="A1238" t="s">
        <v>1250</v>
      </c>
      <c r="B1238" s="1">
        <v>44889</v>
      </c>
      <c r="C1238" t="s">
        <v>3245</v>
      </c>
      <c r="D1238" t="s">
        <v>3999</v>
      </c>
      <c r="E1238">
        <v>27</v>
      </c>
      <c r="F1238" t="str">
        <f t="shared" si="19"/>
        <v>26-35</v>
      </c>
      <c r="G1238" t="s">
        <v>4002</v>
      </c>
      <c r="H1238" t="s">
        <v>4009</v>
      </c>
      <c r="I1238" t="s">
        <v>4015</v>
      </c>
      <c r="J1238">
        <v>3</v>
      </c>
      <c r="K1238">
        <v>2329</v>
      </c>
      <c r="L1238">
        <v>10</v>
      </c>
      <c r="M1238">
        <v>6987</v>
      </c>
      <c r="N1238">
        <v>698.7</v>
      </c>
      <c r="O1238">
        <v>6288.3</v>
      </c>
    </row>
    <row r="1239" spans="1:15" x14ac:dyDescent="0.3">
      <c r="A1239" t="s">
        <v>1251</v>
      </c>
      <c r="B1239" s="1">
        <v>44802</v>
      </c>
      <c r="C1239" t="s">
        <v>3246</v>
      </c>
      <c r="D1239" t="s">
        <v>4000</v>
      </c>
      <c r="E1239">
        <v>41</v>
      </c>
      <c r="F1239" t="str">
        <f t="shared" si="19"/>
        <v>36-45</v>
      </c>
      <c r="G1239" t="s">
        <v>4001</v>
      </c>
      <c r="H1239" t="s">
        <v>4007</v>
      </c>
      <c r="I1239" t="s">
        <v>4016</v>
      </c>
      <c r="J1239">
        <v>2</v>
      </c>
      <c r="K1239">
        <v>4860</v>
      </c>
      <c r="L1239">
        <v>20</v>
      </c>
      <c r="M1239">
        <v>9720</v>
      </c>
      <c r="N1239">
        <v>1944</v>
      </c>
      <c r="O1239">
        <v>7776</v>
      </c>
    </row>
    <row r="1240" spans="1:15" x14ac:dyDescent="0.3">
      <c r="A1240" t="s">
        <v>1252</v>
      </c>
      <c r="B1240" s="1">
        <v>44639</v>
      </c>
      <c r="C1240" t="s">
        <v>3247</v>
      </c>
      <c r="D1240" t="s">
        <v>4000</v>
      </c>
      <c r="E1240">
        <v>29</v>
      </c>
      <c r="F1240" t="str">
        <f t="shared" si="19"/>
        <v>26-35</v>
      </c>
      <c r="G1240" t="s">
        <v>4003</v>
      </c>
      <c r="H1240" t="s">
        <v>4010</v>
      </c>
      <c r="I1240" t="s">
        <v>4016</v>
      </c>
      <c r="J1240">
        <v>6</v>
      </c>
      <c r="K1240">
        <v>5600</v>
      </c>
      <c r="L1240">
        <v>10</v>
      </c>
      <c r="M1240">
        <v>33600</v>
      </c>
      <c r="N1240">
        <v>3360</v>
      </c>
      <c r="O1240">
        <v>30240</v>
      </c>
    </row>
    <row r="1241" spans="1:15" x14ac:dyDescent="0.3">
      <c r="A1241" t="s">
        <v>1253</v>
      </c>
      <c r="B1241" s="1">
        <v>44812</v>
      </c>
      <c r="C1241" t="s">
        <v>3248</v>
      </c>
      <c r="D1241" t="s">
        <v>4000</v>
      </c>
      <c r="E1241">
        <v>45</v>
      </c>
      <c r="F1241" t="str">
        <f t="shared" si="19"/>
        <v>36-45</v>
      </c>
      <c r="G1241" t="s">
        <v>4006</v>
      </c>
      <c r="H1241" t="s">
        <v>4008</v>
      </c>
      <c r="I1241" t="s">
        <v>4013</v>
      </c>
      <c r="J1241">
        <v>4</v>
      </c>
      <c r="K1241">
        <v>944</v>
      </c>
      <c r="L1241">
        <v>5</v>
      </c>
      <c r="M1241">
        <v>3776</v>
      </c>
      <c r="N1241">
        <v>188.8</v>
      </c>
      <c r="O1241">
        <v>3587.2</v>
      </c>
    </row>
    <row r="1242" spans="1:15" x14ac:dyDescent="0.3">
      <c r="A1242" t="s">
        <v>1254</v>
      </c>
      <c r="B1242" s="1">
        <v>45092</v>
      </c>
      <c r="C1242" t="s">
        <v>3249</v>
      </c>
      <c r="D1242" t="s">
        <v>3999</v>
      </c>
      <c r="E1242">
        <v>62</v>
      </c>
      <c r="F1242" t="str">
        <f t="shared" si="19"/>
        <v>46+</v>
      </c>
      <c r="G1242" t="s">
        <v>4001</v>
      </c>
      <c r="H1242" t="s">
        <v>4007</v>
      </c>
      <c r="I1242" t="s">
        <v>4017</v>
      </c>
      <c r="J1242">
        <v>4</v>
      </c>
      <c r="K1242">
        <v>3263</v>
      </c>
      <c r="L1242">
        <v>10</v>
      </c>
      <c r="M1242">
        <v>13052</v>
      </c>
      <c r="N1242">
        <v>1305.2</v>
      </c>
      <c r="O1242">
        <v>11746.8</v>
      </c>
    </row>
    <row r="1243" spans="1:15" x14ac:dyDescent="0.3">
      <c r="A1243" t="s">
        <v>1255</v>
      </c>
      <c r="B1243" s="1">
        <v>44827</v>
      </c>
      <c r="C1243" t="s">
        <v>3250</v>
      </c>
      <c r="D1243" t="s">
        <v>3999</v>
      </c>
      <c r="E1243">
        <v>28</v>
      </c>
      <c r="F1243" t="str">
        <f t="shared" si="19"/>
        <v>26-35</v>
      </c>
      <c r="G1243" t="s">
        <v>4005</v>
      </c>
      <c r="H1243" t="s">
        <v>4007</v>
      </c>
      <c r="I1243" t="s">
        <v>4017</v>
      </c>
      <c r="J1243">
        <v>2</v>
      </c>
      <c r="K1243">
        <v>790</v>
      </c>
      <c r="L1243">
        <v>0</v>
      </c>
      <c r="M1243">
        <v>1580</v>
      </c>
      <c r="N1243">
        <v>0</v>
      </c>
      <c r="O1243">
        <v>1580</v>
      </c>
    </row>
    <row r="1244" spans="1:15" x14ac:dyDescent="0.3">
      <c r="A1244" t="s">
        <v>1256</v>
      </c>
      <c r="B1244" s="1">
        <v>44688</v>
      </c>
      <c r="C1244" t="s">
        <v>3251</v>
      </c>
      <c r="D1244" t="s">
        <v>4000</v>
      </c>
      <c r="E1244">
        <v>45</v>
      </c>
      <c r="F1244" t="str">
        <f t="shared" si="19"/>
        <v>36-45</v>
      </c>
      <c r="G1244" t="s">
        <v>4003</v>
      </c>
      <c r="H1244" t="s">
        <v>4010</v>
      </c>
      <c r="I1244" t="s">
        <v>4015</v>
      </c>
      <c r="J1244">
        <v>4</v>
      </c>
      <c r="K1244">
        <v>3667</v>
      </c>
      <c r="L1244">
        <v>20</v>
      </c>
      <c r="M1244">
        <v>14668</v>
      </c>
      <c r="N1244">
        <v>2933.6</v>
      </c>
      <c r="O1244">
        <v>11734.4</v>
      </c>
    </row>
    <row r="1245" spans="1:15" x14ac:dyDescent="0.3">
      <c r="A1245" t="s">
        <v>1257</v>
      </c>
      <c r="B1245" s="1">
        <v>44827</v>
      </c>
      <c r="C1245" t="s">
        <v>3252</v>
      </c>
      <c r="D1245" t="s">
        <v>3999</v>
      </c>
      <c r="E1245">
        <v>31</v>
      </c>
      <c r="F1245" t="str">
        <f t="shared" si="19"/>
        <v>26-35</v>
      </c>
      <c r="G1245" t="s">
        <v>4006</v>
      </c>
      <c r="H1245" t="s">
        <v>4010</v>
      </c>
      <c r="I1245" t="s">
        <v>4017</v>
      </c>
      <c r="J1245">
        <v>4</v>
      </c>
      <c r="K1245">
        <v>5345</v>
      </c>
      <c r="L1245">
        <v>0</v>
      </c>
      <c r="M1245">
        <v>21380</v>
      </c>
      <c r="N1245">
        <v>0</v>
      </c>
      <c r="O1245">
        <v>21380</v>
      </c>
    </row>
    <row r="1246" spans="1:15" x14ac:dyDescent="0.3">
      <c r="A1246" t="s">
        <v>1258</v>
      </c>
      <c r="B1246" s="1">
        <v>45204</v>
      </c>
      <c r="C1246" t="s">
        <v>3253</v>
      </c>
      <c r="D1246" t="s">
        <v>4000</v>
      </c>
      <c r="E1246">
        <v>27</v>
      </c>
      <c r="F1246" t="str">
        <f t="shared" si="19"/>
        <v>26-35</v>
      </c>
      <c r="G1246" t="s">
        <v>4006</v>
      </c>
      <c r="H1246" t="s">
        <v>4010</v>
      </c>
      <c r="I1246" t="s">
        <v>4016</v>
      </c>
      <c r="J1246">
        <v>5</v>
      </c>
      <c r="K1246">
        <v>1952</v>
      </c>
      <c r="L1246">
        <v>15</v>
      </c>
      <c r="M1246">
        <v>9760</v>
      </c>
      <c r="N1246">
        <v>1464</v>
      </c>
      <c r="O1246">
        <v>8296</v>
      </c>
    </row>
    <row r="1247" spans="1:15" x14ac:dyDescent="0.3">
      <c r="A1247" t="s">
        <v>1259</v>
      </c>
      <c r="B1247" s="1">
        <v>45142</v>
      </c>
      <c r="C1247" t="s">
        <v>3254</v>
      </c>
      <c r="D1247" t="s">
        <v>4000</v>
      </c>
      <c r="E1247">
        <v>21</v>
      </c>
      <c r="F1247" t="str">
        <f t="shared" si="19"/>
        <v>18-25</v>
      </c>
      <c r="G1247" t="s">
        <v>4003</v>
      </c>
      <c r="H1247" t="s">
        <v>4010</v>
      </c>
      <c r="I1247" t="s">
        <v>4015</v>
      </c>
      <c r="J1247">
        <v>4</v>
      </c>
      <c r="K1247">
        <v>5654</v>
      </c>
      <c r="L1247">
        <v>0</v>
      </c>
      <c r="M1247">
        <v>22616</v>
      </c>
      <c r="N1247">
        <v>0</v>
      </c>
      <c r="O1247">
        <v>22616</v>
      </c>
    </row>
    <row r="1248" spans="1:15" x14ac:dyDescent="0.3">
      <c r="A1248" t="s">
        <v>1260</v>
      </c>
      <c r="B1248" s="1">
        <v>44820</v>
      </c>
      <c r="C1248" t="s">
        <v>3255</v>
      </c>
      <c r="D1248" t="s">
        <v>4000</v>
      </c>
      <c r="E1248">
        <v>42</v>
      </c>
      <c r="F1248" t="str">
        <f t="shared" si="19"/>
        <v>36-45</v>
      </c>
      <c r="G1248" t="s">
        <v>4006</v>
      </c>
      <c r="H1248" t="s">
        <v>4010</v>
      </c>
      <c r="I1248" t="s">
        <v>4016</v>
      </c>
      <c r="J1248">
        <v>4</v>
      </c>
      <c r="K1248">
        <v>1659</v>
      </c>
      <c r="L1248">
        <v>0</v>
      </c>
      <c r="M1248">
        <v>6636</v>
      </c>
      <c r="N1248">
        <v>0</v>
      </c>
      <c r="O1248">
        <v>6636</v>
      </c>
    </row>
    <row r="1249" spans="1:15" x14ac:dyDescent="0.3">
      <c r="A1249" t="s">
        <v>1261</v>
      </c>
      <c r="B1249" s="1">
        <v>45040</v>
      </c>
      <c r="C1249" t="s">
        <v>3256</v>
      </c>
      <c r="D1249" t="s">
        <v>3999</v>
      </c>
      <c r="E1249">
        <v>56</v>
      </c>
      <c r="F1249" t="str">
        <f t="shared" si="19"/>
        <v>46+</v>
      </c>
      <c r="G1249" t="s">
        <v>4002</v>
      </c>
      <c r="H1249" t="s">
        <v>4007</v>
      </c>
      <c r="I1249" t="s">
        <v>4016</v>
      </c>
      <c r="J1249">
        <v>1</v>
      </c>
      <c r="K1249">
        <v>5143</v>
      </c>
      <c r="L1249">
        <v>5</v>
      </c>
      <c r="M1249">
        <v>5143</v>
      </c>
      <c r="N1249">
        <v>257.14999999999998</v>
      </c>
      <c r="O1249">
        <v>4885.8500000000004</v>
      </c>
    </row>
    <row r="1250" spans="1:15" x14ac:dyDescent="0.3">
      <c r="A1250" t="s">
        <v>1262</v>
      </c>
      <c r="B1250" s="1">
        <v>44884</v>
      </c>
      <c r="C1250" t="s">
        <v>3257</v>
      </c>
      <c r="D1250" t="s">
        <v>4000</v>
      </c>
      <c r="E1250">
        <v>38</v>
      </c>
      <c r="F1250" t="str">
        <f t="shared" si="19"/>
        <v>36-45</v>
      </c>
      <c r="G1250" t="s">
        <v>4003</v>
      </c>
      <c r="H1250" t="s">
        <v>4009</v>
      </c>
      <c r="I1250" t="s">
        <v>4016</v>
      </c>
      <c r="J1250">
        <v>2</v>
      </c>
      <c r="K1250">
        <v>2902</v>
      </c>
      <c r="L1250">
        <v>0</v>
      </c>
      <c r="M1250">
        <v>5804</v>
      </c>
      <c r="N1250">
        <v>0</v>
      </c>
      <c r="O1250">
        <v>5804</v>
      </c>
    </row>
    <row r="1251" spans="1:15" x14ac:dyDescent="0.3">
      <c r="A1251" t="s">
        <v>1263</v>
      </c>
      <c r="B1251" s="1">
        <v>45268</v>
      </c>
      <c r="C1251" t="s">
        <v>3258</v>
      </c>
      <c r="D1251" t="s">
        <v>3999</v>
      </c>
      <c r="E1251">
        <v>53</v>
      </c>
      <c r="F1251" t="str">
        <f t="shared" si="19"/>
        <v>46+</v>
      </c>
      <c r="G1251" t="s">
        <v>4004</v>
      </c>
      <c r="H1251" t="s">
        <v>4012</v>
      </c>
      <c r="I1251" t="s">
        <v>4017</v>
      </c>
      <c r="J1251">
        <v>1</v>
      </c>
      <c r="K1251">
        <v>3435</v>
      </c>
      <c r="L1251">
        <v>0</v>
      </c>
      <c r="M1251">
        <v>3435</v>
      </c>
      <c r="N1251">
        <v>0</v>
      </c>
      <c r="O1251">
        <v>3435</v>
      </c>
    </row>
    <row r="1252" spans="1:15" x14ac:dyDescent="0.3">
      <c r="A1252" t="s">
        <v>1264</v>
      </c>
      <c r="B1252" s="1">
        <v>44714</v>
      </c>
      <c r="C1252" t="s">
        <v>3259</v>
      </c>
      <c r="D1252" t="s">
        <v>3999</v>
      </c>
      <c r="E1252">
        <v>26</v>
      </c>
      <c r="F1252" t="str">
        <f t="shared" si="19"/>
        <v>26-35</v>
      </c>
      <c r="G1252" t="s">
        <v>4006</v>
      </c>
      <c r="H1252" t="s">
        <v>4007</v>
      </c>
      <c r="I1252" t="s">
        <v>4013</v>
      </c>
      <c r="J1252">
        <v>5</v>
      </c>
      <c r="K1252">
        <v>2470</v>
      </c>
      <c r="L1252">
        <v>5</v>
      </c>
      <c r="M1252">
        <v>12350</v>
      </c>
      <c r="N1252">
        <v>617.5</v>
      </c>
      <c r="O1252">
        <v>11732.5</v>
      </c>
    </row>
    <row r="1253" spans="1:15" x14ac:dyDescent="0.3">
      <c r="A1253" t="s">
        <v>1265</v>
      </c>
      <c r="B1253" s="1">
        <v>44815</v>
      </c>
      <c r="C1253" t="s">
        <v>3260</v>
      </c>
      <c r="D1253" t="s">
        <v>3999</v>
      </c>
      <c r="E1253">
        <v>56</v>
      </c>
      <c r="F1253" t="str">
        <f t="shared" si="19"/>
        <v>46+</v>
      </c>
      <c r="G1253" t="s">
        <v>4005</v>
      </c>
      <c r="H1253" t="s">
        <v>4008</v>
      </c>
      <c r="I1253" t="s">
        <v>4015</v>
      </c>
      <c r="J1253">
        <v>3</v>
      </c>
      <c r="K1253">
        <v>5502</v>
      </c>
      <c r="L1253">
        <v>0</v>
      </c>
      <c r="M1253">
        <v>16506</v>
      </c>
      <c r="N1253">
        <v>0</v>
      </c>
      <c r="O1253">
        <v>16506</v>
      </c>
    </row>
    <row r="1254" spans="1:15" x14ac:dyDescent="0.3">
      <c r="A1254" t="s">
        <v>1266</v>
      </c>
      <c r="B1254" s="1">
        <v>44778</v>
      </c>
      <c r="C1254" t="s">
        <v>3261</v>
      </c>
      <c r="D1254" t="s">
        <v>4000</v>
      </c>
      <c r="E1254">
        <v>61</v>
      </c>
      <c r="F1254" t="str">
        <f t="shared" si="19"/>
        <v>46+</v>
      </c>
      <c r="G1254" t="s">
        <v>4004</v>
      </c>
      <c r="H1254" t="s">
        <v>4008</v>
      </c>
      <c r="I1254" t="s">
        <v>4013</v>
      </c>
      <c r="J1254">
        <v>7</v>
      </c>
      <c r="K1254">
        <v>3215</v>
      </c>
      <c r="L1254">
        <v>5</v>
      </c>
      <c r="M1254">
        <v>22505</v>
      </c>
      <c r="N1254">
        <v>1125.25</v>
      </c>
      <c r="O1254">
        <v>21379.75</v>
      </c>
    </row>
    <row r="1255" spans="1:15" x14ac:dyDescent="0.3">
      <c r="A1255" t="s">
        <v>1267</v>
      </c>
      <c r="B1255" s="1">
        <v>45248</v>
      </c>
      <c r="C1255" t="s">
        <v>3262</v>
      </c>
      <c r="D1255" t="s">
        <v>4000</v>
      </c>
      <c r="E1255">
        <v>46</v>
      </c>
      <c r="F1255" t="str">
        <f t="shared" si="19"/>
        <v>46+</v>
      </c>
      <c r="G1255" t="s">
        <v>4001</v>
      </c>
      <c r="H1255" t="s">
        <v>4010</v>
      </c>
      <c r="I1255" t="s">
        <v>4014</v>
      </c>
      <c r="J1255">
        <v>5</v>
      </c>
      <c r="K1255">
        <v>7498</v>
      </c>
      <c r="L1255">
        <v>0</v>
      </c>
      <c r="M1255">
        <v>37490</v>
      </c>
      <c r="N1255">
        <v>0</v>
      </c>
      <c r="O1255">
        <v>37490</v>
      </c>
    </row>
    <row r="1256" spans="1:15" x14ac:dyDescent="0.3">
      <c r="A1256" t="s">
        <v>1268</v>
      </c>
      <c r="B1256" s="1">
        <v>45254</v>
      </c>
      <c r="C1256" t="s">
        <v>3263</v>
      </c>
      <c r="D1256" t="s">
        <v>3999</v>
      </c>
      <c r="E1256">
        <v>34</v>
      </c>
      <c r="F1256" t="str">
        <f t="shared" si="19"/>
        <v>26-35</v>
      </c>
      <c r="G1256" t="s">
        <v>4004</v>
      </c>
      <c r="H1256" t="s">
        <v>4008</v>
      </c>
      <c r="I1256" t="s">
        <v>4016</v>
      </c>
      <c r="J1256">
        <v>5</v>
      </c>
      <c r="K1256">
        <v>5668</v>
      </c>
      <c r="L1256">
        <v>0</v>
      </c>
      <c r="M1256">
        <v>28340</v>
      </c>
      <c r="N1256">
        <v>0</v>
      </c>
      <c r="O1256">
        <v>28340</v>
      </c>
    </row>
    <row r="1257" spans="1:15" x14ac:dyDescent="0.3">
      <c r="A1257" t="s">
        <v>1269</v>
      </c>
      <c r="B1257" s="1">
        <v>44684</v>
      </c>
      <c r="C1257" t="s">
        <v>3264</v>
      </c>
      <c r="D1257" t="s">
        <v>3999</v>
      </c>
      <c r="E1257">
        <v>42</v>
      </c>
      <c r="F1257" t="str">
        <f t="shared" si="19"/>
        <v>36-45</v>
      </c>
      <c r="G1257" t="s">
        <v>4004</v>
      </c>
      <c r="H1257" t="s">
        <v>4007</v>
      </c>
      <c r="I1257" t="s">
        <v>4013</v>
      </c>
      <c r="J1257">
        <v>1</v>
      </c>
      <c r="K1257">
        <v>5335</v>
      </c>
      <c r="L1257">
        <v>5</v>
      </c>
      <c r="M1257">
        <v>5335</v>
      </c>
      <c r="N1257">
        <v>266.75</v>
      </c>
      <c r="O1257">
        <v>5068.25</v>
      </c>
    </row>
    <row r="1258" spans="1:15" x14ac:dyDescent="0.3">
      <c r="A1258" t="s">
        <v>1270</v>
      </c>
      <c r="B1258" s="1">
        <v>45276</v>
      </c>
      <c r="C1258" t="s">
        <v>3265</v>
      </c>
      <c r="D1258" t="s">
        <v>3999</v>
      </c>
      <c r="E1258">
        <v>27</v>
      </c>
      <c r="F1258" t="str">
        <f t="shared" si="19"/>
        <v>26-35</v>
      </c>
      <c r="G1258" t="s">
        <v>4005</v>
      </c>
      <c r="H1258" t="s">
        <v>4009</v>
      </c>
      <c r="I1258" t="s">
        <v>4015</v>
      </c>
      <c r="J1258">
        <v>5</v>
      </c>
      <c r="K1258">
        <v>5212</v>
      </c>
      <c r="L1258">
        <v>0</v>
      </c>
      <c r="M1258">
        <v>26060</v>
      </c>
      <c r="N1258">
        <v>0</v>
      </c>
      <c r="O1258">
        <v>26060</v>
      </c>
    </row>
    <row r="1259" spans="1:15" x14ac:dyDescent="0.3">
      <c r="A1259" t="s">
        <v>1271</v>
      </c>
      <c r="B1259" s="1">
        <v>45035</v>
      </c>
      <c r="C1259" t="s">
        <v>3266</v>
      </c>
      <c r="D1259" t="s">
        <v>4000</v>
      </c>
      <c r="E1259">
        <v>49</v>
      </c>
      <c r="F1259" t="str">
        <f t="shared" si="19"/>
        <v>46+</v>
      </c>
      <c r="G1259" t="s">
        <v>4002</v>
      </c>
      <c r="H1259" t="s">
        <v>4010</v>
      </c>
      <c r="I1259" t="s">
        <v>4013</v>
      </c>
      <c r="J1259">
        <v>2</v>
      </c>
      <c r="K1259">
        <v>3804</v>
      </c>
      <c r="L1259">
        <v>10</v>
      </c>
      <c r="M1259">
        <v>7608</v>
      </c>
      <c r="N1259">
        <v>760.8</v>
      </c>
      <c r="O1259">
        <v>6847.2</v>
      </c>
    </row>
    <row r="1260" spans="1:15" x14ac:dyDescent="0.3">
      <c r="A1260" t="s">
        <v>1272</v>
      </c>
      <c r="B1260" s="1">
        <v>44761</v>
      </c>
      <c r="C1260" t="s">
        <v>3267</v>
      </c>
      <c r="D1260" t="s">
        <v>3999</v>
      </c>
      <c r="E1260">
        <v>56</v>
      </c>
      <c r="F1260" t="str">
        <f t="shared" si="19"/>
        <v>46+</v>
      </c>
      <c r="G1260" t="s">
        <v>4003</v>
      </c>
      <c r="H1260" t="s">
        <v>4007</v>
      </c>
      <c r="I1260" t="s">
        <v>4013</v>
      </c>
      <c r="J1260">
        <v>3</v>
      </c>
      <c r="K1260">
        <v>4517</v>
      </c>
      <c r="L1260">
        <v>10</v>
      </c>
      <c r="M1260">
        <v>13551</v>
      </c>
      <c r="N1260">
        <v>1355.1</v>
      </c>
      <c r="O1260">
        <v>12195.9</v>
      </c>
    </row>
    <row r="1261" spans="1:15" x14ac:dyDescent="0.3">
      <c r="A1261" t="s">
        <v>1273</v>
      </c>
      <c r="B1261" s="1">
        <v>44969</v>
      </c>
      <c r="C1261" t="s">
        <v>3268</v>
      </c>
      <c r="D1261" t="s">
        <v>4000</v>
      </c>
      <c r="E1261">
        <v>51</v>
      </c>
      <c r="F1261" t="str">
        <f t="shared" si="19"/>
        <v>46+</v>
      </c>
      <c r="G1261" t="s">
        <v>4004</v>
      </c>
      <c r="H1261" t="s">
        <v>4008</v>
      </c>
      <c r="I1261" t="s">
        <v>4015</v>
      </c>
      <c r="J1261">
        <v>2</v>
      </c>
      <c r="K1261">
        <v>4436</v>
      </c>
      <c r="L1261">
        <v>0</v>
      </c>
      <c r="M1261">
        <v>8872</v>
      </c>
      <c r="N1261">
        <v>0</v>
      </c>
      <c r="O1261">
        <v>8872</v>
      </c>
    </row>
    <row r="1262" spans="1:15" x14ac:dyDescent="0.3">
      <c r="A1262" t="s">
        <v>1274</v>
      </c>
      <c r="B1262" s="1">
        <v>45093</v>
      </c>
      <c r="C1262" t="s">
        <v>3269</v>
      </c>
      <c r="D1262" t="s">
        <v>4000</v>
      </c>
      <c r="E1262">
        <v>27</v>
      </c>
      <c r="F1262" t="str">
        <f t="shared" si="19"/>
        <v>26-35</v>
      </c>
      <c r="G1262" t="s">
        <v>4001</v>
      </c>
      <c r="H1262" t="s">
        <v>4012</v>
      </c>
      <c r="I1262" t="s">
        <v>4017</v>
      </c>
      <c r="J1262">
        <v>5</v>
      </c>
      <c r="K1262">
        <v>656</v>
      </c>
      <c r="L1262">
        <v>5</v>
      </c>
      <c r="M1262">
        <v>3280</v>
      </c>
      <c r="N1262">
        <v>164</v>
      </c>
      <c r="O1262">
        <v>3116</v>
      </c>
    </row>
    <row r="1263" spans="1:15" x14ac:dyDescent="0.3">
      <c r="A1263" t="s">
        <v>1275</v>
      </c>
      <c r="B1263" s="1">
        <v>44688</v>
      </c>
      <c r="C1263" t="s">
        <v>3270</v>
      </c>
      <c r="D1263" t="s">
        <v>4000</v>
      </c>
      <c r="E1263">
        <v>43</v>
      </c>
      <c r="F1263" t="str">
        <f t="shared" si="19"/>
        <v>36-45</v>
      </c>
      <c r="G1263" t="s">
        <v>4003</v>
      </c>
      <c r="H1263" t="s">
        <v>4008</v>
      </c>
      <c r="I1263" t="s">
        <v>4014</v>
      </c>
      <c r="J1263">
        <v>4</v>
      </c>
      <c r="K1263">
        <v>1054</v>
      </c>
      <c r="L1263">
        <v>15</v>
      </c>
      <c r="M1263">
        <v>4216</v>
      </c>
      <c r="N1263">
        <v>632.4</v>
      </c>
      <c r="O1263">
        <v>3583.6</v>
      </c>
    </row>
    <row r="1264" spans="1:15" x14ac:dyDescent="0.3">
      <c r="A1264" t="s">
        <v>1276</v>
      </c>
      <c r="B1264" s="1">
        <v>45204</v>
      </c>
      <c r="C1264" t="s">
        <v>3271</v>
      </c>
      <c r="D1264" t="s">
        <v>3999</v>
      </c>
      <c r="E1264">
        <v>28</v>
      </c>
      <c r="F1264" t="str">
        <f t="shared" si="19"/>
        <v>26-35</v>
      </c>
      <c r="G1264" t="s">
        <v>4005</v>
      </c>
      <c r="H1264" t="s">
        <v>4008</v>
      </c>
      <c r="I1264" t="s">
        <v>4013</v>
      </c>
      <c r="J1264">
        <v>7</v>
      </c>
      <c r="K1264">
        <v>784</v>
      </c>
      <c r="L1264">
        <v>0</v>
      </c>
      <c r="M1264">
        <v>5488</v>
      </c>
      <c r="N1264">
        <v>0</v>
      </c>
      <c r="O1264">
        <v>5488</v>
      </c>
    </row>
    <row r="1265" spans="1:15" x14ac:dyDescent="0.3">
      <c r="A1265" t="s">
        <v>1277</v>
      </c>
      <c r="B1265" s="1">
        <v>44763</v>
      </c>
      <c r="C1265" t="s">
        <v>3272</v>
      </c>
      <c r="D1265" t="s">
        <v>3999</v>
      </c>
      <c r="E1265">
        <v>18</v>
      </c>
      <c r="F1265" t="str">
        <f t="shared" si="19"/>
        <v>18-25</v>
      </c>
      <c r="G1265" t="s">
        <v>4002</v>
      </c>
      <c r="H1265" t="s">
        <v>4011</v>
      </c>
      <c r="I1265" t="s">
        <v>4016</v>
      </c>
      <c r="J1265">
        <v>1</v>
      </c>
      <c r="K1265">
        <v>6628</v>
      </c>
      <c r="L1265">
        <v>15</v>
      </c>
      <c r="M1265">
        <v>6628</v>
      </c>
      <c r="N1265">
        <v>994.2</v>
      </c>
      <c r="O1265">
        <v>5633.8</v>
      </c>
    </row>
    <row r="1266" spans="1:15" x14ac:dyDescent="0.3">
      <c r="A1266" t="s">
        <v>1278</v>
      </c>
      <c r="B1266" s="1">
        <v>44855</v>
      </c>
      <c r="C1266" t="s">
        <v>3273</v>
      </c>
      <c r="D1266" t="s">
        <v>4000</v>
      </c>
      <c r="E1266">
        <v>22</v>
      </c>
      <c r="F1266" t="str">
        <f t="shared" si="19"/>
        <v>18-25</v>
      </c>
      <c r="G1266" t="s">
        <v>4005</v>
      </c>
      <c r="H1266" t="s">
        <v>4008</v>
      </c>
      <c r="I1266" t="s">
        <v>4014</v>
      </c>
      <c r="J1266">
        <v>7</v>
      </c>
      <c r="K1266">
        <v>624</v>
      </c>
      <c r="L1266">
        <v>0</v>
      </c>
      <c r="M1266">
        <v>4368</v>
      </c>
      <c r="N1266">
        <v>0</v>
      </c>
      <c r="O1266">
        <v>4368</v>
      </c>
    </row>
    <row r="1267" spans="1:15" x14ac:dyDescent="0.3">
      <c r="A1267" t="s">
        <v>1279</v>
      </c>
      <c r="B1267" s="1">
        <v>45287</v>
      </c>
      <c r="C1267" t="s">
        <v>3274</v>
      </c>
      <c r="D1267" t="s">
        <v>3999</v>
      </c>
      <c r="E1267">
        <v>19</v>
      </c>
      <c r="F1267" t="str">
        <f t="shared" si="19"/>
        <v>18-25</v>
      </c>
      <c r="G1267" t="s">
        <v>4004</v>
      </c>
      <c r="H1267" t="s">
        <v>4008</v>
      </c>
      <c r="I1267" t="s">
        <v>4015</v>
      </c>
      <c r="J1267">
        <v>4</v>
      </c>
      <c r="K1267">
        <v>3394</v>
      </c>
      <c r="L1267">
        <v>0</v>
      </c>
      <c r="M1267">
        <v>13576</v>
      </c>
      <c r="N1267">
        <v>0</v>
      </c>
      <c r="O1267">
        <v>13576</v>
      </c>
    </row>
    <row r="1268" spans="1:15" x14ac:dyDescent="0.3">
      <c r="A1268" t="s">
        <v>1280</v>
      </c>
      <c r="B1268" s="1">
        <v>44743</v>
      </c>
      <c r="C1268" t="s">
        <v>3275</v>
      </c>
      <c r="D1268" t="s">
        <v>3999</v>
      </c>
      <c r="E1268">
        <v>18</v>
      </c>
      <c r="F1268" t="str">
        <f t="shared" si="19"/>
        <v>18-25</v>
      </c>
      <c r="G1268" t="s">
        <v>4005</v>
      </c>
      <c r="H1268" t="s">
        <v>4007</v>
      </c>
      <c r="I1268" t="s">
        <v>4016</v>
      </c>
      <c r="J1268">
        <v>6</v>
      </c>
      <c r="K1268">
        <v>4810</v>
      </c>
      <c r="L1268">
        <v>10</v>
      </c>
      <c r="M1268">
        <v>28860</v>
      </c>
      <c r="N1268">
        <v>2886</v>
      </c>
      <c r="O1268">
        <v>25974</v>
      </c>
    </row>
    <row r="1269" spans="1:15" x14ac:dyDescent="0.3">
      <c r="A1269" t="s">
        <v>1281</v>
      </c>
      <c r="B1269" s="1">
        <v>44737</v>
      </c>
      <c r="C1269" t="s">
        <v>3276</v>
      </c>
      <c r="D1269" t="s">
        <v>3999</v>
      </c>
      <c r="E1269">
        <v>33</v>
      </c>
      <c r="F1269" t="str">
        <f t="shared" si="19"/>
        <v>26-35</v>
      </c>
      <c r="G1269" t="s">
        <v>4004</v>
      </c>
      <c r="H1269" t="s">
        <v>4008</v>
      </c>
      <c r="I1269" t="s">
        <v>4014</v>
      </c>
      <c r="J1269">
        <v>2</v>
      </c>
      <c r="K1269">
        <v>3661</v>
      </c>
      <c r="L1269">
        <v>5</v>
      </c>
      <c r="M1269">
        <v>7322</v>
      </c>
      <c r="N1269">
        <v>366.1</v>
      </c>
      <c r="O1269">
        <v>6955.9</v>
      </c>
    </row>
    <row r="1270" spans="1:15" x14ac:dyDescent="0.3">
      <c r="A1270" t="s">
        <v>1282</v>
      </c>
      <c r="B1270" s="1">
        <v>45210</v>
      </c>
      <c r="C1270" t="s">
        <v>3277</v>
      </c>
      <c r="D1270" t="s">
        <v>4000</v>
      </c>
      <c r="E1270">
        <v>37</v>
      </c>
      <c r="F1270" t="str">
        <f t="shared" si="19"/>
        <v>36-45</v>
      </c>
      <c r="G1270" t="s">
        <v>4003</v>
      </c>
      <c r="H1270" t="s">
        <v>4008</v>
      </c>
      <c r="I1270" t="s">
        <v>4013</v>
      </c>
      <c r="J1270">
        <v>2</v>
      </c>
      <c r="K1270">
        <v>4595</v>
      </c>
      <c r="L1270">
        <v>0</v>
      </c>
      <c r="M1270">
        <v>9190</v>
      </c>
      <c r="N1270">
        <v>0</v>
      </c>
      <c r="O1270">
        <v>9190</v>
      </c>
    </row>
    <row r="1271" spans="1:15" x14ac:dyDescent="0.3">
      <c r="A1271" t="s">
        <v>1283</v>
      </c>
      <c r="B1271" s="1">
        <v>45233</v>
      </c>
      <c r="C1271" t="s">
        <v>3278</v>
      </c>
      <c r="D1271" t="s">
        <v>4000</v>
      </c>
      <c r="E1271">
        <v>42</v>
      </c>
      <c r="F1271" t="str">
        <f t="shared" si="19"/>
        <v>36-45</v>
      </c>
      <c r="G1271" t="s">
        <v>4006</v>
      </c>
      <c r="H1271" t="s">
        <v>4012</v>
      </c>
      <c r="I1271" t="s">
        <v>4013</v>
      </c>
      <c r="J1271">
        <v>6</v>
      </c>
      <c r="K1271">
        <v>1682</v>
      </c>
      <c r="L1271">
        <v>15</v>
      </c>
      <c r="M1271">
        <v>10092</v>
      </c>
      <c r="N1271">
        <v>1513.8</v>
      </c>
      <c r="O1271">
        <v>8578.2000000000007</v>
      </c>
    </row>
    <row r="1272" spans="1:15" x14ac:dyDescent="0.3">
      <c r="A1272" t="s">
        <v>1284</v>
      </c>
      <c r="B1272" s="1">
        <v>44845</v>
      </c>
      <c r="C1272" t="s">
        <v>3279</v>
      </c>
      <c r="D1272" t="s">
        <v>4000</v>
      </c>
      <c r="E1272">
        <v>60</v>
      </c>
      <c r="F1272" t="str">
        <f t="shared" si="19"/>
        <v>46+</v>
      </c>
      <c r="G1272" t="s">
        <v>4002</v>
      </c>
      <c r="H1272" t="s">
        <v>4011</v>
      </c>
      <c r="I1272" t="s">
        <v>4017</v>
      </c>
      <c r="J1272">
        <v>5</v>
      </c>
      <c r="K1272">
        <v>3051</v>
      </c>
      <c r="L1272">
        <v>0</v>
      </c>
      <c r="M1272">
        <v>15255</v>
      </c>
      <c r="N1272">
        <v>0</v>
      </c>
      <c r="O1272">
        <v>15255</v>
      </c>
    </row>
    <row r="1273" spans="1:15" x14ac:dyDescent="0.3">
      <c r="A1273" t="s">
        <v>1285</v>
      </c>
      <c r="B1273" s="1">
        <v>44884</v>
      </c>
      <c r="C1273" t="s">
        <v>3280</v>
      </c>
      <c r="D1273" t="s">
        <v>4000</v>
      </c>
      <c r="E1273">
        <v>30</v>
      </c>
      <c r="F1273" t="str">
        <f t="shared" si="19"/>
        <v>26-35</v>
      </c>
      <c r="G1273" t="s">
        <v>4005</v>
      </c>
      <c r="H1273" t="s">
        <v>4007</v>
      </c>
      <c r="I1273" t="s">
        <v>4013</v>
      </c>
      <c r="J1273">
        <v>1</v>
      </c>
      <c r="K1273">
        <v>2486</v>
      </c>
      <c r="L1273">
        <v>0</v>
      </c>
      <c r="M1273">
        <v>2486</v>
      </c>
      <c r="N1273">
        <v>0</v>
      </c>
      <c r="O1273">
        <v>2486</v>
      </c>
    </row>
    <row r="1274" spans="1:15" x14ac:dyDescent="0.3">
      <c r="A1274" t="s">
        <v>1286</v>
      </c>
      <c r="B1274" s="1">
        <v>45159</v>
      </c>
      <c r="C1274" t="s">
        <v>3281</v>
      </c>
      <c r="D1274" t="s">
        <v>4000</v>
      </c>
      <c r="E1274">
        <v>47</v>
      </c>
      <c r="F1274" t="str">
        <f t="shared" si="19"/>
        <v>46+</v>
      </c>
      <c r="G1274" t="s">
        <v>4006</v>
      </c>
      <c r="H1274" t="s">
        <v>4011</v>
      </c>
      <c r="I1274" t="s">
        <v>4013</v>
      </c>
      <c r="J1274">
        <v>7</v>
      </c>
      <c r="K1274">
        <v>4118</v>
      </c>
      <c r="L1274">
        <v>10</v>
      </c>
      <c r="M1274">
        <v>28826</v>
      </c>
      <c r="N1274">
        <v>2882.6</v>
      </c>
      <c r="O1274">
        <v>25943.4</v>
      </c>
    </row>
    <row r="1275" spans="1:15" x14ac:dyDescent="0.3">
      <c r="A1275" t="s">
        <v>1287</v>
      </c>
      <c r="B1275" s="1">
        <v>45290</v>
      </c>
      <c r="C1275" t="s">
        <v>3282</v>
      </c>
      <c r="D1275" t="s">
        <v>4000</v>
      </c>
      <c r="E1275">
        <v>58</v>
      </c>
      <c r="F1275" t="str">
        <f t="shared" si="19"/>
        <v>46+</v>
      </c>
      <c r="G1275" t="s">
        <v>4002</v>
      </c>
      <c r="H1275" t="s">
        <v>4007</v>
      </c>
      <c r="I1275" t="s">
        <v>4014</v>
      </c>
      <c r="J1275">
        <v>1</v>
      </c>
      <c r="K1275">
        <v>1578</v>
      </c>
      <c r="L1275">
        <v>0</v>
      </c>
      <c r="M1275">
        <v>1578</v>
      </c>
      <c r="N1275">
        <v>0</v>
      </c>
      <c r="O1275">
        <v>1578</v>
      </c>
    </row>
    <row r="1276" spans="1:15" x14ac:dyDescent="0.3">
      <c r="A1276" t="s">
        <v>1288</v>
      </c>
      <c r="B1276" s="1">
        <v>44629</v>
      </c>
      <c r="C1276" t="s">
        <v>3283</v>
      </c>
      <c r="D1276" t="s">
        <v>4000</v>
      </c>
      <c r="E1276">
        <v>52</v>
      </c>
      <c r="F1276" t="str">
        <f t="shared" si="19"/>
        <v>46+</v>
      </c>
      <c r="G1276" t="s">
        <v>4001</v>
      </c>
      <c r="H1276" t="s">
        <v>4010</v>
      </c>
      <c r="I1276" t="s">
        <v>4014</v>
      </c>
      <c r="J1276">
        <v>2</v>
      </c>
      <c r="K1276">
        <v>4323</v>
      </c>
      <c r="L1276">
        <v>20</v>
      </c>
      <c r="M1276">
        <v>8646</v>
      </c>
      <c r="N1276">
        <v>1729.2</v>
      </c>
      <c r="O1276">
        <v>6916.8</v>
      </c>
    </row>
    <row r="1277" spans="1:15" x14ac:dyDescent="0.3">
      <c r="A1277" t="s">
        <v>1289</v>
      </c>
      <c r="B1277" s="1">
        <v>45128</v>
      </c>
      <c r="C1277" t="s">
        <v>3284</v>
      </c>
      <c r="D1277" t="s">
        <v>3999</v>
      </c>
      <c r="E1277">
        <v>64</v>
      </c>
      <c r="F1277" t="str">
        <f t="shared" si="19"/>
        <v>46+</v>
      </c>
      <c r="G1277" t="s">
        <v>4005</v>
      </c>
      <c r="H1277" t="s">
        <v>4010</v>
      </c>
      <c r="I1277" t="s">
        <v>4017</v>
      </c>
      <c r="J1277">
        <v>1</v>
      </c>
      <c r="K1277">
        <v>2373</v>
      </c>
      <c r="L1277">
        <v>5</v>
      </c>
      <c r="M1277">
        <v>2373</v>
      </c>
      <c r="N1277">
        <v>118.65</v>
      </c>
      <c r="O1277">
        <v>2254.35</v>
      </c>
    </row>
    <row r="1278" spans="1:15" x14ac:dyDescent="0.3">
      <c r="A1278" t="s">
        <v>1290</v>
      </c>
      <c r="B1278" s="1">
        <v>44584</v>
      </c>
      <c r="C1278" t="s">
        <v>3285</v>
      </c>
      <c r="D1278" t="s">
        <v>3999</v>
      </c>
      <c r="E1278">
        <v>61</v>
      </c>
      <c r="F1278" t="str">
        <f t="shared" si="19"/>
        <v>46+</v>
      </c>
      <c r="G1278" t="s">
        <v>4001</v>
      </c>
      <c r="H1278" t="s">
        <v>4012</v>
      </c>
      <c r="I1278" t="s">
        <v>4014</v>
      </c>
      <c r="J1278">
        <v>1</v>
      </c>
      <c r="K1278">
        <v>3007</v>
      </c>
      <c r="L1278">
        <v>10</v>
      </c>
      <c r="M1278">
        <v>3007</v>
      </c>
      <c r="N1278">
        <v>300.7</v>
      </c>
      <c r="O1278">
        <v>2706.3</v>
      </c>
    </row>
    <row r="1279" spans="1:15" x14ac:dyDescent="0.3">
      <c r="A1279" t="s">
        <v>1291</v>
      </c>
      <c r="B1279" s="1">
        <v>44859</v>
      </c>
      <c r="C1279" t="s">
        <v>3286</v>
      </c>
      <c r="D1279" t="s">
        <v>4000</v>
      </c>
      <c r="E1279">
        <v>48</v>
      </c>
      <c r="F1279" t="str">
        <f t="shared" si="19"/>
        <v>46+</v>
      </c>
      <c r="G1279" t="s">
        <v>4006</v>
      </c>
      <c r="H1279" t="s">
        <v>4012</v>
      </c>
      <c r="I1279" t="s">
        <v>4015</v>
      </c>
      <c r="J1279">
        <v>4</v>
      </c>
      <c r="K1279">
        <v>3279</v>
      </c>
      <c r="L1279">
        <v>0</v>
      </c>
      <c r="M1279">
        <v>13116</v>
      </c>
      <c r="N1279">
        <v>0</v>
      </c>
      <c r="O1279">
        <v>13116</v>
      </c>
    </row>
    <row r="1280" spans="1:15" x14ac:dyDescent="0.3">
      <c r="A1280" t="s">
        <v>1292</v>
      </c>
      <c r="B1280" s="1">
        <v>45237</v>
      </c>
      <c r="C1280" t="s">
        <v>3287</v>
      </c>
      <c r="D1280" t="s">
        <v>4000</v>
      </c>
      <c r="E1280">
        <v>18</v>
      </c>
      <c r="F1280" t="str">
        <f t="shared" si="19"/>
        <v>18-25</v>
      </c>
      <c r="G1280" t="s">
        <v>4002</v>
      </c>
      <c r="H1280" t="s">
        <v>4009</v>
      </c>
      <c r="I1280" t="s">
        <v>4013</v>
      </c>
      <c r="J1280">
        <v>6</v>
      </c>
      <c r="K1280">
        <v>3462</v>
      </c>
      <c r="L1280">
        <v>0</v>
      </c>
      <c r="M1280">
        <v>20772</v>
      </c>
      <c r="N1280">
        <v>0</v>
      </c>
      <c r="O1280">
        <v>20772</v>
      </c>
    </row>
    <row r="1281" spans="1:15" x14ac:dyDescent="0.3">
      <c r="A1281" t="s">
        <v>1293</v>
      </c>
      <c r="B1281" s="1">
        <v>44971</v>
      </c>
      <c r="C1281" t="s">
        <v>3288</v>
      </c>
      <c r="D1281" t="s">
        <v>3999</v>
      </c>
      <c r="E1281">
        <v>54</v>
      </c>
      <c r="F1281" t="str">
        <f t="shared" si="19"/>
        <v>46+</v>
      </c>
      <c r="G1281" t="s">
        <v>4003</v>
      </c>
      <c r="H1281" t="s">
        <v>4008</v>
      </c>
      <c r="I1281" t="s">
        <v>4015</v>
      </c>
      <c r="J1281">
        <v>7</v>
      </c>
      <c r="K1281">
        <v>7859</v>
      </c>
      <c r="L1281">
        <v>15</v>
      </c>
      <c r="M1281">
        <v>55013</v>
      </c>
      <c r="N1281">
        <v>8251.9500000000007</v>
      </c>
      <c r="O1281">
        <v>46761.05</v>
      </c>
    </row>
    <row r="1282" spans="1:15" x14ac:dyDescent="0.3">
      <c r="A1282" t="s">
        <v>1294</v>
      </c>
      <c r="B1282" s="1">
        <v>45096</v>
      </c>
      <c r="C1282" t="s">
        <v>3289</v>
      </c>
      <c r="D1282" t="s">
        <v>4000</v>
      </c>
      <c r="E1282">
        <v>62</v>
      </c>
      <c r="F1282" t="str">
        <f t="shared" ref="F1282:F1345" si="20">IF(E1282&lt;=25,"18-25",IF(E1282&lt;=35,"26-35",IF(E1282&lt;=45,"36-45","46+")))</f>
        <v>46+</v>
      </c>
      <c r="G1282" t="s">
        <v>4006</v>
      </c>
      <c r="H1282" t="s">
        <v>4007</v>
      </c>
      <c r="I1282" t="s">
        <v>4017</v>
      </c>
      <c r="J1282">
        <v>5</v>
      </c>
      <c r="K1282">
        <v>4249</v>
      </c>
      <c r="L1282">
        <v>0</v>
      </c>
      <c r="M1282">
        <v>21245</v>
      </c>
      <c r="N1282">
        <v>0</v>
      </c>
      <c r="O1282">
        <v>21245</v>
      </c>
    </row>
    <row r="1283" spans="1:15" x14ac:dyDescent="0.3">
      <c r="A1283" t="s">
        <v>1295</v>
      </c>
      <c r="B1283" s="1">
        <v>45065</v>
      </c>
      <c r="C1283" t="s">
        <v>3290</v>
      </c>
      <c r="D1283" t="s">
        <v>4000</v>
      </c>
      <c r="E1283">
        <v>42</v>
      </c>
      <c r="F1283" t="str">
        <f t="shared" si="20"/>
        <v>36-45</v>
      </c>
      <c r="G1283" t="s">
        <v>4002</v>
      </c>
      <c r="H1283" t="s">
        <v>4009</v>
      </c>
      <c r="I1283" t="s">
        <v>4017</v>
      </c>
      <c r="J1283">
        <v>5</v>
      </c>
      <c r="K1283">
        <v>5370</v>
      </c>
      <c r="L1283">
        <v>15</v>
      </c>
      <c r="M1283">
        <v>26850</v>
      </c>
      <c r="N1283">
        <v>4027.5</v>
      </c>
      <c r="O1283">
        <v>22822.5</v>
      </c>
    </row>
    <row r="1284" spans="1:15" x14ac:dyDescent="0.3">
      <c r="A1284" t="s">
        <v>1296</v>
      </c>
      <c r="B1284" s="1">
        <v>44888</v>
      </c>
      <c r="C1284" t="s">
        <v>3291</v>
      </c>
      <c r="D1284" t="s">
        <v>4000</v>
      </c>
      <c r="E1284">
        <v>56</v>
      </c>
      <c r="F1284" t="str">
        <f t="shared" si="20"/>
        <v>46+</v>
      </c>
      <c r="G1284" t="s">
        <v>4003</v>
      </c>
      <c r="H1284" t="s">
        <v>4010</v>
      </c>
      <c r="I1284" t="s">
        <v>4015</v>
      </c>
      <c r="J1284">
        <v>7</v>
      </c>
      <c r="K1284">
        <v>2397</v>
      </c>
      <c r="L1284">
        <v>0</v>
      </c>
      <c r="M1284">
        <v>16779</v>
      </c>
      <c r="N1284">
        <v>0</v>
      </c>
      <c r="O1284">
        <v>16779</v>
      </c>
    </row>
    <row r="1285" spans="1:15" x14ac:dyDescent="0.3">
      <c r="A1285" t="s">
        <v>1297</v>
      </c>
      <c r="B1285" s="1">
        <v>44733</v>
      </c>
      <c r="C1285" t="s">
        <v>3292</v>
      </c>
      <c r="D1285" t="s">
        <v>3999</v>
      </c>
      <c r="E1285">
        <v>20</v>
      </c>
      <c r="F1285" t="str">
        <f t="shared" si="20"/>
        <v>18-25</v>
      </c>
      <c r="G1285" t="s">
        <v>4006</v>
      </c>
      <c r="H1285" t="s">
        <v>4008</v>
      </c>
      <c r="I1285" t="s">
        <v>4016</v>
      </c>
      <c r="J1285">
        <v>4</v>
      </c>
      <c r="K1285">
        <v>4273</v>
      </c>
      <c r="L1285">
        <v>15</v>
      </c>
      <c r="M1285">
        <v>17092</v>
      </c>
      <c r="N1285">
        <v>2563.8000000000002</v>
      </c>
      <c r="O1285">
        <v>14528.2</v>
      </c>
    </row>
    <row r="1286" spans="1:15" x14ac:dyDescent="0.3">
      <c r="A1286" t="s">
        <v>1298</v>
      </c>
      <c r="B1286" s="1">
        <v>44735</v>
      </c>
      <c r="C1286" t="s">
        <v>3293</v>
      </c>
      <c r="D1286" t="s">
        <v>4000</v>
      </c>
      <c r="E1286">
        <v>38</v>
      </c>
      <c r="F1286" t="str">
        <f t="shared" si="20"/>
        <v>36-45</v>
      </c>
      <c r="G1286" t="s">
        <v>4005</v>
      </c>
      <c r="H1286" t="s">
        <v>4007</v>
      </c>
      <c r="I1286" t="s">
        <v>4013</v>
      </c>
      <c r="J1286">
        <v>2</v>
      </c>
      <c r="K1286">
        <v>7294</v>
      </c>
      <c r="L1286">
        <v>15</v>
      </c>
      <c r="M1286">
        <v>14588</v>
      </c>
      <c r="N1286">
        <v>2188.1999999999998</v>
      </c>
      <c r="O1286">
        <v>12399.8</v>
      </c>
    </row>
    <row r="1287" spans="1:15" x14ac:dyDescent="0.3">
      <c r="A1287" t="s">
        <v>1299</v>
      </c>
      <c r="B1287" s="1">
        <v>44732</v>
      </c>
      <c r="C1287" t="s">
        <v>3294</v>
      </c>
      <c r="D1287" t="s">
        <v>4000</v>
      </c>
      <c r="E1287">
        <v>42</v>
      </c>
      <c r="F1287" t="str">
        <f t="shared" si="20"/>
        <v>36-45</v>
      </c>
      <c r="G1287" t="s">
        <v>4004</v>
      </c>
      <c r="H1287" t="s">
        <v>4012</v>
      </c>
      <c r="I1287" t="s">
        <v>4016</v>
      </c>
      <c r="J1287">
        <v>2</v>
      </c>
      <c r="K1287">
        <v>6536</v>
      </c>
      <c r="L1287">
        <v>10</v>
      </c>
      <c r="M1287">
        <v>13072</v>
      </c>
      <c r="N1287">
        <v>1307.2</v>
      </c>
      <c r="O1287">
        <v>11764.8</v>
      </c>
    </row>
    <row r="1288" spans="1:15" x14ac:dyDescent="0.3">
      <c r="A1288" t="s">
        <v>1300</v>
      </c>
      <c r="B1288" s="1">
        <v>44822</v>
      </c>
      <c r="C1288" t="s">
        <v>3295</v>
      </c>
      <c r="D1288" t="s">
        <v>3999</v>
      </c>
      <c r="E1288">
        <v>53</v>
      </c>
      <c r="F1288" t="str">
        <f t="shared" si="20"/>
        <v>46+</v>
      </c>
      <c r="G1288" t="s">
        <v>4004</v>
      </c>
      <c r="H1288" t="s">
        <v>4007</v>
      </c>
      <c r="I1288" t="s">
        <v>4017</v>
      </c>
      <c r="J1288">
        <v>7</v>
      </c>
      <c r="K1288">
        <v>5813</v>
      </c>
      <c r="L1288">
        <v>0</v>
      </c>
      <c r="M1288">
        <v>40691</v>
      </c>
      <c r="N1288">
        <v>0</v>
      </c>
      <c r="O1288">
        <v>40691</v>
      </c>
    </row>
    <row r="1289" spans="1:15" x14ac:dyDescent="0.3">
      <c r="A1289" t="s">
        <v>1301</v>
      </c>
      <c r="B1289" s="1">
        <v>44812</v>
      </c>
      <c r="C1289" t="s">
        <v>3296</v>
      </c>
      <c r="D1289" t="s">
        <v>4000</v>
      </c>
      <c r="E1289">
        <v>42</v>
      </c>
      <c r="F1289" t="str">
        <f t="shared" si="20"/>
        <v>36-45</v>
      </c>
      <c r="G1289" t="s">
        <v>4004</v>
      </c>
      <c r="H1289" t="s">
        <v>4011</v>
      </c>
      <c r="I1289" t="s">
        <v>4017</v>
      </c>
      <c r="J1289">
        <v>6</v>
      </c>
      <c r="K1289">
        <v>4120</v>
      </c>
      <c r="L1289">
        <v>0</v>
      </c>
      <c r="M1289">
        <v>24720</v>
      </c>
      <c r="N1289">
        <v>0</v>
      </c>
      <c r="O1289">
        <v>24720</v>
      </c>
    </row>
    <row r="1290" spans="1:15" x14ac:dyDescent="0.3">
      <c r="A1290" t="s">
        <v>1302</v>
      </c>
      <c r="B1290" s="1">
        <v>45154</v>
      </c>
      <c r="C1290" t="s">
        <v>3297</v>
      </c>
      <c r="D1290" t="s">
        <v>4000</v>
      </c>
      <c r="E1290">
        <v>34</v>
      </c>
      <c r="F1290" t="str">
        <f t="shared" si="20"/>
        <v>26-35</v>
      </c>
      <c r="G1290" t="s">
        <v>4004</v>
      </c>
      <c r="H1290" t="s">
        <v>4008</v>
      </c>
      <c r="I1290" t="s">
        <v>4017</v>
      </c>
      <c r="J1290">
        <v>1</v>
      </c>
      <c r="K1290">
        <v>1713</v>
      </c>
      <c r="L1290">
        <v>10</v>
      </c>
      <c r="M1290">
        <v>1713</v>
      </c>
      <c r="N1290">
        <v>171.3</v>
      </c>
      <c r="O1290">
        <v>1541.7</v>
      </c>
    </row>
    <row r="1291" spans="1:15" x14ac:dyDescent="0.3">
      <c r="A1291" t="s">
        <v>1303</v>
      </c>
      <c r="B1291" s="1">
        <v>45204</v>
      </c>
      <c r="C1291" t="s">
        <v>3298</v>
      </c>
      <c r="D1291" t="s">
        <v>3999</v>
      </c>
      <c r="E1291">
        <v>64</v>
      </c>
      <c r="F1291" t="str">
        <f t="shared" si="20"/>
        <v>46+</v>
      </c>
      <c r="G1291" t="s">
        <v>4002</v>
      </c>
      <c r="H1291" t="s">
        <v>4012</v>
      </c>
      <c r="I1291" t="s">
        <v>4014</v>
      </c>
      <c r="J1291">
        <v>7</v>
      </c>
      <c r="K1291">
        <v>7762</v>
      </c>
      <c r="L1291">
        <v>15</v>
      </c>
      <c r="M1291">
        <v>54334</v>
      </c>
      <c r="N1291">
        <v>8150.1</v>
      </c>
      <c r="O1291">
        <v>46183.9</v>
      </c>
    </row>
    <row r="1292" spans="1:15" x14ac:dyDescent="0.3">
      <c r="A1292" t="s">
        <v>1304</v>
      </c>
      <c r="B1292" s="1">
        <v>45143</v>
      </c>
      <c r="C1292" t="s">
        <v>3299</v>
      </c>
      <c r="D1292" t="s">
        <v>3999</v>
      </c>
      <c r="E1292">
        <v>19</v>
      </c>
      <c r="F1292" t="str">
        <f t="shared" si="20"/>
        <v>18-25</v>
      </c>
      <c r="G1292" t="s">
        <v>4001</v>
      </c>
      <c r="H1292" t="s">
        <v>4010</v>
      </c>
      <c r="I1292" t="s">
        <v>4014</v>
      </c>
      <c r="J1292">
        <v>6</v>
      </c>
      <c r="K1292">
        <v>3876</v>
      </c>
      <c r="L1292">
        <v>0</v>
      </c>
      <c r="M1292">
        <v>23256</v>
      </c>
      <c r="N1292">
        <v>0</v>
      </c>
      <c r="O1292">
        <v>23256</v>
      </c>
    </row>
    <row r="1293" spans="1:15" x14ac:dyDescent="0.3">
      <c r="A1293" t="s">
        <v>1305</v>
      </c>
      <c r="B1293" s="1">
        <v>44737</v>
      </c>
      <c r="C1293" t="s">
        <v>3300</v>
      </c>
      <c r="D1293" t="s">
        <v>4000</v>
      </c>
      <c r="E1293">
        <v>48</v>
      </c>
      <c r="F1293" t="str">
        <f t="shared" si="20"/>
        <v>46+</v>
      </c>
      <c r="G1293" t="s">
        <v>4005</v>
      </c>
      <c r="H1293" t="s">
        <v>4010</v>
      </c>
      <c r="I1293" t="s">
        <v>4013</v>
      </c>
      <c r="J1293">
        <v>5</v>
      </c>
      <c r="K1293">
        <v>3194</v>
      </c>
      <c r="L1293">
        <v>15</v>
      </c>
      <c r="M1293">
        <v>15970</v>
      </c>
      <c r="N1293">
        <v>2395.5</v>
      </c>
      <c r="O1293">
        <v>13574.5</v>
      </c>
    </row>
    <row r="1294" spans="1:15" x14ac:dyDescent="0.3">
      <c r="A1294" t="s">
        <v>1306</v>
      </c>
      <c r="B1294" s="1">
        <v>44617</v>
      </c>
      <c r="C1294" t="s">
        <v>3301</v>
      </c>
      <c r="D1294" t="s">
        <v>4000</v>
      </c>
      <c r="E1294">
        <v>19</v>
      </c>
      <c r="F1294" t="str">
        <f t="shared" si="20"/>
        <v>18-25</v>
      </c>
      <c r="G1294" t="s">
        <v>4003</v>
      </c>
      <c r="H1294" t="s">
        <v>4010</v>
      </c>
      <c r="I1294" t="s">
        <v>4016</v>
      </c>
      <c r="J1294">
        <v>2</v>
      </c>
      <c r="K1294">
        <v>7191</v>
      </c>
      <c r="L1294">
        <v>10</v>
      </c>
      <c r="M1294">
        <v>14382</v>
      </c>
      <c r="N1294">
        <v>1438.2</v>
      </c>
      <c r="O1294">
        <v>12943.8</v>
      </c>
    </row>
    <row r="1295" spans="1:15" x14ac:dyDescent="0.3">
      <c r="A1295" t="s">
        <v>1307</v>
      </c>
      <c r="B1295" s="1">
        <v>44655</v>
      </c>
      <c r="C1295" t="s">
        <v>3302</v>
      </c>
      <c r="D1295" t="s">
        <v>3999</v>
      </c>
      <c r="E1295">
        <v>39</v>
      </c>
      <c r="F1295" t="str">
        <f t="shared" si="20"/>
        <v>36-45</v>
      </c>
      <c r="G1295" t="s">
        <v>4004</v>
      </c>
      <c r="H1295" t="s">
        <v>4010</v>
      </c>
      <c r="I1295" t="s">
        <v>4013</v>
      </c>
      <c r="J1295">
        <v>1</v>
      </c>
      <c r="K1295">
        <v>6384</v>
      </c>
      <c r="L1295">
        <v>10</v>
      </c>
      <c r="M1295">
        <v>6384</v>
      </c>
      <c r="N1295">
        <v>638.4</v>
      </c>
      <c r="O1295">
        <v>5745.6</v>
      </c>
    </row>
    <row r="1296" spans="1:15" x14ac:dyDescent="0.3">
      <c r="A1296" t="s">
        <v>1308</v>
      </c>
      <c r="B1296" s="1">
        <v>44945</v>
      </c>
      <c r="C1296" t="s">
        <v>3303</v>
      </c>
      <c r="D1296" t="s">
        <v>4000</v>
      </c>
      <c r="E1296">
        <v>47</v>
      </c>
      <c r="F1296" t="str">
        <f t="shared" si="20"/>
        <v>46+</v>
      </c>
      <c r="G1296" t="s">
        <v>4003</v>
      </c>
      <c r="H1296" t="s">
        <v>4007</v>
      </c>
      <c r="I1296" t="s">
        <v>4014</v>
      </c>
      <c r="J1296">
        <v>4</v>
      </c>
      <c r="K1296">
        <v>3236</v>
      </c>
      <c r="L1296">
        <v>0</v>
      </c>
      <c r="M1296">
        <v>12944</v>
      </c>
      <c r="N1296">
        <v>0</v>
      </c>
      <c r="O1296">
        <v>12944</v>
      </c>
    </row>
    <row r="1297" spans="1:15" x14ac:dyDescent="0.3">
      <c r="A1297" t="s">
        <v>1309</v>
      </c>
      <c r="B1297" s="1">
        <v>45226</v>
      </c>
      <c r="C1297" t="s">
        <v>3304</v>
      </c>
      <c r="D1297" t="s">
        <v>3999</v>
      </c>
      <c r="E1297">
        <v>49</v>
      </c>
      <c r="F1297" t="str">
        <f t="shared" si="20"/>
        <v>46+</v>
      </c>
      <c r="G1297" t="s">
        <v>4006</v>
      </c>
      <c r="H1297" t="s">
        <v>4010</v>
      </c>
      <c r="I1297" t="s">
        <v>4014</v>
      </c>
      <c r="J1297">
        <v>1</v>
      </c>
      <c r="K1297">
        <v>7801</v>
      </c>
      <c r="L1297">
        <v>5</v>
      </c>
      <c r="M1297">
        <v>7801</v>
      </c>
      <c r="N1297">
        <v>390.05</v>
      </c>
      <c r="O1297">
        <v>7410.95</v>
      </c>
    </row>
    <row r="1298" spans="1:15" x14ac:dyDescent="0.3">
      <c r="A1298" t="s">
        <v>1310</v>
      </c>
      <c r="B1298" s="1">
        <v>45286</v>
      </c>
      <c r="C1298" t="s">
        <v>3305</v>
      </c>
      <c r="D1298" t="s">
        <v>4000</v>
      </c>
      <c r="E1298">
        <v>61</v>
      </c>
      <c r="F1298" t="str">
        <f t="shared" si="20"/>
        <v>46+</v>
      </c>
      <c r="G1298" t="s">
        <v>4001</v>
      </c>
      <c r="H1298" t="s">
        <v>4009</v>
      </c>
      <c r="I1298" t="s">
        <v>4015</v>
      </c>
      <c r="J1298">
        <v>2</v>
      </c>
      <c r="K1298">
        <v>5084</v>
      </c>
      <c r="L1298">
        <v>0</v>
      </c>
      <c r="M1298">
        <v>10168</v>
      </c>
      <c r="N1298">
        <v>0</v>
      </c>
      <c r="O1298">
        <v>10168</v>
      </c>
    </row>
    <row r="1299" spans="1:15" x14ac:dyDescent="0.3">
      <c r="A1299" t="s">
        <v>1311</v>
      </c>
      <c r="B1299" s="1">
        <v>44866</v>
      </c>
      <c r="C1299" t="s">
        <v>3306</v>
      </c>
      <c r="D1299" t="s">
        <v>4000</v>
      </c>
      <c r="E1299">
        <v>19</v>
      </c>
      <c r="F1299" t="str">
        <f t="shared" si="20"/>
        <v>18-25</v>
      </c>
      <c r="G1299" t="s">
        <v>4002</v>
      </c>
      <c r="H1299" t="s">
        <v>4009</v>
      </c>
      <c r="I1299" t="s">
        <v>4013</v>
      </c>
      <c r="J1299">
        <v>2</v>
      </c>
      <c r="K1299">
        <v>5800</v>
      </c>
      <c r="L1299">
        <v>15</v>
      </c>
      <c r="M1299">
        <v>11600</v>
      </c>
      <c r="N1299">
        <v>1740</v>
      </c>
      <c r="O1299">
        <v>9860</v>
      </c>
    </row>
    <row r="1300" spans="1:15" x14ac:dyDescent="0.3">
      <c r="A1300" t="s">
        <v>1312</v>
      </c>
      <c r="B1300" s="1">
        <v>44900</v>
      </c>
      <c r="C1300" t="s">
        <v>3307</v>
      </c>
      <c r="D1300" t="s">
        <v>4000</v>
      </c>
      <c r="E1300">
        <v>30</v>
      </c>
      <c r="F1300" t="str">
        <f t="shared" si="20"/>
        <v>26-35</v>
      </c>
      <c r="G1300" t="s">
        <v>4005</v>
      </c>
      <c r="H1300" t="s">
        <v>4008</v>
      </c>
      <c r="I1300" t="s">
        <v>4015</v>
      </c>
      <c r="J1300">
        <v>1</v>
      </c>
      <c r="K1300">
        <v>6936</v>
      </c>
      <c r="L1300">
        <v>15</v>
      </c>
      <c r="M1300">
        <v>6936</v>
      </c>
      <c r="N1300">
        <v>1040.4000000000001</v>
      </c>
      <c r="O1300">
        <v>5895.6</v>
      </c>
    </row>
    <row r="1301" spans="1:15" x14ac:dyDescent="0.3">
      <c r="A1301" t="s">
        <v>1313</v>
      </c>
      <c r="B1301" s="1">
        <v>44896</v>
      </c>
      <c r="C1301" t="s">
        <v>3308</v>
      </c>
      <c r="D1301" t="s">
        <v>4000</v>
      </c>
      <c r="E1301">
        <v>56</v>
      </c>
      <c r="F1301" t="str">
        <f t="shared" si="20"/>
        <v>46+</v>
      </c>
      <c r="G1301" t="s">
        <v>4006</v>
      </c>
      <c r="H1301" t="s">
        <v>4007</v>
      </c>
      <c r="I1301" t="s">
        <v>4016</v>
      </c>
      <c r="J1301">
        <v>3</v>
      </c>
      <c r="K1301">
        <v>6877</v>
      </c>
      <c r="L1301">
        <v>15</v>
      </c>
      <c r="M1301">
        <v>20631</v>
      </c>
      <c r="N1301">
        <v>3094.65</v>
      </c>
      <c r="O1301">
        <v>17536.349999999999</v>
      </c>
    </row>
    <row r="1302" spans="1:15" x14ac:dyDescent="0.3">
      <c r="A1302" t="s">
        <v>1314</v>
      </c>
      <c r="B1302" s="1">
        <v>45135</v>
      </c>
      <c r="C1302" t="s">
        <v>3309</v>
      </c>
      <c r="D1302" t="s">
        <v>3999</v>
      </c>
      <c r="E1302">
        <v>45</v>
      </c>
      <c r="F1302" t="str">
        <f t="shared" si="20"/>
        <v>36-45</v>
      </c>
      <c r="G1302" t="s">
        <v>4006</v>
      </c>
      <c r="H1302" t="s">
        <v>4007</v>
      </c>
      <c r="I1302" t="s">
        <v>4016</v>
      </c>
      <c r="J1302">
        <v>4</v>
      </c>
      <c r="K1302">
        <v>175</v>
      </c>
      <c r="L1302">
        <v>15</v>
      </c>
      <c r="M1302">
        <v>700</v>
      </c>
      <c r="N1302">
        <v>105</v>
      </c>
      <c r="O1302">
        <v>595</v>
      </c>
    </row>
    <row r="1303" spans="1:15" x14ac:dyDescent="0.3">
      <c r="A1303" t="s">
        <v>1315</v>
      </c>
      <c r="B1303" s="1">
        <v>44685</v>
      </c>
      <c r="C1303" t="s">
        <v>3310</v>
      </c>
      <c r="D1303" t="s">
        <v>3999</v>
      </c>
      <c r="E1303">
        <v>43</v>
      </c>
      <c r="F1303" t="str">
        <f t="shared" si="20"/>
        <v>36-45</v>
      </c>
      <c r="G1303" t="s">
        <v>4005</v>
      </c>
      <c r="H1303" t="s">
        <v>4012</v>
      </c>
      <c r="I1303" t="s">
        <v>4014</v>
      </c>
      <c r="J1303">
        <v>5</v>
      </c>
      <c r="K1303">
        <v>2622</v>
      </c>
      <c r="L1303">
        <v>10</v>
      </c>
      <c r="M1303">
        <v>13110</v>
      </c>
      <c r="N1303">
        <v>1311</v>
      </c>
      <c r="O1303">
        <v>11799</v>
      </c>
    </row>
    <row r="1304" spans="1:15" x14ac:dyDescent="0.3">
      <c r="A1304" t="s">
        <v>1316</v>
      </c>
      <c r="B1304" s="1">
        <v>45162</v>
      </c>
      <c r="C1304" t="s">
        <v>3311</v>
      </c>
      <c r="D1304" t="s">
        <v>4000</v>
      </c>
      <c r="E1304">
        <v>19</v>
      </c>
      <c r="F1304" t="str">
        <f t="shared" si="20"/>
        <v>18-25</v>
      </c>
      <c r="G1304" t="s">
        <v>4004</v>
      </c>
      <c r="H1304" t="s">
        <v>4007</v>
      </c>
      <c r="I1304" t="s">
        <v>4013</v>
      </c>
      <c r="J1304">
        <v>2</v>
      </c>
      <c r="K1304">
        <v>3307</v>
      </c>
      <c r="L1304">
        <v>15</v>
      </c>
      <c r="M1304">
        <v>6614</v>
      </c>
      <c r="N1304">
        <v>992.1</v>
      </c>
      <c r="O1304">
        <v>5621.9</v>
      </c>
    </row>
    <row r="1305" spans="1:15" x14ac:dyDescent="0.3">
      <c r="A1305" t="s">
        <v>1317</v>
      </c>
      <c r="B1305" s="1">
        <v>45143</v>
      </c>
      <c r="C1305" t="s">
        <v>3312</v>
      </c>
      <c r="D1305" t="s">
        <v>4000</v>
      </c>
      <c r="E1305">
        <v>37</v>
      </c>
      <c r="F1305" t="str">
        <f t="shared" si="20"/>
        <v>36-45</v>
      </c>
      <c r="G1305" t="s">
        <v>4006</v>
      </c>
      <c r="H1305" t="s">
        <v>4012</v>
      </c>
      <c r="I1305" t="s">
        <v>4015</v>
      </c>
      <c r="J1305">
        <v>4</v>
      </c>
      <c r="K1305">
        <v>4932</v>
      </c>
      <c r="L1305">
        <v>0</v>
      </c>
      <c r="M1305">
        <v>19728</v>
      </c>
      <c r="N1305">
        <v>0</v>
      </c>
      <c r="O1305">
        <v>19728</v>
      </c>
    </row>
    <row r="1306" spans="1:15" x14ac:dyDescent="0.3">
      <c r="A1306" t="s">
        <v>1318</v>
      </c>
      <c r="B1306" s="1">
        <v>45179</v>
      </c>
      <c r="C1306" t="s">
        <v>3313</v>
      </c>
      <c r="D1306" t="s">
        <v>3999</v>
      </c>
      <c r="E1306">
        <v>29</v>
      </c>
      <c r="F1306" t="str">
        <f t="shared" si="20"/>
        <v>26-35</v>
      </c>
      <c r="G1306" t="s">
        <v>4002</v>
      </c>
      <c r="H1306" t="s">
        <v>4007</v>
      </c>
      <c r="I1306" t="s">
        <v>4016</v>
      </c>
      <c r="J1306">
        <v>4</v>
      </c>
      <c r="K1306">
        <v>6276</v>
      </c>
      <c r="L1306">
        <v>0</v>
      </c>
      <c r="M1306">
        <v>25104</v>
      </c>
      <c r="N1306">
        <v>0</v>
      </c>
      <c r="O1306">
        <v>25104</v>
      </c>
    </row>
    <row r="1307" spans="1:15" x14ac:dyDescent="0.3">
      <c r="A1307" t="s">
        <v>1319</v>
      </c>
      <c r="B1307" s="1">
        <v>44630</v>
      </c>
      <c r="C1307" t="s">
        <v>3314</v>
      </c>
      <c r="D1307" t="s">
        <v>3999</v>
      </c>
      <c r="E1307">
        <v>21</v>
      </c>
      <c r="F1307" t="str">
        <f t="shared" si="20"/>
        <v>18-25</v>
      </c>
      <c r="G1307" t="s">
        <v>4005</v>
      </c>
      <c r="H1307" t="s">
        <v>4009</v>
      </c>
      <c r="I1307" t="s">
        <v>4015</v>
      </c>
      <c r="J1307">
        <v>2</v>
      </c>
      <c r="K1307">
        <v>393</v>
      </c>
      <c r="L1307">
        <v>20</v>
      </c>
      <c r="M1307">
        <v>786</v>
      </c>
      <c r="N1307">
        <v>157.19999999999999</v>
      </c>
      <c r="O1307">
        <v>628.79999999999995</v>
      </c>
    </row>
    <row r="1308" spans="1:15" x14ac:dyDescent="0.3">
      <c r="A1308" t="s">
        <v>1320</v>
      </c>
      <c r="B1308" s="1">
        <v>44710</v>
      </c>
      <c r="C1308" t="s">
        <v>3315</v>
      </c>
      <c r="D1308" t="s">
        <v>3999</v>
      </c>
      <c r="E1308">
        <v>22</v>
      </c>
      <c r="F1308" t="str">
        <f t="shared" si="20"/>
        <v>18-25</v>
      </c>
      <c r="G1308" t="s">
        <v>4003</v>
      </c>
      <c r="H1308" t="s">
        <v>4012</v>
      </c>
      <c r="I1308" t="s">
        <v>4017</v>
      </c>
      <c r="J1308">
        <v>5</v>
      </c>
      <c r="K1308">
        <v>2894</v>
      </c>
      <c r="L1308">
        <v>0</v>
      </c>
      <c r="M1308">
        <v>14470</v>
      </c>
      <c r="N1308">
        <v>0</v>
      </c>
      <c r="O1308">
        <v>14470</v>
      </c>
    </row>
    <row r="1309" spans="1:15" x14ac:dyDescent="0.3">
      <c r="A1309" t="s">
        <v>1321</v>
      </c>
      <c r="B1309" s="1">
        <v>45265</v>
      </c>
      <c r="C1309" t="s">
        <v>3316</v>
      </c>
      <c r="D1309" t="s">
        <v>3999</v>
      </c>
      <c r="E1309">
        <v>64</v>
      </c>
      <c r="F1309" t="str">
        <f t="shared" si="20"/>
        <v>46+</v>
      </c>
      <c r="G1309" t="s">
        <v>4005</v>
      </c>
      <c r="H1309" t="s">
        <v>4008</v>
      </c>
      <c r="I1309" t="s">
        <v>4015</v>
      </c>
      <c r="J1309">
        <v>6</v>
      </c>
      <c r="K1309">
        <v>2966</v>
      </c>
      <c r="L1309">
        <v>15</v>
      </c>
      <c r="M1309">
        <v>17796</v>
      </c>
      <c r="N1309">
        <v>2669.4</v>
      </c>
      <c r="O1309">
        <v>15126.6</v>
      </c>
    </row>
    <row r="1310" spans="1:15" x14ac:dyDescent="0.3">
      <c r="A1310" t="s">
        <v>1322</v>
      </c>
      <c r="B1310" s="1">
        <v>44721</v>
      </c>
      <c r="C1310" t="s">
        <v>3317</v>
      </c>
      <c r="D1310" t="s">
        <v>4000</v>
      </c>
      <c r="E1310">
        <v>42</v>
      </c>
      <c r="F1310" t="str">
        <f t="shared" si="20"/>
        <v>36-45</v>
      </c>
      <c r="G1310" t="s">
        <v>4003</v>
      </c>
      <c r="H1310" t="s">
        <v>4010</v>
      </c>
      <c r="I1310" t="s">
        <v>4016</v>
      </c>
      <c r="J1310">
        <v>7</v>
      </c>
      <c r="K1310">
        <v>5810</v>
      </c>
      <c r="L1310">
        <v>0</v>
      </c>
      <c r="M1310">
        <v>40670</v>
      </c>
      <c r="N1310">
        <v>0</v>
      </c>
      <c r="O1310">
        <v>40670</v>
      </c>
    </row>
    <row r="1311" spans="1:15" x14ac:dyDescent="0.3">
      <c r="A1311" t="s">
        <v>1323</v>
      </c>
      <c r="B1311" s="1">
        <v>44994</v>
      </c>
      <c r="C1311" t="s">
        <v>3318</v>
      </c>
      <c r="D1311" t="s">
        <v>3999</v>
      </c>
      <c r="E1311">
        <v>51</v>
      </c>
      <c r="F1311" t="str">
        <f t="shared" si="20"/>
        <v>46+</v>
      </c>
      <c r="G1311" t="s">
        <v>4006</v>
      </c>
      <c r="H1311" t="s">
        <v>4011</v>
      </c>
      <c r="I1311" t="s">
        <v>4016</v>
      </c>
      <c r="J1311">
        <v>6</v>
      </c>
      <c r="K1311">
        <v>5807</v>
      </c>
      <c r="L1311">
        <v>0</v>
      </c>
      <c r="M1311">
        <v>34842</v>
      </c>
      <c r="N1311">
        <v>0</v>
      </c>
      <c r="O1311">
        <v>34842</v>
      </c>
    </row>
    <row r="1312" spans="1:15" x14ac:dyDescent="0.3">
      <c r="A1312" t="s">
        <v>1324</v>
      </c>
      <c r="B1312" s="1">
        <v>44926</v>
      </c>
      <c r="C1312" t="s">
        <v>3319</v>
      </c>
      <c r="D1312" t="s">
        <v>4000</v>
      </c>
      <c r="E1312">
        <v>34</v>
      </c>
      <c r="F1312" t="str">
        <f t="shared" si="20"/>
        <v>26-35</v>
      </c>
      <c r="G1312" t="s">
        <v>4005</v>
      </c>
      <c r="H1312" t="s">
        <v>4008</v>
      </c>
      <c r="I1312" t="s">
        <v>4013</v>
      </c>
      <c r="J1312">
        <v>6</v>
      </c>
      <c r="K1312">
        <v>1105</v>
      </c>
      <c r="L1312">
        <v>0</v>
      </c>
      <c r="M1312">
        <v>6630</v>
      </c>
      <c r="N1312">
        <v>0</v>
      </c>
      <c r="O1312">
        <v>6630</v>
      </c>
    </row>
    <row r="1313" spans="1:15" x14ac:dyDescent="0.3">
      <c r="A1313" t="s">
        <v>1325</v>
      </c>
      <c r="B1313" s="1">
        <v>44800</v>
      </c>
      <c r="C1313" t="s">
        <v>3320</v>
      </c>
      <c r="D1313" t="s">
        <v>3999</v>
      </c>
      <c r="E1313">
        <v>39</v>
      </c>
      <c r="F1313" t="str">
        <f t="shared" si="20"/>
        <v>36-45</v>
      </c>
      <c r="G1313" t="s">
        <v>4002</v>
      </c>
      <c r="H1313" t="s">
        <v>4007</v>
      </c>
      <c r="I1313" t="s">
        <v>4017</v>
      </c>
      <c r="J1313">
        <v>1</v>
      </c>
      <c r="K1313">
        <v>736</v>
      </c>
      <c r="L1313">
        <v>10</v>
      </c>
      <c r="M1313">
        <v>736</v>
      </c>
      <c r="N1313">
        <v>73.599999999999994</v>
      </c>
      <c r="O1313">
        <v>662.4</v>
      </c>
    </row>
    <row r="1314" spans="1:15" x14ac:dyDescent="0.3">
      <c r="A1314" t="s">
        <v>1326</v>
      </c>
      <c r="B1314" s="1">
        <v>44594</v>
      </c>
      <c r="C1314" t="s">
        <v>3321</v>
      </c>
      <c r="D1314" t="s">
        <v>4000</v>
      </c>
      <c r="E1314">
        <v>63</v>
      </c>
      <c r="F1314" t="str">
        <f t="shared" si="20"/>
        <v>46+</v>
      </c>
      <c r="G1314" t="s">
        <v>4006</v>
      </c>
      <c r="H1314" t="s">
        <v>4007</v>
      </c>
      <c r="I1314" t="s">
        <v>4014</v>
      </c>
      <c r="J1314">
        <v>4</v>
      </c>
      <c r="K1314">
        <v>7189</v>
      </c>
      <c r="L1314">
        <v>5</v>
      </c>
      <c r="M1314">
        <v>28756</v>
      </c>
      <c r="N1314">
        <v>1437.8</v>
      </c>
      <c r="O1314">
        <v>27318.2</v>
      </c>
    </row>
    <row r="1315" spans="1:15" x14ac:dyDescent="0.3">
      <c r="A1315" t="s">
        <v>1327</v>
      </c>
      <c r="B1315" s="1">
        <v>45167</v>
      </c>
      <c r="C1315" t="s">
        <v>3322</v>
      </c>
      <c r="D1315" t="s">
        <v>4000</v>
      </c>
      <c r="E1315">
        <v>30</v>
      </c>
      <c r="F1315" t="str">
        <f t="shared" si="20"/>
        <v>26-35</v>
      </c>
      <c r="G1315" t="s">
        <v>4002</v>
      </c>
      <c r="H1315" t="s">
        <v>4007</v>
      </c>
      <c r="I1315" t="s">
        <v>4013</v>
      </c>
      <c r="J1315">
        <v>5</v>
      </c>
      <c r="K1315">
        <v>2348</v>
      </c>
      <c r="L1315">
        <v>10</v>
      </c>
      <c r="M1315">
        <v>11740</v>
      </c>
      <c r="N1315">
        <v>1174</v>
      </c>
      <c r="O1315">
        <v>10566</v>
      </c>
    </row>
    <row r="1316" spans="1:15" x14ac:dyDescent="0.3">
      <c r="A1316" t="s">
        <v>1328</v>
      </c>
      <c r="B1316" s="1">
        <v>45276</v>
      </c>
      <c r="C1316" t="s">
        <v>3323</v>
      </c>
      <c r="D1316" t="s">
        <v>3999</v>
      </c>
      <c r="E1316">
        <v>25</v>
      </c>
      <c r="F1316" t="str">
        <f t="shared" si="20"/>
        <v>18-25</v>
      </c>
      <c r="G1316" t="s">
        <v>4006</v>
      </c>
      <c r="H1316" t="s">
        <v>4008</v>
      </c>
      <c r="I1316" t="s">
        <v>4017</v>
      </c>
      <c r="J1316">
        <v>4</v>
      </c>
      <c r="K1316">
        <v>1498</v>
      </c>
      <c r="L1316">
        <v>15</v>
      </c>
      <c r="M1316">
        <v>5992</v>
      </c>
      <c r="N1316">
        <v>898.8</v>
      </c>
      <c r="O1316">
        <v>5093.2</v>
      </c>
    </row>
    <row r="1317" spans="1:15" x14ac:dyDescent="0.3">
      <c r="A1317" t="s">
        <v>1329</v>
      </c>
      <c r="B1317" s="1">
        <v>45060</v>
      </c>
      <c r="C1317" t="s">
        <v>3324</v>
      </c>
      <c r="D1317" t="s">
        <v>4000</v>
      </c>
      <c r="E1317">
        <v>59</v>
      </c>
      <c r="F1317" t="str">
        <f t="shared" si="20"/>
        <v>46+</v>
      </c>
      <c r="G1317" t="s">
        <v>4006</v>
      </c>
      <c r="H1317" t="s">
        <v>4011</v>
      </c>
      <c r="I1317" t="s">
        <v>4016</v>
      </c>
      <c r="J1317">
        <v>3</v>
      </c>
      <c r="K1317">
        <v>565</v>
      </c>
      <c r="L1317">
        <v>5</v>
      </c>
      <c r="M1317">
        <v>1695</v>
      </c>
      <c r="N1317">
        <v>84.75</v>
      </c>
      <c r="O1317">
        <v>1610.25</v>
      </c>
    </row>
    <row r="1318" spans="1:15" x14ac:dyDescent="0.3">
      <c r="A1318" t="s">
        <v>1330</v>
      </c>
      <c r="B1318" s="1">
        <v>45193</v>
      </c>
      <c r="C1318" t="s">
        <v>3325</v>
      </c>
      <c r="D1318" t="s">
        <v>4000</v>
      </c>
      <c r="E1318">
        <v>52</v>
      </c>
      <c r="F1318" t="str">
        <f t="shared" si="20"/>
        <v>46+</v>
      </c>
      <c r="G1318" t="s">
        <v>4006</v>
      </c>
      <c r="H1318" t="s">
        <v>4011</v>
      </c>
      <c r="I1318" t="s">
        <v>4016</v>
      </c>
      <c r="J1318">
        <v>2</v>
      </c>
      <c r="K1318">
        <v>6385</v>
      </c>
      <c r="L1318">
        <v>20</v>
      </c>
      <c r="M1318">
        <v>12770</v>
      </c>
      <c r="N1318">
        <v>2554</v>
      </c>
      <c r="O1318">
        <v>10216</v>
      </c>
    </row>
    <row r="1319" spans="1:15" x14ac:dyDescent="0.3">
      <c r="A1319" t="s">
        <v>1331</v>
      </c>
      <c r="B1319" s="1">
        <v>45225</v>
      </c>
      <c r="C1319" t="s">
        <v>3326</v>
      </c>
      <c r="D1319" t="s">
        <v>3999</v>
      </c>
      <c r="E1319">
        <v>53</v>
      </c>
      <c r="F1319" t="str">
        <f t="shared" si="20"/>
        <v>46+</v>
      </c>
      <c r="G1319" t="s">
        <v>4005</v>
      </c>
      <c r="H1319" t="s">
        <v>4008</v>
      </c>
      <c r="I1319" t="s">
        <v>4014</v>
      </c>
      <c r="J1319">
        <v>3</v>
      </c>
      <c r="K1319">
        <v>2203</v>
      </c>
      <c r="L1319">
        <v>10</v>
      </c>
      <c r="M1319">
        <v>6609</v>
      </c>
      <c r="N1319">
        <v>660.9</v>
      </c>
      <c r="O1319">
        <v>5948.1</v>
      </c>
    </row>
    <row r="1320" spans="1:15" x14ac:dyDescent="0.3">
      <c r="A1320" t="s">
        <v>1332</v>
      </c>
      <c r="B1320" s="1">
        <v>44899</v>
      </c>
      <c r="C1320" t="s">
        <v>3327</v>
      </c>
      <c r="D1320" t="s">
        <v>3999</v>
      </c>
      <c r="E1320">
        <v>53</v>
      </c>
      <c r="F1320" t="str">
        <f t="shared" si="20"/>
        <v>46+</v>
      </c>
      <c r="G1320" t="s">
        <v>4002</v>
      </c>
      <c r="H1320" t="s">
        <v>4012</v>
      </c>
      <c r="I1320" t="s">
        <v>4015</v>
      </c>
      <c r="J1320">
        <v>7</v>
      </c>
      <c r="K1320">
        <v>4635</v>
      </c>
      <c r="L1320">
        <v>15</v>
      </c>
      <c r="M1320">
        <v>32445</v>
      </c>
      <c r="N1320">
        <v>4866.75</v>
      </c>
      <c r="O1320">
        <v>27578.25</v>
      </c>
    </row>
    <row r="1321" spans="1:15" x14ac:dyDescent="0.3">
      <c r="A1321" t="s">
        <v>1333</v>
      </c>
      <c r="B1321" s="1">
        <v>44647</v>
      </c>
      <c r="C1321" t="s">
        <v>3328</v>
      </c>
      <c r="D1321" t="s">
        <v>3999</v>
      </c>
      <c r="E1321">
        <v>56</v>
      </c>
      <c r="F1321" t="str">
        <f t="shared" si="20"/>
        <v>46+</v>
      </c>
      <c r="G1321" t="s">
        <v>4004</v>
      </c>
      <c r="H1321" t="s">
        <v>4012</v>
      </c>
      <c r="I1321" t="s">
        <v>4014</v>
      </c>
      <c r="J1321">
        <v>7</v>
      </c>
      <c r="K1321">
        <v>7705</v>
      </c>
      <c r="L1321">
        <v>0</v>
      </c>
      <c r="M1321">
        <v>53935</v>
      </c>
      <c r="N1321">
        <v>0</v>
      </c>
      <c r="O1321">
        <v>53935</v>
      </c>
    </row>
    <row r="1322" spans="1:15" x14ac:dyDescent="0.3">
      <c r="A1322" t="s">
        <v>1334</v>
      </c>
      <c r="B1322" s="1">
        <v>44728</v>
      </c>
      <c r="C1322" t="s">
        <v>3329</v>
      </c>
      <c r="D1322" t="s">
        <v>3999</v>
      </c>
      <c r="E1322">
        <v>33</v>
      </c>
      <c r="F1322" t="str">
        <f t="shared" si="20"/>
        <v>26-35</v>
      </c>
      <c r="G1322" t="s">
        <v>4005</v>
      </c>
      <c r="H1322" t="s">
        <v>4007</v>
      </c>
      <c r="I1322" t="s">
        <v>4016</v>
      </c>
      <c r="J1322">
        <v>1</v>
      </c>
      <c r="K1322">
        <v>7658</v>
      </c>
      <c r="L1322">
        <v>15</v>
      </c>
      <c r="M1322">
        <v>7658</v>
      </c>
      <c r="N1322">
        <v>1148.7</v>
      </c>
      <c r="O1322">
        <v>6509.3</v>
      </c>
    </row>
    <row r="1323" spans="1:15" x14ac:dyDescent="0.3">
      <c r="A1323" t="s">
        <v>1335</v>
      </c>
      <c r="B1323" s="1">
        <v>44826</v>
      </c>
      <c r="C1323" t="s">
        <v>3330</v>
      </c>
      <c r="D1323" t="s">
        <v>4000</v>
      </c>
      <c r="E1323">
        <v>41</v>
      </c>
      <c r="F1323" t="str">
        <f t="shared" si="20"/>
        <v>36-45</v>
      </c>
      <c r="G1323" t="s">
        <v>4001</v>
      </c>
      <c r="H1323" t="s">
        <v>4012</v>
      </c>
      <c r="I1323" t="s">
        <v>4017</v>
      </c>
      <c r="J1323">
        <v>3</v>
      </c>
      <c r="K1323">
        <v>7431</v>
      </c>
      <c r="L1323">
        <v>10</v>
      </c>
      <c r="M1323">
        <v>22293</v>
      </c>
      <c r="N1323">
        <v>2229.3000000000002</v>
      </c>
      <c r="O1323">
        <v>20063.7</v>
      </c>
    </row>
    <row r="1324" spans="1:15" x14ac:dyDescent="0.3">
      <c r="A1324" t="s">
        <v>1336</v>
      </c>
      <c r="B1324" s="1">
        <v>45084</v>
      </c>
      <c r="C1324" t="s">
        <v>3331</v>
      </c>
      <c r="D1324" t="s">
        <v>4000</v>
      </c>
      <c r="E1324">
        <v>63</v>
      </c>
      <c r="F1324" t="str">
        <f t="shared" si="20"/>
        <v>46+</v>
      </c>
      <c r="G1324" t="s">
        <v>4006</v>
      </c>
      <c r="H1324" t="s">
        <v>4009</v>
      </c>
      <c r="I1324" t="s">
        <v>4015</v>
      </c>
      <c r="J1324">
        <v>5</v>
      </c>
      <c r="K1324">
        <v>7611</v>
      </c>
      <c r="L1324">
        <v>0</v>
      </c>
      <c r="M1324">
        <v>38055</v>
      </c>
      <c r="N1324">
        <v>0</v>
      </c>
      <c r="O1324">
        <v>38055</v>
      </c>
    </row>
    <row r="1325" spans="1:15" x14ac:dyDescent="0.3">
      <c r="A1325" t="s">
        <v>1337</v>
      </c>
      <c r="B1325" s="1">
        <v>44949</v>
      </c>
      <c r="C1325" t="s">
        <v>3332</v>
      </c>
      <c r="D1325" t="s">
        <v>3999</v>
      </c>
      <c r="E1325">
        <v>45</v>
      </c>
      <c r="F1325" t="str">
        <f t="shared" si="20"/>
        <v>36-45</v>
      </c>
      <c r="G1325" t="s">
        <v>4004</v>
      </c>
      <c r="H1325" t="s">
        <v>4007</v>
      </c>
      <c r="I1325" t="s">
        <v>4015</v>
      </c>
      <c r="J1325">
        <v>2</v>
      </c>
      <c r="K1325">
        <v>6611</v>
      </c>
      <c r="L1325">
        <v>10</v>
      </c>
      <c r="M1325">
        <v>13222</v>
      </c>
      <c r="N1325">
        <v>1322.2</v>
      </c>
      <c r="O1325">
        <v>11899.8</v>
      </c>
    </row>
    <row r="1326" spans="1:15" x14ac:dyDescent="0.3">
      <c r="A1326" t="s">
        <v>1338</v>
      </c>
      <c r="B1326" s="1">
        <v>45104</v>
      </c>
      <c r="C1326" t="s">
        <v>3333</v>
      </c>
      <c r="D1326" t="s">
        <v>3999</v>
      </c>
      <c r="E1326">
        <v>32</v>
      </c>
      <c r="F1326" t="str">
        <f t="shared" si="20"/>
        <v>26-35</v>
      </c>
      <c r="G1326" t="s">
        <v>4005</v>
      </c>
      <c r="H1326" t="s">
        <v>4007</v>
      </c>
      <c r="I1326" t="s">
        <v>4016</v>
      </c>
      <c r="J1326">
        <v>1</v>
      </c>
      <c r="K1326">
        <v>1915</v>
      </c>
      <c r="L1326">
        <v>10</v>
      </c>
      <c r="M1326">
        <v>1915</v>
      </c>
      <c r="N1326">
        <v>191.5</v>
      </c>
      <c r="O1326">
        <v>1723.5</v>
      </c>
    </row>
    <row r="1327" spans="1:15" x14ac:dyDescent="0.3">
      <c r="A1327" t="s">
        <v>1339</v>
      </c>
      <c r="B1327" s="1">
        <v>44617</v>
      </c>
      <c r="C1327" t="s">
        <v>3334</v>
      </c>
      <c r="D1327" t="s">
        <v>4000</v>
      </c>
      <c r="E1327">
        <v>28</v>
      </c>
      <c r="F1327" t="str">
        <f t="shared" si="20"/>
        <v>26-35</v>
      </c>
      <c r="G1327" t="s">
        <v>4003</v>
      </c>
      <c r="H1327" t="s">
        <v>4009</v>
      </c>
      <c r="I1327" t="s">
        <v>4014</v>
      </c>
      <c r="J1327">
        <v>3</v>
      </c>
      <c r="K1327">
        <v>2385</v>
      </c>
      <c r="L1327">
        <v>10</v>
      </c>
      <c r="M1327">
        <v>7155</v>
      </c>
      <c r="N1327">
        <v>715.5</v>
      </c>
      <c r="O1327">
        <v>6439.5</v>
      </c>
    </row>
    <row r="1328" spans="1:15" x14ac:dyDescent="0.3">
      <c r="A1328" t="s">
        <v>1340</v>
      </c>
      <c r="B1328" s="1">
        <v>44884</v>
      </c>
      <c r="C1328" t="s">
        <v>3335</v>
      </c>
      <c r="D1328" t="s">
        <v>4000</v>
      </c>
      <c r="E1328">
        <v>30</v>
      </c>
      <c r="F1328" t="str">
        <f t="shared" si="20"/>
        <v>26-35</v>
      </c>
      <c r="G1328" t="s">
        <v>4003</v>
      </c>
      <c r="H1328" t="s">
        <v>4011</v>
      </c>
      <c r="I1328" t="s">
        <v>4016</v>
      </c>
      <c r="J1328">
        <v>7</v>
      </c>
      <c r="K1328">
        <v>4780</v>
      </c>
      <c r="L1328">
        <v>10</v>
      </c>
      <c r="M1328">
        <v>33460</v>
      </c>
      <c r="N1328">
        <v>3346</v>
      </c>
      <c r="O1328">
        <v>30114</v>
      </c>
    </row>
    <row r="1329" spans="1:15" x14ac:dyDescent="0.3">
      <c r="A1329" t="s">
        <v>1341</v>
      </c>
      <c r="B1329" s="1">
        <v>44690</v>
      </c>
      <c r="C1329" t="s">
        <v>3336</v>
      </c>
      <c r="D1329" t="s">
        <v>3999</v>
      </c>
      <c r="E1329">
        <v>56</v>
      </c>
      <c r="F1329" t="str">
        <f t="shared" si="20"/>
        <v>46+</v>
      </c>
      <c r="G1329" t="s">
        <v>4003</v>
      </c>
      <c r="H1329" t="s">
        <v>4007</v>
      </c>
      <c r="I1329" t="s">
        <v>4017</v>
      </c>
      <c r="J1329">
        <v>7</v>
      </c>
      <c r="K1329">
        <v>2752</v>
      </c>
      <c r="L1329">
        <v>5</v>
      </c>
      <c r="M1329">
        <v>19264</v>
      </c>
      <c r="N1329">
        <v>963.2</v>
      </c>
      <c r="O1329">
        <v>18300.8</v>
      </c>
    </row>
    <row r="1330" spans="1:15" x14ac:dyDescent="0.3">
      <c r="A1330" t="s">
        <v>1342</v>
      </c>
      <c r="B1330" s="1">
        <v>44867</v>
      </c>
      <c r="C1330" t="s">
        <v>3337</v>
      </c>
      <c r="D1330" t="s">
        <v>3999</v>
      </c>
      <c r="E1330">
        <v>37</v>
      </c>
      <c r="F1330" t="str">
        <f t="shared" si="20"/>
        <v>36-45</v>
      </c>
      <c r="G1330" t="s">
        <v>4004</v>
      </c>
      <c r="H1330" t="s">
        <v>4008</v>
      </c>
      <c r="I1330" t="s">
        <v>4016</v>
      </c>
      <c r="J1330">
        <v>3</v>
      </c>
      <c r="K1330">
        <v>4272</v>
      </c>
      <c r="L1330">
        <v>10</v>
      </c>
      <c r="M1330">
        <v>12816</v>
      </c>
      <c r="N1330">
        <v>1281.5999999999999</v>
      </c>
      <c r="O1330">
        <v>11534.4</v>
      </c>
    </row>
    <row r="1331" spans="1:15" x14ac:dyDescent="0.3">
      <c r="A1331" t="s">
        <v>1343</v>
      </c>
      <c r="B1331" s="1">
        <v>45239</v>
      </c>
      <c r="C1331" t="s">
        <v>3338</v>
      </c>
      <c r="D1331" t="s">
        <v>4000</v>
      </c>
      <c r="E1331">
        <v>36</v>
      </c>
      <c r="F1331" t="str">
        <f t="shared" si="20"/>
        <v>36-45</v>
      </c>
      <c r="G1331" t="s">
        <v>4005</v>
      </c>
      <c r="H1331" t="s">
        <v>4007</v>
      </c>
      <c r="I1331" t="s">
        <v>4015</v>
      </c>
      <c r="J1331">
        <v>6</v>
      </c>
      <c r="K1331">
        <v>1086</v>
      </c>
      <c r="L1331">
        <v>0</v>
      </c>
      <c r="M1331">
        <v>6516</v>
      </c>
      <c r="N1331">
        <v>0</v>
      </c>
      <c r="O1331">
        <v>6516</v>
      </c>
    </row>
    <row r="1332" spans="1:15" x14ac:dyDescent="0.3">
      <c r="A1332" t="s">
        <v>1344</v>
      </c>
      <c r="B1332" s="1">
        <v>45174</v>
      </c>
      <c r="C1332" t="s">
        <v>3339</v>
      </c>
      <c r="D1332" t="s">
        <v>3999</v>
      </c>
      <c r="E1332">
        <v>53</v>
      </c>
      <c r="F1332" t="str">
        <f t="shared" si="20"/>
        <v>46+</v>
      </c>
      <c r="G1332" t="s">
        <v>4001</v>
      </c>
      <c r="H1332" t="s">
        <v>4008</v>
      </c>
      <c r="I1332" t="s">
        <v>4016</v>
      </c>
      <c r="J1332">
        <v>2</v>
      </c>
      <c r="K1332">
        <v>7331</v>
      </c>
      <c r="L1332">
        <v>0</v>
      </c>
      <c r="M1332">
        <v>14662</v>
      </c>
      <c r="N1332">
        <v>0</v>
      </c>
      <c r="O1332">
        <v>14662</v>
      </c>
    </row>
    <row r="1333" spans="1:15" x14ac:dyDescent="0.3">
      <c r="A1333" t="s">
        <v>1345</v>
      </c>
      <c r="B1333" s="1">
        <v>45287</v>
      </c>
      <c r="C1333" t="s">
        <v>3340</v>
      </c>
      <c r="D1333" t="s">
        <v>3999</v>
      </c>
      <c r="E1333">
        <v>64</v>
      </c>
      <c r="F1333" t="str">
        <f t="shared" si="20"/>
        <v>46+</v>
      </c>
      <c r="G1333" t="s">
        <v>4004</v>
      </c>
      <c r="H1333" t="s">
        <v>4010</v>
      </c>
      <c r="I1333" t="s">
        <v>4014</v>
      </c>
      <c r="J1333">
        <v>5</v>
      </c>
      <c r="K1333">
        <v>2221</v>
      </c>
      <c r="L1333">
        <v>0</v>
      </c>
      <c r="M1333">
        <v>11105</v>
      </c>
      <c r="N1333">
        <v>0</v>
      </c>
      <c r="O1333">
        <v>11105</v>
      </c>
    </row>
    <row r="1334" spans="1:15" x14ac:dyDescent="0.3">
      <c r="A1334" t="s">
        <v>1346</v>
      </c>
      <c r="B1334" s="1">
        <v>44723</v>
      </c>
      <c r="C1334" t="s">
        <v>3341</v>
      </c>
      <c r="D1334" t="s">
        <v>4000</v>
      </c>
      <c r="E1334">
        <v>24</v>
      </c>
      <c r="F1334" t="str">
        <f t="shared" si="20"/>
        <v>18-25</v>
      </c>
      <c r="G1334" t="s">
        <v>4003</v>
      </c>
      <c r="H1334" t="s">
        <v>4012</v>
      </c>
      <c r="I1334" t="s">
        <v>4016</v>
      </c>
      <c r="J1334">
        <v>4</v>
      </c>
      <c r="K1334">
        <v>7744</v>
      </c>
      <c r="L1334">
        <v>0</v>
      </c>
      <c r="M1334">
        <v>30976</v>
      </c>
      <c r="N1334">
        <v>0</v>
      </c>
      <c r="O1334">
        <v>30976</v>
      </c>
    </row>
    <row r="1335" spans="1:15" x14ac:dyDescent="0.3">
      <c r="A1335" t="s">
        <v>1347</v>
      </c>
      <c r="B1335" s="1">
        <v>45161</v>
      </c>
      <c r="C1335" t="s">
        <v>3342</v>
      </c>
      <c r="D1335" t="s">
        <v>4000</v>
      </c>
      <c r="E1335">
        <v>22</v>
      </c>
      <c r="F1335" t="str">
        <f t="shared" si="20"/>
        <v>18-25</v>
      </c>
      <c r="G1335" t="s">
        <v>4001</v>
      </c>
      <c r="H1335" t="s">
        <v>4008</v>
      </c>
      <c r="I1335" t="s">
        <v>4013</v>
      </c>
      <c r="J1335">
        <v>4</v>
      </c>
      <c r="K1335">
        <v>5554</v>
      </c>
      <c r="L1335">
        <v>15</v>
      </c>
      <c r="M1335">
        <v>22216</v>
      </c>
      <c r="N1335">
        <v>3332.4</v>
      </c>
      <c r="O1335">
        <v>18883.599999999999</v>
      </c>
    </row>
    <row r="1336" spans="1:15" x14ac:dyDescent="0.3">
      <c r="A1336" t="s">
        <v>1348</v>
      </c>
      <c r="B1336" s="1">
        <v>45178</v>
      </c>
      <c r="C1336" t="s">
        <v>3343</v>
      </c>
      <c r="D1336" t="s">
        <v>3999</v>
      </c>
      <c r="E1336">
        <v>29</v>
      </c>
      <c r="F1336" t="str">
        <f t="shared" si="20"/>
        <v>26-35</v>
      </c>
      <c r="G1336" t="s">
        <v>4003</v>
      </c>
      <c r="H1336" t="s">
        <v>4007</v>
      </c>
      <c r="I1336" t="s">
        <v>4016</v>
      </c>
      <c r="J1336">
        <v>5</v>
      </c>
      <c r="K1336">
        <v>6800</v>
      </c>
      <c r="L1336">
        <v>10</v>
      </c>
      <c r="M1336">
        <v>34000</v>
      </c>
      <c r="N1336">
        <v>3400</v>
      </c>
      <c r="O1336">
        <v>30600</v>
      </c>
    </row>
    <row r="1337" spans="1:15" x14ac:dyDescent="0.3">
      <c r="A1337" t="s">
        <v>1349</v>
      </c>
      <c r="B1337" s="1">
        <v>44820</v>
      </c>
      <c r="C1337" t="s">
        <v>3344</v>
      </c>
      <c r="D1337" t="s">
        <v>4000</v>
      </c>
      <c r="E1337">
        <v>39</v>
      </c>
      <c r="F1337" t="str">
        <f t="shared" si="20"/>
        <v>36-45</v>
      </c>
      <c r="G1337" t="s">
        <v>4004</v>
      </c>
      <c r="H1337" t="s">
        <v>4010</v>
      </c>
      <c r="I1337" t="s">
        <v>4016</v>
      </c>
      <c r="J1337">
        <v>2</v>
      </c>
      <c r="K1337">
        <v>6936</v>
      </c>
      <c r="L1337">
        <v>10</v>
      </c>
      <c r="M1337">
        <v>13872</v>
      </c>
      <c r="N1337">
        <v>1387.2</v>
      </c>
      <c r="O1337">
        <v>12484.8</v>
      </c>
    </row>
    <row r="1338" spans="1:15" x14ac:dyDescent="0.3">
      <c r="A1338" t="s">
        <v>1350</v>
      </c>
      <c r="B1338" s="1">
        <v>44844</v>
      </c>
      <c r="C1338" t="s">
        <v>3345</v>
      </c>
      <c r="D1338" t="s">
        <v>4000</v>
      </c>
      <c r="E1338">
        <v>50</v>
      </c>
      <c r="F1338" t="str">
        <f t="shared" si="20"/>
        <v>46+</v>
      </c>
      <c r="G1338" t="s">
        <v>4004</v>
      </c>
      <c r="H1338" t="s">
        <v>4011</v>
      </c>
      <c r="I1338" t="s">
        <v>4017</v>
      </c>
      <c r="J1338">
        <v>5</v>
      </c>
      <c r="K1338">
        <v>6430</v>
      </c>
      <c r="L1338">
        <v>15</v>
      </c>
      <c r="M1338">
        <v>32150</v>
      </c>
      <c r="N1338">
        <v>4822.5</v>
      </c>
      <c r="O1338">
        <v>27327.5</v>
      </c>
    </row>
    <row r="1339" spans="1:15" x14ac:dyDescent="0.3">
      <c r="A1339" t="s">
        <v>1351</v>
      </c>
      <c r="B1339" s="1">
        <v>44823</v>
      </c>
      <c r="C1339" t="s">
        <v>3346</v>
      </c>
      <c r="D1339" t="s">
        <v>4000</v>
      </c>
      <c r="E1339">
        <v>24</v>
      </c>
      <c r="F1339" t="str">
        <f t="shared" si="20"/>
        <v>18-25</v>
      </c>
      <c r="G1339" t="s">
        <v>4002</v>
      </c>
      <c r="H1339" t="s">
        <v>4008</v>
      </c>
      <c r="I1339" t="s">
        <v>4014</v>
      </c>
      <c r="J1339">
        <v>1</v>
      </c>
      <c r="K1339">
        <v>5580</v>
      </c>
      <c r="L1339">
        <v>15</v>
      </c>
      <c r="M1339">
        <v>5580</v>
      </c>
      <c r="N1339">
        <v>837</v>
      </c>
      <c r="O1339">
        <v>4743</v>
      </c>
    </row>
    <row r="1340" spans="1:15" x14ac:dyDescent="0.3">
      <c r="A1340" t="s">
        <v>1352</v>
      </c>
      <c r="B1340" s="1">
        <v>44701</v>
      </c>
      <c r="C1340" t="s">
        <v>3347</v>
      </c>
      <c r="D1340" t="s">
        <v>3999</v>
      </c>
      <c r="E1340">
        <v>57</v>
      </c>
      <c r="F1340" t="str">
        <f t="shared" si="20"/>
        <v>46+</v>
      </c>
      <c r="G1340" t="s">
        <v>4006</v>
      </c>
      <c r="H1340" t="s">
        <v>4010</v>
      </c>
      <c r="I1340" t="s">
        <v>4015</v>
      </c>
      <c r="J1340">
        <v>4</v>
      </c>
      <c r="K1340">
        <v>4594</v>
      </c>
      <c r="L1340">
        <v>15</v>
      </c>
      <c r="M1340">
        <v>18376</v>
      </c>
      <c r="N1340">
        <v>2756.4</v>
      </c>
      <c r="O1340">
        <v>15619.6</v>
      </c>
    </row>
    <row r="1341" spans="1:15" x14ac:dyDescent="0.3">
      <c r="A1341" t="s">
        <v>1353</v>
      </c>
      <c r="B1341" s="1">
        <v>44623</v>
      </c>
      <c r="C1341" t="s">
        <v>3348</v>
      </c>
      <c r="D1341" t="s">
        <v>4000</v>
      </c>
      <c r="E1341">
        <v>29</v>
      </c>
      <c r="F1341" t="str">
        <f t="shared" si="20"/>
        <v>26-35</v>
      </c>
      <c r="G1341" t="s">
        <v>4001</v>
      </c>
      <c r="H1341" t="s">
        <v>4009</v>
      </c>
      <c r="I1341" t="s">
        <v>4015</v>
      </c>
      <c r="J1341">
        <v>5</v>
      </c>
      <c r="K1341">
        <v>2592</v>
      </c>
      <c r="L1341">
        <v>0</v>
      </c>
      <c r="M1341">
        <v>12960</v>
      </c>
      <c r="N1341">
        <v>0</v>
      </c>
      <c r="O1341">
        <v>12960</v>
      </c>
    </row>
    <row r="1342" spans="1:15" x14ac:dyDescent="0.3">
      <c r="A1342" t="s">
        <v>1354</v>
      </c>
      <c r="B1342" s="1">
        <v>44609</v>
      </c>
      <c r="C1342" t="s">
        <v>3349</v>
      </c>
      <c r="D1342" t="s">
        <v>3999</v>
      </c>
      <c r="E1342">
        <v>59</v>
      </c>
      <c r="F1342" t="str">
        <f t="shared" si="20"/>
        <v>46+</v>
      </c>
      <c r="G1342" t="s">
        <v>4003</v>
      </c>
      <c r="H1342" t="s">
        <v>4009</v>
      </c>
      <c r="I1342" t="s">
        <v>4013</v>
      </c>
      <c r="J1342">
        <v>2</v>
      </c>
      <c r="K1342">
        <v>6455</v>
      </c>
      <c r="L1342">
        <v>0</v>
      </c>
      <c r="M1342">
        <v>12910</v>
      </c>
      <c r="N1342">
        <v>0</v>
      </c>
      <c r="O1342">
        <v>12910</v>
      </c>
    </row>
    <row r="1343" spans="1:15" x14ac:dyDescent="0.3">
      <c r="A1343" t="s">
        <v>1355</v>
      </c>
      <c r="B1343" s="1">
        <v>45112</v>
      </c>
      <c r="C1343" t="s">
        <v>3350</v>
      </c>
      <c r="D1343" t="s">
        <v>3999</v>
      </c>
      <c r="E1343">
        <v>20</v>
      </c>
      <c r="F1343" t="str">
        <f t="shared" si="20"/>
        <v>18-25</v>
      </c>
      <c r="G1343" t="s">
        <v>4003</v>
      </c>
      <c r="H1343" t="s">
        <v>4009</v>
      </c>
      <c r="I1343" t="s">
        <v>4013</v>
      </c>
      <c r="J1343">
        <v>7</v>
      </c>
      <c r="K1343">
        <v>6721</v>
      </c>
      <c r="L1343">
        <v>10</v>
      </c>
      <c r="M1343">
        <v>47047</v>
      </c>
      <c r="N1343">
        <v>4704.7</v>
      </c>
      <c r="O1343">
        <v>42342.3</v>
      </c>
    </row>
    <row r="1344" spans="1:15" x14ac:dyDescent="0.3">
      <c r="A1344" t="s">
        <v>1356</v>
      </c>
      <c r="B1344" s="1">
        <v>44659</v>
      </c>
      <c r="C1344" t="s">
        <v>3351</v>
      </c>
      <c r="D1344" t="s">
        <v>4000</v>
      </c>
      <c r="E1344">
        <v>42</v>
      </c>
      <c r="F1344" t="str">
        <f t="shared" si="20"/>
        <v>36-45</v>
      </c>
      <c r="G1344" t="s">
        <v>4005</v>
      </c>
      <c r="H1344" t="s">
        <v>4007</v>
      </c>
      <c r="I1344" t="s">
        <v>4015</v>
      </c>
      <c r="J1344">
        <v>5</v>
      </c>
      <c r="K1344">
        <v>6981</v>
      </c>
      <c r="L1344">
        <v>15</v>
      </c>
      <c r="M1344">
        <v>34905</v>
      </c>
      <c r="N1344">
        <v>5235.75</v>
      </c>
      <c r="O1344">
        <v>29669.25</v>
      </c>
    </row>
    <row r="1345" spans="1:15" x14ac:dyDescent="0.3">
      <c r="A1345" t="s">
        <v>1357</v>
      </c>
      <c r="B1345" s="1">
        <v>45248</v>
      </c>
      <c r="C1345" t="s">
        <v>3352</v>
      </c>
      <c r="D1345" t="s">
        <v>4000</v>
      </c>
      <c r="E1345">
        <v>18</v>
      </c>
      <c r="F1345" t="str">
        <f t="shared" si="20"/>
        <v>18-25</v>
      </c>
      <c r="G1345" t="s">
        <v>4002</v>
      </c>
      <c r="H1345" t="s">
        <v>4007</v>
      </c>
      <c r="I1345" t="s">
        <v>4015</v>
      </c>
      <c r="J1345">
        <v>4</v>
      </c>
      <c r="K1345">
        <v>3884</v>
      </c>
      <c r="L1345">
        <v>0</v>
      </c>
      <c r="M1345">
        <v>15536</v>
      </c>
      <c r="N1345">
        <v>0</v>
      </c>
      <c r="O1345">
        <v>15536</v>
      </c>
    </row>
    <row r="1346" spans="1:15" x14ac:dyDescent="0.3">
      <c r="A1346" t="s">
        <v>1358</v>
      </c>
      <c r="B1346" s="1">
        <v>45094</v>
      </c>
      <c r="C1346" t="s">
        <v>3353</v>
      </c>
      <c r="D1346" t="s">
        <v>4000</v>
      </c>
      <c r="E1346">
        <v>51</v>
      </c>
      <c r="F1346" t="str">
        <f t="shared" ref="F1346:F1409" si="21">IF(E1346&lt;=25,"18-25",IF(E1346&lt;=35,"26-35",IF(E1346&lt;=45,"36-45","46+")))</f>
        <v>46+</v>
      </c>
      <c r="G1346" t="s">
        <v>4001</v>
      </c>
      <c r="H1346" t="s">
        <v>4008</v>
      </c>
      <c r="I1346" t="s">
        <v>4016</v>
      </c>
      <c r="J1346">
        <v>7</v>
      </c>
      <c r="K1346">
        <v>3170</v>
      </c>
      <c r="L1346">
        <v>0</v>
      </c>
      <c r="M1346">
        <v>22190</v>
      </c>
      <c r="N1346">
        <v>0</v>
      </c>
      <c r="O1346">
        <v>22190</v>
      </c>
    </row>
    <row r="1347" spans="1:15" x14ac:dyDescent="0.3">
      <c r="A1347" t="s">
        <v>1359</v>
      </c>
      <c r="B1347" s="1">
        <v>44949</v>
      </c>
      <c r="C1347" t="s">
        <v>3354</v>
      </c>
      <c r="D1347" t="s">
        <v>4000</v>
      </c>
      <c r="E1347">
        <v>32</v>
      </c>
      <c r="F1347" t="str">
        <f t="shared" si="21"/>
        <v>26-35</v>
      </c>
      <c r="G1347" t="s">
        <v>4003</v>
      </c>
      <c r="H1347" t="s">
        <v>4008</v>
      </c>
      <c r="I1347" t="s">
        <v>4015</v>
      </c>
      <c r="J1347">
        <v>6</v>
      </c>
      <c r="K1347">
        <v>2562</v>
      </c>
      <c r="L1347">
        <v>10</v>
      </c>
      <c r="M1347">
        <v>15372</v>
      </c>
      <c r="N1347">
        <v>1537.2</v>
      </c>
      <c r="O1347">
        <v>13834.8</v>
      </c>
    </row>
    <row r="1348" spans="1:15" x14ac:dyDescent="0.3">
      <c r="A1348" t="s">
        <v>1360</v>
      </c>
      <c r="B1348" s="1">
        <v>45258</v>
      </c>
      <c r="C1348" t="s">
        <v>3355</v>
      </c>
      <c r="D1348" t="s">
        <v>3999</v>
      </c>
      <c r="E1348">
        <v>51</v>
      </c>
      <c r="F1348" t="str">
        <f t="shared" si="21"/>
        <v>46+</v>
      </c>
      <c r="G1348" t="s">
        <v>4006</v>
      </c>
      <c r="H1348" t="s">
        <v>4008</v>
      </c>
      <c r="I1348" t="s">
        <v>4015</v>
      </c>
      <c r="J1348">
        <v>1</v>
      </c>
      <c r="K1348">
        <v>6899</v>
      </c>
      <c r="L1348">
        <v>15</v>
      </c>
      <c r="M1348">
        <v>6899</v>
      </c>
      <c r="N1348">
        <v>1034.8499999999999</v>
      </c>
      <c r="O1348">
        <v>5864.15</v>
      </c>
    </row>
    <row r="1349" spans="1:15" x14ac:dyDescent="0.3">
      <c r="A1349" t="s">
        <v>1361</v>
      </c>
      <c r="B1349" s="1">
        <v>45142</v>
      </c>
      <c r="C1349" t="s">
        <v>3356</v>
      </c>
      <c r="D1349" t="s">
        <v>3999</v>
      </c>
      <c r="E1349">
        <v>26</v>
      </c>
      <c r="F1349" t="str">
        <f t="shared" si="21"/>
        <v>26-35</v>
      </c>
      <c r="G1349" t="s">
        <v>4003</v>
      </c>
      <c r="H1349" t="s">
        <v>4007</v>
      </c>
      <c r="I1349" t="s">
        <v>4015</v>
      </c>
      <c r="J1349">
        <v>2</v>
      </c>
      <c r="K1349">
        <v>7746</v>
      </c>
      <c r="L1349">
        <v>0</v>
      </c>
      <c r="M1349">
        <v>15492</v>
      </c>
      <c r="N1349">
        <v>0</v>
      </c>
      <c r="O1349">
        <v>15492</v>
      </c>
    </row>
    <row r="1350" spans="1:15" x14ac:dyDescent="0.3">
      <c r="A1350" t="s">
        <v>1362</v>
      </c>
      <c r="B1350" s="1">
        <v>45135</v>
      </c>
      <c r="C1350" t="s">
        <v>3357</v>
      </c>
      <c r="D1350" t="s">
        <v>3999</v>
      </c>
      <c r="E1350">
        <v>19</v>
      </c>
      <c r="F1350" t="str">
        <f t="shared" si="21"/>
        <v>18-25</v>
      </c>
      <c r="G1350" t="s">
        <v>4002</v>
      </c>
      <c r="H1350" t="s">
        <v>4009</v>
      </c>
      <c r="I1350" t="s">
        <v>4013</v>
      </c>
      <c r="J1350">
        <v>2</v>
      </c>
      <c r="K1350">
        <v>3927</v>
      </c>
      <c r="L1350">
        <v>10</v>
      </c>
      <c r="M1350">
        <v>7854</v>
      </c>
      <c r="N1350">
        <v>785.4</v>
      </c>
      <c r="O1350">
        <v>7068.6</v>
      </c>
    </row>
    <row r="1351" spans="1:15" x14ac:dyDescent="0.3">
      <c r="A1351" t="s">
        <v>1363</v>
      </c>
      <c r="B1351" s="1">
        <v>45225</v>
      </c>
      <c r="C1351" t="s">
        <v>3358</v>
      </c>
      <c r="D1351" t="s">
        <v>4000</v>
      </c>
      <c r="E1351">
        <v>50</v>
      </c>
      <c r="F1351" t="str">
        <f t="shared" si="21"/>
        <v>46+</v>
      </c>
      <c r="G1351" t="s">
        <v>4005</v>
      </c>
      <c r="H1351" t="s">
        <v>4007</v>
      </c>
      <c r="I1351" t="s">
        <v>4013</v>
      </c>
      <c r="J1351">
        <v>4</v>
      </c>
      <c r="K1351">
        <v>6269</v>
      </c>
      <c r="L1351">
        <v>0</v>
      </c>
      <c r="M1351">
        <v>25076</v>
      </c>
      <c r="N1351">
        <v>0</v>
      </c>
      <c r="O1351">
        <v>25076</v>
      </c>
    </row>
    <row r="1352" spans="1:15" x14ac:dyDescent="0.3">
      <c r="A1352" t="s">
        <v>1364</v>
      </c>
      <c r="B1352" s="1">
        <v>45281</v>
      </c>
      <c r="C1352" t="s">
        <v>3359</v>
      </c>
      <c r="D1352" t="s">
        <v>3999</v>
      </c>
      <c r="E1352">
        <v>52</v>
      </c>
      <c r="F1352" t="str">
        <f t="shared" si="21"/>
        <v>46+</v>
      </c>
      <c r="G1352" t="s">
        <v>4001</v>
      </c>
      <c r="H1352" t="s">
        <v>4007</v>
      </c>
      <c r="I1352" t="s">
        <v>4016</v>
      </c>
      <c r="J1352">
        <v>3</v>
      </c>
      <c r="K1352">
        <v>5330</v>
      </c>
      <c r="L1352">
        <v>0</v>
      </c>
      <c r="M1352">
        <v>15990</v>
      </c>
      <c r="N1352">
        <v>0</v>
      </c>
      <c r="O1352">
        <v>15990</v>
      </c>
    </row>
    <row r="1353" spans="1:15" x14ac:dyDescent="0.3">
      <c r="A1353" t="s">
        <v>1365</v>
      </c>
      <c r="B1353" s="1">
        <v>44738</v>
      </c>
      <c r="C1353" t="s">
        <v>3360</v>
      </c>
      <c r="D1353" t="s">
        <v>3999</v>
      </c>
      <c r="E1353">
        <v>57</v>
      </c>
      <c r="F1353" t="str">
        <f t="shared" si="21"/>
        <v>46+</v>
      </c>
      <c r="G1353" t="s">
        <v>4001</v>
      </c>
      <c r="H1353" t="s">
        <v>4012</v>
      </c>
      <c r="I1353" t="s">
        <v>4017</v>
      </c>
      <c r="J1353">
        <v>6</v>
      </c>
      <c r="K1353">
        <v>4707</v>
      </c>
      <c r="L1353">
        <v>5</v>
      </c>
      <c r="M1353">
        <v>28242</v>
      </c>
      <c r="N1353">
        <v>1412.1</v>
      </c>
      <c r="O1353">
        <v>26829.9</v>
      </c>
    </row>
    <row r="1354" spans="1:15" x14ac:dyDescent="0.3">
      <c r="A1354" t="s">
        <v>1366</v>
      </c>
      <c r="B1354" s="1">
        <v>44655</v>
      </c>
      <c r="C1354" t="s">
        <v>3361</v>
      </c>
      <c r="D1354" t="s">
        <v>4000</v>
      </c>
      <c r="E1354">
        <v>48</v>
      </c>
      <c r="F1354" t="str">
        <f t="shared" si="21"/>
        <v>46+</v>
      </c>
      <c r="G1354" t="s">
        <v>4005</v>
      </c>
      <c r="H1354" t="s">
        <v>4010</v>
      </c>
      <c r="I1354" t="s">
        <v>4017</v>
      </c>
      <c r="J1354">
        <v>4</v>
      </c>
      <c r="K1354">
        <v>2075</v>
      </c>
      <c r="L1354">
        <v>0</v>
      </c>
      <c r="M1354">
        <v>8300</v>
      </c>
      <c r="N1354">
        <v>0</v>
      </c>
      <c r="O1354">
        <v>8300</v>
      </c>
    </row>
    <row r="1355" spans="1:15" x14ac:dyDescent="0.3">
      <c r="A1355" t="s">
        <v>1367</v>
      </c>
      <c r="B1355" s="1">
        <v>45238</v>
      </c>
      <c r="C1355" t="s">
        <v>3362</v>
      </c>
      <c r="D1355" t="s">
        <v>4000</v>
      </c>
      <c r="E1355">
        <v>40</v>
      </c>
      <c r="F1355" t="str">
        <f t="shared" si="21"/>
        <v>36-45</v>
      </c>
      <c r="G1355" t="s">
        <v>4003</v>
      </c>
      <c r="H1355" t="s">
        <v>4011</v>
      </c>
      <c r="I1355" t="s">
        <v>4013</v>
      </c>
      <c r="J1355">
        <v>4</v>
      </c>
      <c r="K1355">
        <v>3348</v>
      </c>
      <c r="L1355">
        <v>0</v>
      </c>
      <c r="M1355">
        <v>13392</v>
      </c>
      <c r="N1355">
        <v>0</v>
      </c>
      <c r="O1355">
        <v>13392</v>
      </c>
    </row>
    <row r="1356" spans="1:15" x14ac:dyDescent="0.3">
      <c r="A1356" t="s">
        <v>1368</v>
      </c>
      <c r="B1356" s="1">
        <v>45209</v>
      </c>
      <c r="C1356" t="s">
        <v>3363</v>
      </c>
      <c r="D1356" t="s">
        <v>3999</v>
      </c>
      <c r="E1356">
        <v>29</v>
      </c>
      <c r="F1356" t="str">
        <f t="shared" si="21"/>
        <v>26-35</v>
      </c>
      <c r="G1356" t="s">
        <v>4006</v>
      </c>
      <c r="H1356" t="s">
        <v>4008</v>
      </c>
      <c r="I1356" t="s">
        <v>4016</v>
      </c>
      <c r="J1356">
        <v>4</v>
      </c>
      <c r="K1356">
        <v>2867</v>
      </c>
      <c r="L1356">
        <v>10</v>
      </c>
      <c r="M1356">
        <v>11468</v>
      </c>
      <c r="N1356">
        <v>1146.8</v>
      </c>
      <c r="O1356">
        <v>10321.200000000001</v>
      </c>
    </row>
    <row r="1357" spans="1:15" x14ac:dyDescent="0.3">
      <c r="A1357" t="s">
        <v>1369</v>
      </c>
      <c r="B1357" s="1">
        <v>44609</v>
      </c>
      <c r="C1357" t="s">
        <v>3364</v>
      </c>
      <c r="D1357" t="s">
        <v>4000</v>
      </c>
      <c r="E1357">
        <v>58</v>
      </c>
      <c r="F1357" t="str">
        <f t="shared" si="21"/>
        <v>46+</v>
      </c>
      <c r="G1357" t="s">
        <v>4005</v>
      </c>
      <c r="H1357" t="s">
        <v>4010</v>
      </c>
      <c r="I1357" t="s">
        <v>4013</v>
      </c>
      <c r="J1357">
        <v>1</v>
      </c>
      <c r="K1357">
        <v>1931</v>
      </c>
      <c r="L1357">
        <v>0</v>
      </c>
      <c r="M1357">
        <v>1931</v>
      </c>
      <c r="N1357">
        <v>0</v>
      </c>
      <c r="O1357">
        <v>1931</v>
      </c>
    </row>
    <row r="1358" spans="1:15" x14ac:dyDescent="0.3">
      <c r="A1358" t="s">
        <v>1370</v>
      </c>
      <c r="B1358" s="1">
        <v>45048</v>
      </c>
      <c r="C1358" t="s">
        <v>2152</v>
      </c>
      <c r="D1358" t="s">
        <v>4000</v>
      </c>
      <c r="E1358">
        <v>54</v>
      </c>
      <c r="F1358" t="str">
        <f t="shared" si="21"/>
        <v>46+</v>
      </c>
      <c r="G1358" t="s">
        <v>4004</v>
      </c>
      <c r="H1358" t="s">
        <v>4007</v>
      </c>
      <c r="I1358" t="s">
        <v>4016</v>
      </c>
      <c r="J1358">
        <v>2</v>
      </c>
      <c r="K1358">
        <v>2597</v>
      </c>
      <c r="L1358">
        <v>0</v>
      </c>
      <c r="M1358">
        <v>5194</v>
      </c>
      <c r="N1358">
        <v>0</v>
      </c>
      <c r="O1358">
        <v>5194</v>
      </c>
    </row>
    <row r="1359" spans="1:15" x14ac:dyDescent="0.3">
      <c r="A1359" t="s">
        <v>1371</v>
      </c>
      <c r="B1359" s="1">
        <v>45183</v>
      </c>
      <c r="C1359" t="s">
        <v>3365</v>
      </c>
      <c r="D1359" t="s">
        <v>3999</v>
      </c>
      <c r="E1359">
        <v>30</v>
      </c>
      <c r="F1359" t="str">
        <f t="shared" si="21"/>
        <v>26-35</v>
      </c>
      <c r="G1359" t="s">
        <v>4001</v>
      </c>
      <c r="H1359" t="s">
        <v>4007</v>
      </c>
      <c r="I1359" t="s">
        <v>4016</v>
      </c>
      <c r="J1359">
        <v>5</v>
      </c>
      <c r="K1359">
        <v>5822</v>
      </c>
      <c r="L1359">
        <v>0</v>
      </c>
      <c r="M1359">
        <v>29110</v>
      </c>
      <c r="N1359">
        <v>0</v>
      </c>
      <c r="O1359">
        <v>29110</v>
      </c>
    </row>
    <row r="1360" spans="1:15" x14ac:dyDescent="0.3">
      <c r="A1360" t="s">
        <v>1372</v>
      </c>
      <c r="B1360" s="1">
        <v>45053</v>
      </c>
      <c r="C1360" t="s">
        <v>3366</v>
      </c>
      <c r="D1360" t="s">
        <v>3999</v>
      </c>
      <c r="E1360">
        <v>35</v>
      </c>
      <c r="F1360" t="str">
        <f t="shared" si="21"/>
        <v>26-35</v>
      </c>
      <c r="G1360" t="s">
        <v>4003</v>
      </c>
      <c r="H1360" t="s">
        <v>4008</v>
      </c>
      <c r="I1360" t="s">
        <v>4015</v>
      </c>
      <c r="J1360">
        <v>1</v>
      </c>
      <c r="K1360">
        <v>341</v>
      </c>
      <c r="L1360">
        <v>10</v>
      </c>
      <c r="M1360">
        <v>341</v>
      </c>
      <c r="N1360">
        <v>34.1</v>
      </c>
      <c r="O1360">
        <v>306.89999999999998</v>
      </c>
    </row>
    <row r="1361" spans="1:15" x14ac:dyDescent="0.3">
      <c r="A1361" t="s">
        <v>1373</v>
      </c>
      <c r="B1361" s="1">
        <v>44688</v>
      </c>
      <c r="C1361" t="s">
        <v>3367</v>
      </c>
      <c r="D1361" t="s">
        <v>3999</v>
      </c>
      <c r="E1361">
        <v>24</v>
      </c>
      <c r="F1361" t="str">
        <f t="shared" si="21"/>
        <v>18-25</v>
      </c>
      <c r="G1361" t="s">
        <v>4005</v>
      </c>
      <c r="H1361" t="s">
        <v>4007</v>
      </c>
      <c r="I1361" t="s">
        <v>4017</v>
      </c>
      <c r="J1361">
        <v>4</v>
      </c>
      <c r="K1361">
        <v>5881</v>
      </c>
      <c r="L1361">
        <v>10</v>
      </c>
      <c r="M1361">
        <v>23524</v>
      </c>
      <c r="N1361">
        <v>2352.4</v>
      </c>
      <c r="O1361">
        <v>21171.599999999999</v>
      </c>
    </row>
    <row r="1362" spans="1:15" x14ac:dyDescent="0.3">
      <c r="A1362" t="s">
        <v>1374</v>
      </c>
      <c r="B1362" s="1">
        <v>45143</v>
      </c>
      <c r="C1362" t="s">
        <v>3368</v>
      </c>
      <c r="D1362" t="s">
        <v>4000</v>
      </c>
      <c r="E1362">
        <v>58</v>
      </c>
      <c r="F1362" t="str">
        <f t="shared" si="21"/>
        <v>46+</v>
      </c>
      <c r="G1362" t="s">
        <v>4002</v>
      </c>
      <c r="H1362" t="s">
        <v>4007</v>
      </c>
      <c r="I1362" t="s">
        <v>4013</v>
      </c>
      <c r="J1362">
        <v>5</v>
      </c>
      <c r="K1362">
        <v>4296</v>
      </c>
      <c r="L1362">
        <v>15</v>
      </c>
      <c r="M1362">
        <v>21480</v>
      </c>
      <c r="N1362">
        <v>3222</v>
      </c>
      <c r="O1362">
        <v>18258</v>
      </c>
    </row>
    <row r="1363" spans="1:15" x14ac:dyDescent="0.3">
      <c r="A1363" t="s">
        <v>1375</v>
      </c>
      <c r="B1363" s="1">
        <v>45186</v>
      </c>
      <c r="C1363" t="s">
        <v>3369</v>
      </c>
      <c r="D1363" t="s">
        <v>3999</v>
      </c>
      <c r="E1363">
        <v>22</v>
      </c>
      <c r="F1363" t="str">
        <f t="shared" si="21"/>
        <v>18-25</v>
      </c>
      <c r="G1363" t="s">
        <v>4006</v>
      </c>
      <c r="H1363" t="s">
        <v>4007</v>
      </c>
      <c r="I1363" t="s">
        <v>4013</v>
      </c>
      <c r="J1363">
        <v>5</v>
      </c>
      <c r="K1363">
        <v>504</v>
      </c>
      <c r="L1363">
        <v>10</v>
      </c>
      <c r="M1363">
        <v>2520</v>
      </c>
      <c r="N1363">
        <v>252</v>
      </c>
      <c r="O1363">
        <v>2268</v>
      </c>
    </row>
    <row r="1364" spans="1:15" x14ac:dyDescent="0.3">
      <c r="A1364" t="s">
        <v>1376</v>
      </c>
      <c r="B1364" s="1">
        <v>45290</v>
      </c>
      <c r="C1364" t="s">
        <v>3370</v>
      </c>
      <c r="D1364" t="s">
        <v>4000</v>
      </c>
      <c r="E1364">
        <v>47</v>
      </c>
      <c r="F1364" t="str">
        <f t="shared" si="21"/>
        <v>46+</v>
      </c>
      <c r="G1364" t="s">
        <v>4003</v>
      </c>
      <c r="H1364" t="s">
        <v>4007</v>
      </c>
      <c r="I1364" t="s">
        <v>4013</v>
      </c>
      <c r="J1364">
        <v>1</v>
      </c>
      <c r="K1364">
        <v>1140</v>
      </c>
      <c r="L1364">
        <v>5</v>
      </c>
      <c r="M1364">
        <v>1140</v>
      </c>
      <c r="N1364">
        <v>57</v>
      </c>
      <c r="O1364">
        <v>1083</v>
      </c>
    </row>
    <row r="1365" spans="1:15" x14ac:dyDescent="0.3">
      <c r="A1365" t="s">
        <v>1377</v>
      </c>
      <c r="B1365" s="1">
        <v>45135</v>
      </c>
      <c r="C1365" t="s">
        <v>3371</v>
      </c>
      <c r="D1365" t="s">
        <v>4000</v>
      </c>
      <c r="E1365">
        <v>42</v>
      </c>
      <c r="F1365" t="str">
        <f t="shared" si="21"/>
        <v>36-45</v>
      </c>
      <c r="G1365" t="s">
        <v>4006</v>
      </c>
      <c r="H1365" t="s">
        <v>4012</v>
      </c>
      <c r="I1365" t="s">
        <v>4014</v>
      </c>
      <c r="J1365">
        <v>7</v>
      </c>
      <c r="K1365">
        <v>7140</v>
      </c>
      <c r="L1365">
        <v>10</v>
      </c>
      <c r="M1365">
        <v>49980</v>
      </c>
      <c r="N1365">
        <v>4998</v>
      </c>
      <c r="O1365">
        <v>44982</v>
      </c>
    </row>
    <row r="1366" spans="1:15" x14ac:dyDescent="0.3">
      <c r="A1366" t="s">
        <v>1378</v>
      </c>
      <c r="B1366" s="1">
        <v>44847</v>
      </c>
      <c r="C1366" t="s">
        <v>3372</v>
      </c>
      <c r="D1366" t="s">
        <v>3999</v>
      </c>
      <c r="E1366">
        <v>48</v>
      </c>
      <c r="F1366" t="str">
        <f t="shared" si="21"/>
        <v>46+</v>
      </c>
      <c r="G1366" t="s">
        <v>4001</v>
      </c>
      <c r="H1366" t="s">
        <v>4008</v>
      </c>
      <c r="I1366" t="s">
        <v>4014</v>
      </c>
      <c r="J1366">
        <v>4</v>
      </c>
      <c r="K1366">
        <v>2632</v>
      </c>
      <c r="L1366">
        <v>5</v>
      </c>
      <c r="M1366">
        <v>10528</v>
      </c>
      <c r="N1366">
        <v>526.4</v>
      </c>
      <c r="O1366">
        <v>10001.6</v>
      </c>
    </row>
    <row r="1367" spans="1:15" x14ac:dyDescent="0.3">
      <c r="A1367" t="s">
        <v>1379</v>
      </c>
      <c r="B1367" s="1">
        <v>44869</v>
      </c>
      <c r="C1367" t="s">
        <v>3373</v>
      </c>
      <c r="D1367" t="s">
        <v>4000</v>
      </c>
      <c r="E1367">
        <v>27</v>
      </c>
      <c r="F1367" t="str">
        <f t="shared" si="21"/>
        <v>26-35</v>
      </c>
      <c r="G1367" t="s">
        <v>4001</v>
      </c>
      <c r="H1367" t="s">
        <v>4007</v>
      </c>
      <c r="I1367" t="s">
        <v>4016</v>
      </c>
      <c r="J1367">
        <v>3</v>
      </c>
      <c r="K1367">
        <v>7393</v>
      </c>
      <c r="L1367">
        <v>0</v>
      </c>
      <c r="M1367">
        <v>22179</v>
      </c>
      <c r="N1367">
        <v>0</v>
      </c>
      <c r="O1367">
        <v>22179</v>
      </c>
    </row>
    <row r="1368" spans="1:15" x14ac:dyDescent="0.3">
      <c r="A1368" t="s">
        <v>1380</v>
      </c>
      <c r="B1368" s="1">
        <v>44804</v>
      </c>
      <c r="C1368" t="s">
        <v>3374</v>
      </c>
      <c r="D1368" t="s">
        <v>4000</v>
      </c>
      <c r="E1368">
        <v>53</v>
      </c>
      <c r="F1368" t="str">
        <f t="shared" si="21"/>
        <v>46+</v>
      </c>
      <c r="G1368" t="s">
        <v>4005</v>
      </c>
      <c r="H1368" t="s">
        <v>4008</v>
      </c>
      <c r="I1368" t="s">
        <v>4014</v>
      </c>
      <c r="J1368">
        <v>6</v>
      </c>
      <c r="K1368">
        <v>2577</v>
      </c>
      <c r="L1368">
        <v>15</v>
      </c>
      <c r="M1368">
        <v>15462</v>
      </c>
      <c r="N1368">
        <v>2319.3000000000002</v>
      </c>
      <c r="O1368">
        <v>13142.7</v>
      </c>
    </row>
    <row r="1369" spans="1:15" x14ac:dyDescent="0.3">
      <c r="A1369" t="s">
        <v>1381</v>
      </c>
      <c r="B1369" s="1">
        <v>44732</v>
      </c>
      <c r="C1369" t="s">
        <v>3375</v>
      </c>
      <c r="D1369" t="s">
        <v>3999</v>
      </c>
      <c r="E1369">
        <v>28</v>
      </c>
      <c r="F1369" t="str">
        <f t="shared" si="21"/>
        <v>26-35</v>
      </c>
      <c r="G1369" t="s">
        <v>4006</v>
      </c>
      <c r="H1369" t="s">
        <v>4011</v>
      </c>
      <c r="I1369" t="s">
        <v>4016</v>
      </c>
      <c r="J1369">
        <v>6</v>
      </c>
      <c r="K1369">
        <v>7108</v>
      </c>
      <c r="L1369">
        <v>10</v>
      </c>
      <c r="M1369">
        <v>42648</v>
      </c>
      <c r="N1369">
        <v>4264.8</v>
      </c>
      <c r="O1369">
        <v>38383.199999999997</v>
      </c>
    </row>
    <row r="1370" spans="1:15" x14ac:dyDescent="0.3">
      <c r="A1370" t="s">
        <v>1382</v>
      </c>
      <c r="B1370" s="1">
        <v>45046</v>
      </c>
      <c r="C1370" t="s">
        <v>3376</v>
      </c>
      <c r="D1370" t="s">
        <v>4000</v>
      </c>
      <c r="E1370">
        <v>54</v>
      </c>
      <c r="F1370" t="str">
        <f t="shared" si="21"/>
        <v>46+</v>
      </c>
      <c r="G1370" t="s">
        <v>4006</v>
      </c>
      <c r="H1370" t="s">
        <v>4012</v>
      </c>
      <c r="I1370" t="s">
        <v>4015</v>
      </c>
      <c r="J1370">
        <v>2</v>
      </c>
      <c r="K1370">
        <v>7937</v>
      </c>
      <c r="L1370">
        <v>5</v>
      </c>
      <c r="M1370">
        <v>15874</v>
      </c>
      <c r="N1370">
        <v>793.7</v>
      </c>
      <c r="O1370">
        <v>15080.3</v>
      </c>
    </row>
    <row r="1371" spans="1:15" x14ac:dyDescent="0.3">
      <c r="A1371" t="s">
        <v>1383</v>
      </c>
      <c r="B1371" s="1">
        <v>44931</v>
      </c>
      <c r="C1371" t="s">
        <v>3377</v>
      </c>
      <c r="D1371" t="s">
        <v>4000</v>
      </c>
      <c r="E1371">
        <v>31</v>
      </c>
      <c r="F1371" t="str">
        <f t="shared" si="21"/>
        <v>26-35</v>
      </c>
      <c r="G1371" t="s">
        <v>4002</v>
      </c>
      <c r="H1371" t="s">
        <v>4009</v>
      </c>
      <c r="I1371" t="s">
        <v>4015</v>
      </c>
      <c r="J1371">
        <v>6</v>
      </c>
      <c r="K1371">
        <v>787</v>
      </c>
      <c r="L1371">
        <v>15</v>
      </c>
      <c r="M1371">
        <v>4722</v>
      </c>
      <c r="N1371">
        <v>708.3</v>
      </c>
      <c r="O1371">
        <v>4013.7</v>
      </c>
    </row>
    <row r="1372" spans="1:15" x14ac:dyDescent="0.3">
      <c r="A1372" t="s">
        <v>1384</v>
      </c>
      <c r="B1372" s="1">
        <v>45072</v>
      </c>
      <c r="C1372" t="s">
        <v>3378</v>
      </c>
      <c r="D1372" t="s">
        <v>4000</v>
      </c>
      <c r="E1372">
        <v>49</v>
      </c>
      <c r="F1372" t="str">
        <f t="shared" si="21"/>
        <v>46+</v>
      </c>
      <c r="G1372" t="s">
        <v>4006</v>
      </c>
      <c r="H1372" t="s">
        <v>4010</v>
      </c>
      <c r="I1372" t="s">
        <v>4016</v>
      </c>
      <c r="J1372">
        <v>5</v>
      </c>
      <c r="K1372">
        <v>4111</v>
      </c>
      <c r="L1372">
        <v>10</v>
      </c>
      <c r="M1372">
        <v>20555</v>
      </c>
      <c r="N1372">
        <v>2055.5</v>
      </c>
      <c r="O1372">
        <v>18499.5</v>
      </c>
    </row>
    <row r="1373" spans="1:15" x14ac:dyDescent="0.3">
      <c r="A1373" t="s">
        <v>1385</v>
      </c>
      <c r="B1373" s="1">
        <v>44744</v>
      </c>
      <c r="C1373" t="s">
        <v>3379</v>
      </c>
      <c r="D1373" t="s">
        <v>3999</v>
      </c>
      <c r="E1373">
        <v>64</v>
      </c>
      <c r="F1373" t="str">
        <f t="shared" si="21"/>
        <v>46+</v>
      </c>
      <c r="G1373" t="s">
        <v>4001</v>
      </c>
      <c r="H1373" t="s">
        <v>4008</v>
      </c>
      <c r="I1373" t="s">
        <v>4013</v>
      </c>
      <c r="J1373">
        <v>2</v>
      </c>
      <c r="K1373">
        <v>1608</v>
      </c>
      <c r="L1373">
        <v>10</v>
      </c>
      <c r="M1373">
        <v>3216</v>
      </c>
      <c r="N1373">
        <v>321.60000000000002</v>
      </c>
      <c r="O1373">
        <v>2894.4</v>
      </c>
    </row>
    <row r="1374" spans="1:15" x14ac:dyDescent="0.3">
      <c r="A1374" t="s">
        <v>1386</v>
      </c>
      <c r="B1374" s="1">
        <v>45163</v>
      </c>
      <c r="C1374" t="s">
        <v>3380</v>
      </c>
      <c r="D1374" t="s">
        <v>3999</v>
      </c>
      <c r="E1374">
        <v>36</v>
      </c>
      <c r="F1374" t="str">
        <f t="shared" si="21"/>
        <v>36-45</v>
      </c>
      <c r="G1374" t="s">
        <v>4003</v>
      </c>
      <c r="H1374" t="s">
        <v>4008</v>
      </c>
      <c r="I1374" t="s">
        <v>4015</v>
      </c>
      <c r="J1374">
        <v>4</v>
      </c>
      <c r="K1374">
        <v>1895</v>
      </c>
      <c r="L1374">
        <v>5</v>
      </c>
      <c r="M1374">
        <v>7580</v>
      </c>
      <c r="N1374">
        <v>379</v>
      </c>
      <c r="O1374">
        <v>7201</v>
      </c>
    </row>
    <row r="1375" spans="1:15" x14ac:dyDescent="0.3">
      <c r="A1375" t="s">
        <v>1387</v>
      </c>
      <c r="B1375" s="1">
        <v>44682</v>
      </c>
      <c r="C1375" t="s">
        <v>3381</v>
      </c>
      <c r="D1375" t="s">
        <v>3999</v>
      </c>
      <c r="E1375">
        <v>42</v>
      </c>
      <c r="F1375" t="str">
        <f t="shared" si="21"/>
        <v>36-45</v>
      </c>
      <c r="G1375" t="s">
        <v>4005</v>
      </c>
      <c r="H1375" t="s">
        <v>4008</v>
      </c>
      <c r="I1375" t="s">
        <v>4013</v>
      </c>
      <c r="J1375">
        <v>1</v>
      </c>
      <c r="K1375">
        <v>1171</v>
      </c>
      <c r="L1375">
        <v>10</v>
      </c>
      <c r="M1375">
        <v>1171</v>
      </c>
      <c r="N1375">
        <v>117.1</v>
      </c>
      <c r="O1375">
        <v>1053.9000000000001</v>
      </c>
    </row>
    <row r="1376" spans="1:15" x14ac:dyDescent="0.3">
      <c r="A1376" t="s">
        <v>1388</v>
      </c>
      <c r="B1376" s="1">
        <v>45020</v>
      </c>
      <c r="C1376" t="s">
        <v>3382</v>
      </c>
      <c r="D1376" t="s">
        <v>4000</v>
      </c>
      <c r="E1376">
        <v>54</v>
      </c>
      <c r="F1376" t="str">
        <f t="shared" si="21"/>
        <v>46+</v>
      </c>
      <c r="G1376" t="s">
        <v>4004</v>
      </c>
      <c r="H1376" t="s">
        <v>4010</v>
      </c>
      <c r="I1376" t="s">
        <v>4014</v>
      </c>
      <c r="J1376">
        <v>7</v>
      </c>
      <c r="K1376">
        <v>2525</v>
      </c>
      <c r="L1376">
        <v>5</v>
      </c>
      <c r="M1376">
        <v>17675</v>
      </c>
      <c r="N1376">
        <v>883.75</v>
      </c>
      <c r="O1376">
        <v>16791.25</v>
      </c>
    </row>
    <row r="1377" spans="1:15" x14ac:dyDescent="0.3">
      <c r="A1377" t="s">
        <v>1389</v>
      </c>
      <c r="B1377" s="1">
        <v>44584</v>
      </c>
      <c r="C1377" t="s">
        <v>3383</v>
      </c>
      <c r="D1377" t="s">
        <v>3999</v>
      </c>
      <c r="E1377">
        <v>35</v>
      </c>
      <c r="F1377" t="str">
        <f t="shared" si="21"/>
        <v>26-35</v>
      </c>
      <c r="G1377" t="s">
        <v>4001</v>
      </c>
      <c r="H1377" t="s">
        <v>4010</v>
      </c>
      <c r="I1377" t="s">
        <v>4014</v>
      </c>
      <c r="J1377">
        <v>6</v>
      </c>
      <c r="K1377">
        <v>5216</v>
      </c>
      <c r="L1377">
        <v>0</v>
      </c>
      <c r="M1377">
        <v>31296</v>
      </c>
      <c r="N1377">
        <v>0</v>
      </c>
      <c r="O1377">
        <v>31296</v>
      </c>
    </row>
    <row r="1378" spans="1:15" x14ac:dyDescent="0.3">
      <c r="A1378" t="s">
        <v>1390</v>
      </c>
      <c r="B1378" s="1">
        <v>45282</v>
      </c>
      <c r="C1378" t="s">
        <v>3384</v>
      </c>
      <c r="D1378" t="s">
        <v>4000</v>
      </c>
      <c r="E1378">
        <v>30</v>
      </c>
      <c r="F1378" t="str">
        <f t="shared" si="21"/>
        <v>26-35</v>
      </c>
      <c r="G1378" t="s">
        <v>4005</v>
      </c>
      <c r="H1378" t="s">
        <v>4011</v>
      </c>
      <c r="I1378" t="s">
        <v>4014</v>
      </c>
      <c r="J1378">
        <v>6</v>
      </c>
      <c r="K1378">
        <v>6927</v>
      </c>
      <c r="L1378">
        <v>5</v>
      </c>
      <c r="M1378">
        <v>41562</v>
      </c>
      <c r="N1378">
        <v>2078.1</v>
      </c>
      <c r="O1378">
        <v>39483.9</v>
      </c>
    </row>
    <row r="1379" spans="1:15" x14ac:dyDescent="0.3">
      <c r="A1379" t="s">
        <v>1391</v>
      </c>
      <c r="B1379" s="1">
        <v>45026</v>
      </c>
      <c r="C1379" t="s">
        <v>3385</v>
      </c>
      <c r="D1379" t="s">
        <v>3999</v>
      </c>
      <c r="E1379">
        <v>26</v>
      </c>
      <c r="F1379" t="str">
        <f t="shared" si="21"/>
        <v>26-35</v>
      </c>
      <c r="G1379" t="s">
        <v>4004</v>
      </c>
      <c r="H1379" t="s">
        <v>4012</v>
      </c>
      <c r="I1379" t="s">
        <v>4015</v>
      </c>
      <c r="J1379">
        <v>4</v>
      </c>
      <c r="K1379">
        <v>2774</v>
      </c>
      <c r="L1379">
        <v>5</v>
      </c>
      <c r="M1379">
        <v>11096</v>
      </c>
      <c r="N1379">
        <v>554.79999999999995</v>
      </c>
      <c r="O1379">
        <v>10541.2</v>
      </c>
    </row>
    <row r="1380" spans="1:15" x14ac:dyDescent="0.3">
      <c r="A1380" t="s">
        <v>1392</v>
      </c>
      <c r="B1380" s="1">
        <v>45150</v>
      </c>
      <c r="C1380" t="s">
        <v>3386</v>
      </c>
      <c r="D1380" t="s">
        <v>4000</v>
      </c>
      <c r="E1380">
        <v>60</v>
      </c>
      <c r="F1380" t="str">
        <f t="shared" si="21"/>
        <v>46+</v>
      </c>
      <c r="G1380" t="s">
        <v>4005</v>
      </c>
      <c r="H1380" t="s">
        <v>4009</v>
      </c>
      <c r="I1380" t="s">
        <v>4016</v>
      </c>
      <c r="J1380">
        <v>3</v>
      </c>
      <c r="K1380">
        <v>2006</v>
      </c>
      <c r="L1380">
        <v>0</v>
      </c>
      <c r="M1380">
        <v>6018</v>
      </c>
      <c r="N1380">
        <v>0</v>
      </c>
      <c r="O1380">
        <v>6018</v>
      </c>
    </row>
    <row r="1381" spans="1:15" x14ac:dyDescent="0.3">
      <c r="A1381" t="s">
        <v>1393</v>
      </c>
      <c r="B1381" s="1">
        <v>45013</v>
      </c>
      <c r="C1381" t="s">
        <v>3387</v>
      </c>
      <c r="D1381" t="s">
        <v>3999</v>
      </c>
      <c r="E1381">
        <v>53</v>
      </c>
      <c r="F1381" t="str">
        <f t="shared" si="21"/>
        <v>46+</v>
      </c>
      <c r="G1381" t="s">
        <v>4006</v>
      </c>
      <c r="H1381" t="s">
        <v>4008</v>
      </c>
      <c r="I1381" t="s">
        <v>4014</v>
      </c>
      <c r="J1381">
        <v>6</v>
      </c>
      <c r="K1381">
        <v>5162</v>
      </c>
      <c r="L1381">
        <v>10</v>
      </c>
      <c r="M1381">
        <v>30972</v>
      </c>
      <c r="N1381">
        <v>3097.2</v>
      </c>
      <c r="O1381">
        <v>27874.799999999999</v>
      </c>
    </row>
    <row r="1382" spans="1:15" x14ac:dyDescent="0.3">
      <c r="A1382" t="s">
        <v>1394</v>
      </c>
      <c r="B1382" s="1">
        <v>44817</v>
      </c>
      <c r="C1382" t="s">
        <v>3388</v>
      </c>
      <c r="D1382" t="s">
        <v>4000</v>
      </c>
      <c r="E1382">
        <v>63</v>
      </c>
      <c r="F1382" t="str">
        <f t="shared" si="21"/>
        <v>46+</v>
      </c>
      <c r="G1382" t="s">
        <v>4002</v>
      </c>
      <c r="H1382" t="s">
        <v>4008</v>
      </c>
      <c r="I1382" t="s">
        <v>4016</v>
      </c>
      <c r="J1382">
        <v>5</v>
      </c>
      <c r="K1382">
        <v>265</v>
      </c>
      <c r="L1382">
        <v>0</v>
      </c>
      <c r="M1382">
        <v>1325</v>
      </c>
      <c r="N1382">
        <v>0</v>
      </c>
      <c r="O1382">
        <v>1325</v>
      </c>
    </row>
    <row r="1383" spans="1:15" x14ac:dyDescent="0.3">
      <c r="A1383" t="s">
        <v>1395</v>
      </c>
      <c r="B1383" s="1">
        <v>44868</v>
      </c>
      <c r="C1383" t="s">
        <v>3389</v>
      </c>
      <c r="D1383" t="s">
        <v>4000</v>
      </c>
      <c r="E1383">
        <v>27</v>
      </c>
      <c r="F1383" t="str">
        <f t="shared" si="21"/>
        <v>26-35</v>
      </c>
      <c r="G1383" t="s">
        <v>4005</v>
      </c>
      <c r="H1383" t="s">
        <v>4008</v>
      </c>
      <c r="I1383" t="s">
        <v>4013</v>
      </c>
      <c r="J1383">
        <v>7</v>
      </c>
      <c r="K1383">
        <v>3092</v>
      </c>
      <c r="L1383">
        <v>5</v>
      </c>
      <c r="M1383">
        <v>21644</v>
      </c>
      <c r="N1383">
        <v>1082.2</v>
      </c>
      <c r="O1383">
        <v>20561.8</v>
      </c>
    </row>
    <row r="1384" spans="1:15" x14ac:dyDescent="0.3">
      <c r="A1384" t="s">
        <v>1396</v>
      </c>
      <c r="B1384" s="1">
        <v>45100</v>
      </c>
      <c r="C1384" t="s">
        <v>3390</v>
      </c>
      <c r="D1384" t="s">
        <v>3999</v>
      </c>
      <c r="E1384">
        <v>19</v>
      </c>
      <c r="F1384" t="str">
        <f t="shared" si="21"/>
        <v>18-25</v>
      </c>
      <c r="G1384" t="s">
        <v>4004</v>
      </c>
      <c r="H1384" t="s">
        <v>4007</v>
      </c>
      <c r="I1384" t="s">
        <v>4016</v>
      </c>
      <c r="J1384">
        <v>3</v>
      </c>
      <c r="K1384">
        <v>6331</v>
      </c>
      <c r="L1384">
        <v>20</v>
      </c>
      <c r="M1384">
        <v>18993</v>
      </c>
      <c r="N1384">
        <v>3798.6</v>
      </c>
      <c r="O1384">
        <v>15194.4</v>
      </c>
    </row>
    <row r="1385" spans="1:15" x14ac:dyDescent="0.3">
      <c r="A1385" t="s">
        <v>1397</v>
      </c>
      <c r="B1385" s="1">
        <v>45038</v>
      </c>
      <c r="C1385" t="s">
        <v>3391</v>
      </c>
      <c r="D1385" t="s">
        <v>4000</v>
      </c>
      <c r="E1385">
        <v>45</v>
      </c>
      <c r="F1385" t="str">
        <f t="shared" si="21"/>
        <v>36-45</v>
      </c>
      <c r="G1385" t="s">
        <v>4002</v>
      </c>
      <c r="H1385" t="s">
        <v>4008</v>
      </c>
      <c r="I1385" t="s">
        <v>4015</v>
      </c>
      <c r="J1385">
        <v>3</v>
      </c>
      <c r="K1385">
        <v>6971</v>
      </c>
      <c r="L1385">
        <v>5</v>
      </c>
      <c r="M1385">
        <v>20913</v>
      </c>
      <c r="N1385">
        <v>1045.6500000000001</v>
      </c>
      <c r="O1385">
        <v>19867.349999999999</v>
      </c>
    </row>
    <row r="1386" spans="1:15" x14ac:dyDescent="0.3">
      <c r="A1386" t="s">
        <v>1398</v>
      </c>
      <c r="B1386" s="1">
        <v>45007</v>
      </c>
      <c r="C1386" t="s">
        <v>3392</v>
      </c>
      <c r="D1386" t="s">
        <v>3999</v>
      </c>
      <c r="E1386">
        <v>20</v>
      </c>
      <c r="F1386" t="str">
        <f t="shared" si="21"/>
        <v>18-25</v>
      </c>
      <c r="G1386" t="s">
        <v>4004</v>
      </c>
      <c r="H1386" t="s">
        <v>4009</v>
      </c>
      <c r="I1386" t="s">
        <v>4015</v>
      </c>
      <c r="J1386">
        <v>3</v>
      </c>
      <c r="K1386">
        <v>7348</v>
      </c>
      <c r="L1386">
        <v>10</v>
      </c>
      <c r="M1386">
        <v>22044</v>
      </c>
      <c r="N1386">
        <v>2204.4</v>
      </c>
      <c r="O1386">
        <v>19839.599999999999</v>
      </c>
    </row>
    <row r="1387" spans="1:15" x14ac:dyDescent="0.3">
      <c r="A1387" t="s">
        <v>1399</v>
      </c>
      <c r="B1387" s="1">
        <v>44806</v>
      </c>
      <c r="C1387" t="s">
        <v>3393</v>
      </c>
      <c r="D1387" t="s">
        <v>4000</v>
      </c>
      <c r="E1387">
        <v>18</v>
      </c>
      <c r="F1387" t="str">
        <f t="shared" si="21"/>
        <v>18-25</v>
      </c>
      <c r="G1387" t="s">
        <v>4005</v>
      </c>
      <c r="H1387" t="s">
        <v>4008</v>
      </c>
      <c r="I1387" t="s">
        <v>4016</v>
      </c>
      <c r="J1387">
        <v>1</v>
      </c>
      <c r="K1387">
        <v>4151</v>
      </c>
      <c r="L1387">
        <v>0</v>
      </c>
      <c r="M1387">
        <v>4151</v>
      </c>
      <c r="N1387">
        <v>0</v>
      </c>
      <c r="O1387">
        <v>4151</v>
      </c>
    </row>
    <row r="1388" spans="1:15" x14ac:dyDescent="0.3">
      <c r="A1388" t="s">
        <v>1400</v>
      </c>
      <c r="B1388" s="1">
        <v>45239</v>
      </c>
      <c r="C1388" t="s">
        <v>3394</v>
      </c>
      <c r="D1388" t="s">
        <v>3999</v>
      </c>
      <c r="E1388">
        <v>34</v>
      </c>
      <c r="F1388" t="str">
        <f t="shared" si="21"/>
        <v>26-35</v>
      </c>
      <c r="G1388" t="s">
        <v>4001</v>
      </c>
      <c r="H1388" t="s">
        <v>4011</v>
      </c>
      <c r="I1388" t="s">
        <v>4017</v>
      </c>
      <c r="J1388">
        <v>5</v>
      </c>
      <c r="K1388">
        <v>3123</v>
      </c>
      <c r="L1388">
        <v>5</v>
      </c>
      <c r="M1388">
        <v>15615</v>
      </c>
      <c r="N1388">
        <v>780.75</v>
      </c>
      <c r="O1388">
        <v>14834.25</v>
      </c>
    </row>
    <row r="1389" spans="1:15" x14ac:dyDescent="0.3">
      <c r="A1389" t="s">
        <v>1401</v>
      </c>
      <c r="B1389" s="1">
        <v>45035</v>
      </c>
      <c r="C1389" t="s">
        <v>3395</v>
      </c>
      <c r="D1389" t="s">
        <v>3999</v>
      </c>
      <c r="E1389">
        <v>47</v>
      </c>
      <c r="F1389" t="str">
        <f t="shared" si="21"/>
        <v>46+</v>
      </c>
      <c r="G1389" t="s">
        <v>4004</v>
      </c>
      <c r="H1389" t="s">
        <v>4009</v>
      </c>
      <c r="I1389" t="s">
        <v>4013</v>
      </c>
      <c r="J1389">
        <v>4</v>
      </c>
      <c r="K1389">
        <v>7738</v>
      </c>
      <c r="L1389">
        <v>10</v>
      </c>
      <c r="M1389">
        <v>30952</v>
      </c>
      <c r="N1389">
        <v>3095.2</v>
      </c>
      <c r="O1389">
        <v>27856.799999999999</v>
      </c>
    </row>
    <row r="1390" spans="1:15" x14ac:dyDescent="0.3">
      <c r="A1390" t="s">
        <v>1402</v>
      </c>
      <c r="B1390" s="1">
        <v>45045</v>
      </c>
      <c r="C1390" t="s">
        <v>3396</v>
      </c>
      <c r="D1390" t="s">
        <v>4000</v>
      </c>
      <c r="E1390">
        <v>55</v>
      </c>
      <c r="F1390" t="str">
        <f t="shared" si="21"/>
        <v>46+</v>
      </c>
      <c r="G1390" t="s">
        <v>4001</v>
      </c>
      <c r="H1390" t="s">
        <v>4007</v>
      </c>
      <c r="I1390" t="s">
        <v>4016</v>
      </c>
      <c r="J1390">
        <v>2</v>
      </c>
      <c r="K1390">
        <v>4505</v>
      </c>
      <c r="L1390">
        <v>0</v>
      </c>
      <c r="M1390">
        <v>9010</v>
      </c>
      <c r="N1390">
        <v>0</v>
      </c>
      <c r="O1390">
        <v>9010</v>
      </c>
    </row>
    <row r="1391" spans="1:15" x14ac:dyDescent="0.3">
      <c r="A1391" t="s">
        <v>1403</v>
      </c>
      <c r="B1391" s="1">
        <v>45288</v>
      </c>
      <c r="C1391" t="s">
        <v>3397</v>
      </c>
      <c r="D1391" t="s">
        <v>4000</v>
      </c>
      <c r="E1391">
        <v>51</v>
      </c>
      <c r="F1391" t="str">
        <f t="shared" si="21"/>
        <v>46+</v>
      </c>
      <c r="G1391" t="s">
        <v>4006</v>
      </c>
      <c r="H1391" t="s">
        <v>4012</v>
      </c>
      <c r="I1391" t="s">
        <v>4013</v>
      </c>
      <c r="J1391">
        <v>1</v>
      </c>
      <c r="K1391">
        <v>7550</v>
      </c>
      <c r="L1391">
        <v>10</v>
      </c>
      <c r="M1391">
        <v>7550</v>
      </c>
      <c r="N1391">
        <v>755</v>
      </c>
      <c r="O1391">
        <v>6795</v>
      </c>
    </row>
    <row r="1392" spans="1:15" x14ac:dyDescent="0.3">
      <c r="A1392" t="s">
        <v>1404</v>
      </c>
      <c r="B1392" s="1">
        <v>44755</v>
      </c>
      <c r="C1392" t="s">
        <v>3398</v>
      </c>
      <c r="D1392" t="s">
        <v>3999</v>
      </c>
      <c r="E1392">
        <v>53</v>
      </c>
      <c r="F1392" t="str">
        <f t="shared" si="21"/>
        <v>46+</v>
      </c>
      <c r="G1392" t="s">
        <v>4002</v>
      </c>
      <c r="H1392" t="s">
        <v>4009</v>
      </c>
      <c r="I1392" t="s">
        <v>4014</v>
      </c>
      <c r="J1392">
        <v>7</v>
      </c>
      <c r="K1392">
        <v>5426</v>
      </c>
      <c r="L1392">
        <v>10</v>
      </c>
      <c r="M1392">
        <v>37982</v>
      </c>
      <c r="N1392">
        <v>3798.2</v>
      </c>
      <c r="O1392">
        <v>34183.800000000003</v>
      </c>
    </row>
    <row r="1393" spans="1:15" x14ac:dyDescent="0.3">
      <c r="A1393" t="s">
        <v>1405</v>
      </c>
      <c r="B1393" s="1">
        <v>45233</v>
      </c>
      <c r="C1393" t="s">
        <v>3399</v>
      </c>
      <c r="D1393" t="s">
        <v>4000</v>
      </c>
      <c r="E1393">
        <v>42</v>
      </c>
      <c r="F1393" t="str">
        <f t="shared" si="21"/>
        <v>36-45</v>
      </c>
      <c r="G1393" t="s">
        <v>4001</v>
      </c>
      <c r="H1393" t="s">
        <v>4010</v>
      </c>
      <c r="I1393" t="s">
        <v>4013</v>
      </c>
      <c r="J1393">
        <v>2</v>
      </c>
      <c r="K1393">
        <v>5905</v>
      </c>
      <c r="L1393">
        <v>0</v>
      </c>
      <c r="M1393">
        <v>11810</v>
      </c>
      <c r="N1393">
        <v>0</v>
      </c>
      <c r="O1393">
        <v>11810</v>
      </c>
    </row>
    <row r="1394" spans="1:15" x14ac:dyDescent="0.3">
      <c r="A1394" t="s">
        <v>1406</v>
      </c>
      <c r="B1394" s="1">
        <v>45115</v>
      </c>
      <c r="C1394" t="s">
        <v>3400</v>
      </c>
      <c r="D1394" t="s">
        <v>3999</v>
      </c>
      <c r="E1394">
        <v>28</v>
      </c>
      <c r="F1394" t="str">
        <f t="shared" si="21"/>
        <v>26-35</v>
      </c>
      <c r="G1394" t="s">
        <v>4003</v>
      </c>
      <c r="H1394" t="s">
        <v>4007</v>
      </c>
      <c r="I1394" t="s">
        <v>4017</v>
      </c>
      <c r="J1394">
        <v>5</v>
      </c>
      <c r="K1394">
        <v>7667</v>
      </c>
      <c r="L1394">
        <v>0</v>
      </c>
      <c r="M1394">
        <v>38335</v>
      </c>
      <c r="N1394">
        <v>0</v>
      </c>
      <c r="O1394">
        <v>38335</v>
      </c>
    </row>
    <row r="1395" spans="1:15" x14ac:dyDescent="0.3">
      <c r="A1395" t="s">
        <v>1407</v>
      </c>
      <c r="B1395" s="1">
        <v>45120</v>
      </c>
      <c r="C1395" t="s">
        <v>3401</v>
      </c>
      <c r="D1395" t="s">
        <v>4000</v>
      </c>
      <c r="E1395">
        <v>29</v>
      </c>
      <c r="F1395" t="str">
        <f t="shared" si="21"/>
        <v>26-35</v>
      </c>
      <c r="G1395" t="s">
        <v>4006</v>
      </c>
      <c r="H1395" t="s">
        <v>4012</v>
      </c>
      <c r="I1395" t="s">
        <v>4015</v>
      </c>
      <c r="J1395">
        <v>1</v>
      </c>
      <c r="K1395">
        <v>4869</v>
      </c>
      <c r="L1395">
        <v>10</v>
      </c>
      <c r="M1395">
        <v>4869</v>
      </c>
      <c r="N1395">
        <v>486.9</v>
      </c>
      <c r="O1395">
        <v>4382.1000000000004</v>
      </c>
    </row>
    <row r="1396" spans="1:15" x14ac:dyDescent="0.3">
      <c r="A1396" t="s">
        <v>1408</v>
      </c>
      <c r="B1396" s="1">
        <v>44976</v>
      </c>
      <c r="C1396" t="s">
        <v>3402</v>
      </c>
      <c r="D1396" t="s">
        <v>3999</v>
      </c>
      <c r="E1396">
        <v>36</v>
      </c>
      <c r="F1396" t="str">
        <f t="shared" si="21"/>
        <v>36-45</v>
      </c>
      <c r="G1396" t="s">
        <v>4001</v>
      </c>
      <c r="H1396" t="s">
        <v>4008</v>
      </c>
      <c r="I1396" t="s">
        <v>4017</v>
      </c>
      <c r="J1396">
        <v>1</v>
      </c>
      <c r="K1396">
        <v>7076</v>
      </c>
      <c r="L1396">
        <v>10</v>
      </c>
      <c r="M1396">
        <v>7076</v>
      </c>
      <c r="N1396">
        <v>707.6</v>
      </c>
      <c r="O1396">
        <v>6368.4</v>
      </c>
    </row>
    <row r="1397" spans="1:15" x14ac:dyDescent="0.3">
      <c r="A1397" t="s">
        <v>1409</v>
      </c>
      <c r="B1397" s="1">
        <v>44814</v>
      </c>
      <c r="C1397" t="s">
        <v>3403</v>
      </c>
      <c r="D1397" t="s">
        <v>4000</v>
      </c>
      <c r="E1397">
        <v>20</v>
      </c>
      <c r="F1397" t="str">
        <f t="shared" si="21"/>
        <v>18-25</v>
      </c>
      <c r="G1397" t="s">
        <v>4003</v>
      </c>
      <c r="H1397" t="s">
        <v>4010</v>
      </c>
      <c r="I1397" t="s">
        <v>4013</v>
      </c>
      <c r="J1397">
        <v>3</v>
      </c>
      <c r="K1397">
        <v>4361</v>
      </c>
      <c r="L1397">
        <v>10</v>
      </c>
      <c r="M1397">
        <v>13083</v>
      </c>
      <c r="N1397">
        <v>1308.3</v>
      </c>
      <c r="O1397">
        <v>11774.7</v>
      </c>
    </row>
    <row r="1398" spans="1:15" x14ac:dyDescent="0.3">
      <c r="A1398" t="s">
        <v>1410</v>
      </c>
      <c r="B1398" s="1">
        <v>44822</v>
      </c>
      <c r="C1398" t="s">
        <v>3404</v>
      </c>
      <c r="D1398" t="s">
        <v>3999</v>
      </c>
      <c r="E1398">
        <v>28</v>
      </c>
      <c r="F1398" t="str">
        <f t="shared" si="21"/>
        <v>26-35</v>
      </c>
      <c r="G1398" t="s">
        <v>4003</v>
      </c>
      <c r="H1398" t="s">
        <v>4009</v>
      </c>
      <c r="I1398" t="s">
        <v>4015</v>
      </c>
      <c r="J1398">
        <v>5</v>
      </c>
      <c r="K1398">
        <v>5522</v>
      </c>
      <c r="L1398">
        <v>0</v>
      </c>
      <c r="M1398">
        <v>27610</v>
      </c>
      <c r="N1398">
        <v>0</v>
      </c>
      <c r="O1398">
        <v>27610</v>
      </c>
    </row>
    <row r="1399" spans="1:15" x14ac:dyDescent="0.3">
      <c r="A1399" t="s">
        <v>1411</v>
      </c>
      <c r="B1399" s="1">
        <v>44738</v>
      </c>
      <c r="C1399" t="s">
        <v>3405</v>
      </c>
      <c r="D1399" t="s">
        <v>4000</v>
      </c>
      <c r="E1399">
        <v>40</v>
      </c>
      <c r="F1399" t="str">
        <f t="shared" si="21"/>
        <v>36-45</v>
      </c>
      <c r="G1399" t="s">
        <v>4003</v>
      </c>
      <c r="H1399" t="s">
        <v>4008</v>
      </c>
      <c r="I1399" t="s">
        <v>4013</v>
      </c>
      <c r="J1399">
        <v>5</v>
      </c>
      <c r="K1399">
        <v>1617</v>
      </c>
      <c r="L1399">
        <v>5</v>
      </c>
      <c r="M1399">
        <v>8085</v>
      </c>
      <c r="N1399">
        <v>404.25</v>
      </c>
      <c r="O1399">
        <v>7680.75</v>
      </c>
    </row>
    <row r="1400" spans="1:15" x14ac:dyDescent="0.3">
      <c r="A1400" t="s">
        <v>1412</v>
      </c>
      <c r="B1400" s="1">
        <v>44653</v>
      </c>
      <c r="C1400" t="s">
        <v>3406</v>
      </c>
      <c r="D1400" t="s">
        <v>3999</v>
      </c>
      <c r="E1400">
        <v>59</v>
      </c>
      <c r="F1400" t="str">
        <f t="shared" si="21"/>
        <v>46+</v>
      </c>
      <c r="G1400" t="s">
        <v>4004</v>
      </c>
      <c r="H1400" t="s">
        <v>4008</v>
      </c>
      <c r="I1400" t="s">
        <v>4014</v>
      </c>
      <c r="J1400">
        <v>4</v>
      </c>
      <c r="K1400">
        <v>4299</v>
      </c>
      <c r="L1400">
        <v>15</v>
      </c>
      <c r="M1400">
        <v>17196</v>
      </c>
      <c r="N1400">
        <v>2579.4</v>
      </c>
      <c r="O1400">
        <v>14616.6</v>
      </c>
    </row>
    <row r="1401" spans="1:15" x14ac:dyDescent="0.3">
      <c r="A1401" t="s">
        <v>1413</v>
      </c>
      <c r="B1401" s="1">
        <v>44918</v>
      </c>
      <c r="C1401" t="s">
        <v>3407</v>
      </c>
      <c r="D1401" t="s">
        <v>3999</v>
      </c>
      <c r="E1401">
        <v>35</v>
      </c>
      <c r="F1401" t="str">
        <f t="shared" si="21"/>
        <v>26-35</v>
      </c>
      <c r="G1401" t="s">
        <v>4004</v>
      </c>
      <c r="H1401" t="s">
        <v>4009</v>
      </c>
      <c r="I1401" t="s">
        <v>4015</v>
      </c>
      <c r="J1401">
        <v>5</v>
      </c>
      <c r="K1401">
        <v>6578</v>
      </c>
      <c r="L1401">
        <v>10</v>
      </c>
      <c r="M1401">
        <v>32890</v>
      </c>
      <c r="N1401">
        <v>3289</v>
      </c>
      <c r="O1401">
        <v>29601</v>
      </c>
    </row>
    <row r="1402" spans="1:15" x14ac:dyDescent="0.3">
      <c r="A1402" t="s">
        <v>1414</v>
      </c>
      <c r="B1402" s="1">
        <v>44739</v>
      </c>
      <c r="C1402" t="s">
        <v>3408</v>
      </c>
      <c r="D1402" t="s">
        <v>3999</v>
      </c>
      <c r="E1402">
        <v>51</v>
      </c>
      <c r="F1402" t="str">
        <f t="shared" si="21"/>
        <v>46+</v>
      </c>
      <c r="G1402" t="s">
        <v>4002</v>
      </c>
      <c r="H1402" t="s">
        <v>4008</v>
      </c>
      <c r="I1402" t="s">
        <v>4016</v>
      </c>
      <c r="J1402">
        <v>6</v>
      </c>
      <c r="K1402">
        <v>1101</v>
      </c>
      <c r="L1402">
        <v>20</v>
      </c>
      <c r="M1402">
        <v>6606</v>
      </c>
      <c r="N1402">
        <v>1321.2</v>
      </c>
      <c r="O1402">
        <v>5284.8</v>
      </c>
    </row>
    <row r="1403" spans="1:15" x14ac:dyDescent="0.3">
      <c r="A1403" t="s">
        <v>1415</v>
      </c>
      <c r="B1403" s="1">
        <v>44780</v>
      </c>
      <c r="C1403" t="s">
        <v>3409</v>
      </c>
      <c r="D1403" t="s">
        <v>3999</v>
      </c>
      <c r="E1403">
        <v>23</v>
      </c>
      <c r="F1403" t="str">
        <f t="shared" si="21"/>
        <v>18-25</v>
      </c>
      <c r="G1403" t="s">
        <v>4001</v>
      </c>
      <c r="H1403" t="s">
        <v>4008</v>
      </c>
      <c r="I1403" t="s">
        <v>4017</v>
      </c>
      <c r="J1403">
        <v>3</v>
      </c>
      <c r="K1403">
        <v>449</v>
      </c>
      <c r="L1403">
        <v>5</v>
      </c>
      <c r="M1403">
        <v>1347</v>
      </c>
      <c r="N1403">
        <v>67.349999999999994</v>
      </c>
      <c r="O1403">
        <v>1279.6500000000001</v>
      </c>
    </row>
    <row r="1404" spans="1:15" x14ac:dyDescent="0.3">
      <c r="A1404" t="s">
        <v>1416</v>
      </c>
      <c r="B1404" s="1">
        <v>44699</v>
      </c>
      <c r="C1404" t="s">
        <v>3410</v>
      </c>
      <c r="D1404" t="s">
        <v>3999</v>
      </c>
      <c r="E1404">
        <v>62</v>
      </c>
      <c r="F1404" t="str">
        <f t="shared" si="21"/>
        <v>46+</v>
      </c>
      <c r="G1404" t="s">
        <v>4002</v>
      </c>
      <c r="H1404" t="s">
        <v>4008</v>
      </c>
      <c r="I1404" t="s">
        <v>4017</v>
      </c>
      <c r="J1404">
        <v>4</v>
      </c>
      <c r="K1404">
        <v>1546</v>
      </c>
      <c r="L1404">
        <v>10</v>
      </c>
      <c r="M1404">
        <v>6184</v>
      </c>
      <c r="N1404">
        <v>618.4</v>
      </c>
      <c r="O1404">
        <v>5565.6</v>
      </c>
    </row>
    <row r="1405" spans="1:15" x14ac:dyDescent="0.3">
      <c r="A1405" t="s">
        <v>1417</v>
      </c>
      <c r="B1405" s="1">
        <v>44588</v>
      </c>
      <c r="C1405" t="s">
        <v>3411</v>
      </c>
      <c r="D1405" t="s">
        <v>4000</v>
      </c>
      <c r="E1405">
        <v>26</v>
      </c>
      <c r="F1405" t="str">
        <f t="shared" si="21"/>
        <v>26-35</v>
      </c>
      <c r="G1405" t="s">
        <v>4002</v>
      </c>
      <c r="H1405" t="s">
        <v>4010</v>
      </c>
      <c r="I1405" t="s">
        <v>4015</v>
      </c>
      <c r="J1405">
        <v>6</v>
      </c>
      <c r="K1405">
        <v>6839</v>
      </c>
      <c r="L1405">
        <v>0</v>
      </c>
      <c r="M1405">
        <v>41034</v>
      </c>
      <c r="N1405">
        <v>0</v>
      </c>
      <c r="O1405">
        <v>41034</v>
      </c>
    </row>
    <row r="1406" spans="1:15" x14ac:dyDescent="0.3">
      <c r="A1406" t="s">
        <v>1418</v>
      </c>
      <c r="B1406" s="1">
        <v>44924</v>
      </c>
      <c r="C1406" t="s">
        <v>3412</v>
      </c>
      <c r="D1406" t="s">
        <v>4000</v>
      </c>
      <c r="E1406">
        <v>26</v>
      </c>
      <c r="F1406" t="str">
        <f t="shared" si="21"/>
        <v>26-35</v>
      </c>
      <c r="G1406" t="s">
        <v>4003</v>
      </c>
      <c r="H1406" t="s">
        <v>4007</v>
      </c>
      <c r="I1406" t="s">
        <v>4015</v>
      </c>
      <c r="J1406">
        <v>7</v>
      </c>
      <c r="K1406">
        <v>7909</v>
      </c>
      <c r="L1406">
        <v>15</v>
      </c>
      <c r="M1406">
        <v>55363</v>
      </c>
      <c r="N1406">
        <v>8304.4500000000007</v>
      </c>
      <c r="O1406">
        <v>47058.55</v>
      </c>
    </row>
    <row r="1407" spans="1:15" x14ac:dyDescent="0.3">
      <c r="A1407" t="s">
        <v>1419</v>
      </c>
      <c r="B1407" s="1">
        <v>44965</v>
      </c>
      <c r="C1407" t="s">
        <v>3413</v>
      </c>
      <c r="D1407" t="s">
        <v>4000</v>
      </c>
      <c r="E1407">
        <v>21</v>
      </c>
      <c r="F1407" t="str">
        <f t="shared" si="21"/>
        <v>18-25</v>
      </c>
      <c r="G1407" t="s">
        <v>4006</v>
      </c>
      <c r="H1407" t="s">
        <v>4010</v>
      </c>
      <c r="I1407" t="s">
        <v>4014</v>
      </c>
      <c r="J1407">
        <v>7</v>
      </c>
      <c r="K1407">
        <v>2916</v>
      </c>
      <c r="L1407">
        <v>0</v>
      </c>
      <c r="M1407">
        <v>20412</v>
      </c>
      <c r="N1407">
        <v>0</v>
      </c>
      <c r="O1407">
        <v>20412</v>
      </c>
    </row>
    <row r="1408" spans="1:15" x14ac:dyDescent="0.3">
      <c r="A1408" t="s">
        <v>1420</v>
      </c>
      <c r="B1408" s="1">
        <v>44630</v>
      </c>
      <c r="C1408" t="s">
        <v>3414</v>
      </c>
      <c r="D1408" t="s">
        <v>4000</v>
      </c>
      <c r="E1408">
        <v>25</v>
      </c>
      <c r="F1408" t="str">
        <f t="shared" si="21"/>
        <v>18-25</v>
      </c>
      <c r="G1408" t="s">
        <v>4005</v>
      </c>
      <c r="H1408" t="s">
        <v>4007</v>
      </c>
      <c r="I1408" t="s">
        <v>4014</v>
      </c>
      <c r="J1408">
        <v>1</v>
      </c>
      <c r="K1408">
        <v>6819</v>
      </c>
      <c r="L1408">
        <v>5</v>
      </c>
      <c r="M1408">
        <v>6819</v>
      </c>
      <c r="N1408">
        <v>340.95</v>
      </c>
      <c r="O1408">
        <v>6478.05</v>
      </c>
    </row>
    <row r="1409" spans="1:15" x14ac:dyDescent="0.3">
      <c r="A1409" t="s">
        <v>1421</v>
      </c>
      <c r="B1409" s="1">
        <v>44910</v>
      </c>
      <c r="C1409" t="s">
        <v>3415</v>
      </c>
      <c r="D1409" t="s">
        <v>3999</v>
      </c>
      <c r="E1409">
        <v>24</v>
      </c>
      <c r="F1409" t="str">
        <f t="shared" si="21"/>
        <v>18-25</v>
      </c>
      <c r="G1409" t="s">
        <v>4002</v>
      </c>
      <c r="H1409" t="s">
        <v>4012</v>
      </c>
      <c r="I1409" t="s">
        <v>4016</v>
      </c>
      <c r="J1409">
        <v>4</v>
      </c>
      <c r="K1409">
        <v>7757</v>
      </c>
      <c r="L1409">
        <v>15</v>
      </c>
      <c r="M1409">
        <v>31028</v>
      </c>
      <c r="N1409">
        <v>4654.2</v>
      </c>
      <c r="O1409">
        <v>26373.8</v>
      </c>
    </row>
    <row r="1410" spans="1:15" x14ac:dyDescent="0.3">
      <c r="A1410" t="s">
        <v>1422</v>
      </c>
      <c r="B1410" s="1">
        <v>45184</v>
      </c>
      <c r="C1410" t="s">
        <v>3416</v>
      </c>
      <c r="D1410" t="s">
        <v>3999</v>
      </c>
      <c r="E1410">
        <v>60</v>
      </c>
      <c r="F1410" t="str">
        <f t="shared" ref="F1410:F1473" si="22">IF(E1410&lt;=25,"18-25",IF(E1410&lt;=35,"26-35",IF(E1410&lt;=45,"36-45","46+")))</f>
        <v>46+</v>
      </c>
      <c r="G1410" t="s">
        <v>4004</v>
      </c>
      <c r="H1410" t="s">
        <v>4010</v>
      </c>
      <c r="I1410" t="s">
        <v>4016</v>
      </c>
      <c r="J1410">
        <v>6</v>
      </c>
      <c r="K1410">
        <v>2329</v>
      </c>
      <c r="L1410">
        <v>0</v>
      </c>
      <c r="M1410">
        <v>13974</v>
      </c>
      <c r="N1410">
        <v>0</v>
      </c>
      <c r="O1410">
        <v>13974</v>
      </c>
    </row>
    <row r="1411" spans="1:15" x14ac:dyDescent="0.3">
      <c r="A1411" t="s">
        <v>1423</v>
      </c>
      <c r="B1411" s="1">
        <v>45098</v>
      </c>
      <c r="C1411" t="s">
        <v>3417</v>
      </c>
      <c r="D1411" t="s">
        <v>3999</v>
      </c>
      <c r="E1411">
        <v>50</v>
      </c>
      <c r="F1411" t="str">
        <f t="shared" si="22"/>
        <v>46+</v>
      </c>
      <c r="G1411" t="s">
        <v>4006</v>
      </c>
      <c r="H1411" t="s">
        <v>4009</v>
      </c>
      <c r="I1411" t="s">
        <v>4017</v>
      </c>
      <c r="J1411">
        <v>3</v>
      </c>
      <c r="K1411">
        <v>5957</v>
      </c>
      <c r="L1411">
        <v>5</v>
      </c>
      <c r="M1411">
        <v>17871</v>
      </c>
      <c r="N1411">
        <v>893.55</v>
      </c>
      <c r="O1411">
        <v>16977.45</v>
      </c>
    </row>
    <row r="1412" spans="1:15" x14ac:dyDescent="0.3">
      <c r="A1412" t="s">
        <v>1424</v>
      </c>
      <c r="B1412" s="1">
        <v>44847</v>
      </c>
      <c r="C1412" t="s">
        <v>3418</v>
      </c>
      <c r="D1412" t="s">
        <v>4000</v>
      </c>
      <c r="E1412">
        <v>43</v>
      </c>
      <c r="F1412" t="str">
        <f t="shared" si="22"/>
        <v>36-45</v>
      </c>
      <c r="G1412" t="s">
        <v>4004</v>
      </c>
      <c r="H1412" t="s">
        <v>4007</v>
      </c>
      <c r="I1412" t="s">
        <v>4014</v>
      </c>
      <c r="J1412">
        <v>3</v>
      </c>
      <c r="K1412">
        <v>7351</v>
      </c>
      <c r="L1412">
        <v>5</v>
      </c>
      <c r="M1412">
        <v>22053</v>
      </c>
      <c r="N1412">
        <v>1102.6500000000001</v>
      </c>
      <c r="O1412">
        <v>20950.349999999999</v>
      </c>
    </row>
    <row r="1413" spans="1:15" x14ac:dyDescent="0.3">
      <c r="A1413" t="s">
        <v>1425</v>
      </c>
      <c r="B1413" s="1">
        <v>44563</v>
      </c>
      <c r="C1413" t="s">
        <v>3419</v>
      </c>
      <c r="D1413" t="s">
        <v>4000</v>
      </c>
      <c r="E1413">
        <v>57</v>
      </c>
      <c r="F1413" t="str">
        <f t="shared" si="22"/>
        <v>46+</v>
      </c>
      <c r="G1413" t="s">
        <v>4002</v>
      </c>
      <c r="H1413" t="s">
        <v>4008</v>
      </c>
      <c r="I1413" t="s">
        <v>4017</v>
      </c>
      <c r="J1413">
        <v>6</v>
      </c>
      <c r="K1413">
        <v>7862</v>
      </c>
      <c r="L1413">
        <v>0</v>
      </c>
      <c r="M1413">
        <v>47172</v>
      </c>
      <c r="N1413">
        <v>0</v>
      </c>
      <c r="O1413">
        <v>47172</v>
      </c>
    </row>
    <row r="1414" spans="1:15" x14ac:dyDescent="0.3">
      <c r="A1414" t="s">
        <v>1426</v>
      </c>
      <c r="B1414" s="1">
        <v>45004</v>
      </c>
      <c r="C1414" t="s">
        <v>3420</v>
      </c>
      <c r="D1414" t="s">
        <v>3999</v>
      </c>
      <c r="E1414">
        <v>21</v>
      </c>
      <c r="F1414" t="str">
        <f t="shared" si="22"/>
        <v>18-25</v>
      </c>
      <c r="G1414" t="s">
        <v>4004</v>
      </c>
      <c r="H1414" t="s">
        <v>4008</v>
      </c>
      <c r="I1414" t="s">
        <v>4016</v>
      </c>
      <c r="J1414">
        <v>2</v>
      </c>
      <c r="K1414">
        <v>1747</v>
      </c>
      <c r="L1414">
        <v>15</v>
      </c>
      <c r="M1414">
        <v>3494</v>
      </c>
      <c r="N1414">
        <v>524.1</v>
      </c>
      <c r="O1414">
        <v>2969.9</v>
      </c>
    </row>
    <row r="1415" spans="1:15" x14ac:dyDescent="0.3">
      <c r="A1415" t="s">
        <v>1427</v>
      </c>
      <c r="B1415" s="1">
        <v>45093</v>
      </c>
      <c r="C1415" t="s">
        <v>3421</v>
      </c>
      <c r="D1415" t="s">
        <v>4000</v>
      </c>
      <c r="E1415">
        <v>60</v>
      </c>
      <c r="F1415" t="str">
        <f t="shared" si="22"/>
        <v>46+</v>
      </c>
      <c r="G1415" t="s">
        <v>4004</v>
      </c>
      <c r="H1415" t="s">
        <v>4010</v>
      </c>
      <c r="I1415" t="s">
        <v>4013</v>
      </c>
      <c r="J1415">
        <v>5</v>
      </c>
      <c r="K1415">
        <v>1333</v>
      </c>
      <c r="L1415">
        <v>10</v>
      </c>
      <c r="M1415">
        <v>6665</v>
      </c>
      <c r="N1415">
        <v>666.5</v>
      </c>
      <c r="O1415">
        <v>5998.5</v>
      </c>
    </row>
    <row r="1416" spans="1:15" x14ac:dyDescent="0.3">
      <c r="A1416" t="s">
        <v>1428</v>
      </c>
      <c r="B1416" s="1">
        <v>44914</v>
      </c>
      <c r="C1416" t="s">
        <v>3422</v>
      </c>
      <c r="D1416" t="s">
        <v>3999</v>
      </c>
      <c r="E1416">
        <v>42</v>
      </c>
      <c r="F1416" t="str">
        <f t="shared" si="22"/>
        <v>36-45</v>
      </c>
      <c r="G1416" t="s">
        <v>4004</v>
      </c>
      <c r="H1416" t="s">
        <v>4012</v>
      </c>
      <c r="I1416" t="s">
        <v>4013</v>
      </c>
      <c r="J1416">
        <v>2</v>
      </c>
      <c r="K1416">
        <v>6693</v>
      </c>
      <c r="L1416">
        <v>0</v>
      </c>
      <c r="M1416">
        <v>13386</v>
      </c>
      <c r="N1416">
        <v>0</v>
      </c>
      <c r="O1416">
        <v>13386</v>
      </c>
    </row>
    <row r="1417" spans="1:15" x14ac:dyDescent="0.3">
      <c r="A1417" t="s">
        <v>1429</v>
      </c>
      <c r="B1417" s="1">
        <v>45059</v>
      </c>
      <c r="C1417" t="s">
        <v>3423</v>
      </c>
      <c r="D1417" t="s">
        <v>3999</v>
      </c>
      <c r="E1417">
        <v>20</v>
      </c>
      <c r="F1417" t="str">
        <f t="shared" si="22"/>
        <v>18-25</v>
      </c>
      <c r="G1417" t="s">
        <v>4006</v>
      </c>
      <c r="H1417" t="s">
        <v>4008</v>
      </c>
      <c r="I1417" t="s">
        <v>4013</v>
      </c>
      <c r="J1417">
        <v>4</v>
      </c>
      <c r="K1417">
        <v>3283</v>
      </c>
      <c r="L1417">
        <v>5</v>
      </c>
      <c r="M1417">
        <v>13132</v>
      </c>
      <c r="N1417">
        <v>656.6</v>
      </c>
      <c r="O1417">
        <v>12475.4</v>
      </c>
    </row>
    <row r="1418" spans="1:15" x14ac:dyDescent="0.3">
      <c r="A1418" t="s">
        <v>1430</v>
      </c>
      <c r="B1418" s="1">
        <v>44644</v>
      </c>
      <c r="C1418" t="s">
        <v>3424</v>
      </c>
      <c r="D1418" t="s">
        <v>3999</v>
      </c>
      <c r="E1418">
        <v>51</v>
      </c>
      <c r="F1418" t="str">
        <f t="shared" si="22"/>
        <v>46+</v>
      </c>
      <c r="G1418" t="s">
        <v>4003</v>
      </c>
      <c r="H1418" t="s">
        <v>4009</v>
      </c>
      <c r="I1418" t="s">
        <v>4016</v>
      </c>
      <c r="J1418">
        <v>4</v>
      </c>
      <c r="K1418">
        <v>6525</v>
      </c>
      <c r="L1418">
        <v>20</v>
      </c>
      <c r="M1418">
        <v>26100</v>
      </c>
      <c r="N1418">
        <v>5220</v>
      </c>
      <c r="O1418">
        <v>20880</v>
      </c>
    </row>
    <row r="1419" spans="1:15" x14ac:dyDescent="0.3">
      <c r="A1419" t="s">
        <v>1431</v>
      </c>
      <c r="B1419" s="1">
        <v>44978</v>
      </c>
      <c r="C1419" t="s">
        <v>3425</v>
      </c>
      <c r="D1419" t="s">
        <v>3999</v>
      </c>
      <c r="E1419">
        <v>32</v>
      </c>
      <c r="F1419" t="str">
        <f t="shared" si="22"/>
        <v>26-35</v>
      </c>
      <c r="G1419" t="s">
        <v>4001</v>
      </c>
      <c r="H1419" t="s">
        <v>4008</v>
      </c>
      <c r="I1419" t="s">
        <v>4014</v>
      </c>
      <c r="J1419">
        <v>7</v>
      </c>
      <c r="K1419">
        <v>6099</v>
      </c>
      <c r="L1419">
        <v>0</v>
      </c>
      <c r="M1419">
        <v>42693</v>
      </c>
      <c r="N1419">
        <v>0</v>
      </c>
      <c r="O1419">
        <v>42693</v>
      </c>
    </row>
    <row r="1420" spans="1:15" x14ac:dyDescent="0.3">
      <c r="A1420" t="s">
        <v>1432</v>
      </c>
      <c r="B1420" s="1">
        <v>44650</v>
      </c>
      <c r="C1420" t="s">
        <v>3426</v>
      </c>
      <c r="D1420" t="s">
        <v>4000</v>
      </c>
      <c r="E1420">
        <v>31</v>
      </c>
      <c r="F1420" t="str">
        <f t="shared" si="22"/>
        <v>26-35</v>
      </c>
      <c r="G1420" t="s">
        <v>4006</v>
      </c>
      <c r="H1420" t="s">
        <v>4007</v>
      </c>
      <c r="I1420" t="s">
        <v>4016</v>
      </c>
      <c r="J1420">
        <v>4</v>
      </c>
      <c r="K1420">
        <v>5728</v>
      </c>
      <c r="L1420">
        <v>0</v>
      </c>
      <c r="M1420">
        <v>22912</v>
      </c>
      <c r="N1420">
        <v>0</v>
      </c>
      <c r="O1420">
        <v>22912</v>
      </c>
    </row>
    <row r="1421" spans="1:15" x14ac:dyDescent="0.3">
      <c r="A1421" t="s">
        <v>1433</v>
      </c>
      <c r="B1421" s="1">
        <v>44807</v>
      </c>
      <c r="C1421" t="s">
        <v>3427</v>
      </c>
      <c r="D1421" t="s">
        <v>3999</v>
      </c>
      <c r="E1421">
        <v>52</v>
      </c>
      <c r="F1421" t="str">
        <f t="shared" si="22"/>
        <v>46+</v>
      </c>
      <c r="G1421" t="s">
        <v>4002</v>
      </c>
      <c r="H1421" t="s">
        <v>4008</v>
      </c>
      <c r="I1421" t="s">
        <v>4016</v>
      </c>
      <c r="J1421">
        <v>1</v>
      </c>
      <c r="K1421">
        <v>3505</v>
      </c>
      <c r="L1421">
        <v>5</v>
      </c>
      <c r="M1421">
        <v>3505</v>
      </c>
      <c r="N1421">
        <v>175.25</v>
      </c>
      <c r="O1421">
        <v>3329.75</v>
      </c>
    </row>
    <row r="1422" spans="1:15" x14ac:dyDescent="0.3">
      <c r="A1422" t="s">
        <v>1434</v>
      </c>
      <c r="B1422" s="1">
        <v>45045</v>
      </c>
      <c r="C1422" t="s">
        <v>3428</v>
      </c>
      <c r="D1422" t="s">
        <v>4000</v>
      </c>
      <c r="E1422">
        <v>57</v>
      </c>
      <c r="F1422" t="str">
        <f t="shared" si="22"/>
        <v>46+</v>
      </c>
      <c r="G1422" t="s">
        <v>4003</v>
      </c>
      <c r="H1422" t="s">
        <v>4012</v>
      </c>
      <c r="I1422" t="s">
        <v>4013</v>
      </c>
      <c r="J1422">
        <v>1</v>
      </c>
      <c r="K1422">
        <v>461</v>
      </c>
      <c r="L1422">
        <v>0</v>
      </c>
      <c r="M1422">
        <v>461</v>
      </c>
      <c r="N1422">
        <v>0</v>
      </c>
      <c r="O1422">
        <v>461</v>
      </c>
    </row>
    <row r="1423" spans="1:15" x14ac:dyDescent="0.3">
      <c r="A1423" t="s">
        <v>1435</v>
      </c>
      <c r="B1423" s="1">
        <v>45258</v>
      </c>
      <c r="C1423" t="s">
        <v>3429</v>
      </c>
      <c r="D1423" t="s">
        <v>4000</v>
      </c>
      <c r="E1423">
        <v>61</v>
      </c>
      <c r="F1423" t="str">
        <f t="shared" si="22"/>
        <v>46+</v>
      </c>
      <c r="G1423" t="s">
        <v>4003</v>
      </c>
      <c r="H1423" t="s">
        <v>4008</v>
      </c>
      <c r="I1423" t="s">
        <v>4014</v>
      </c>
      <c r="J1423">
        <v>2</v>
      </c>
      <c r="K1423">
        <v>6430</v>
      </c>
      <c r="L1423">
        <v>0</v>
      </c>
      <c r="M1423">
        <v>12860</v>
      </c>
      <c r="N1423">
        <v>0</v>
      </c>
      <c r="O1423">
        <v>12860</v>
      </c>
    </row>
    <row r="1424" spans="1:15" x14ac:dyDescent="0.3">
      <c r="A1424" t="s">
        <v>1436</v>
      </c>
      <c r="B1424" s="1">
        <v>44769</v>
      </c>
      <c r="C1424" t="s">
        <v>3430</v>
      </c>
      <c r="D1424" t="s">
        <v>3999</v>
      </c>
      <c r="E1424">
        <v>18</v>
      </c>
      <c r="F1424" t="str">
        <f t="shared" si="22"/>
        <v>18-25</v>
      </c>
      <c r="G1424" t="s">
        <v>4003</v>
      </c>
      <c r="H1424" t="s">
        <v>4008</v>
      </c>
      <c r="I1424" t="s">
        <v>4014</v>
      </c>
      <c r="J1424">
        <v>1</v>
      </c>
      <c r="K1424">
        <v>7563</v>
      </c>
      <c r="L1424">
        <v>20</v>
      </c>
      <c r="M1424">
        <v>7563</v>
      </c>
      <c r="N1424">
        <v>1512.6</v>
      </c>
      <c r="O1424">
        <v>6050.4</v>
      </c>
    </row>
    <row r="1425" spans="1:15" x14ac:dyDescent="0.3">
      <c r="A1425" t="s">
        <v>1437</v>
      </c>
      <c r="B1425" s="1">
        <v>44842</v>
      </c>
      <c r="C1425" t="s">
        <v>3431</v>
      </c>
      <c r="D1425" t="s">
        <v>4000</v>
      </c>
      <c r="E1425">
        <v>25</v>
      </c>
      <c r="F1425" t="str">
        <f t="shared" si="22"/>
        <v>18-25</v>
      </c>
      <c r="G1425" t="s">
        <v>4004</v>
      </c>
      <c r="H1425" t="s">
        <v>4010</v>
      </c>
      <c r="I1425" t="s">
        <v>4016</v>
      </c>
      <c r="J1425">
        <v>4</v>
      </c>
      <c r="K1425">
        <v>4577</v>
      </c>
      <c r="L1425">
        <v>10</v>
      </c>
      <c r="M1425">
        <v>18308</v>
      </c>
      <c r="N1425">
        <v>1830.8</v>
      </c>
      <c r="O1425">
        <v>16477.2</v>
      </c>
    </row>
    <row r="1426" spans="1:15" x14ac:dyDescent="0.3">
      <c r="A1426" t="s">
        <v>1438</v>
      </c>
      <c r="B1426" s="1">
        <v>44916</v>
      </c>
      <c r="C1426" t="s">
        <v>3432</v>
      </c>
      <c r="D1426" t="s">
        <v>3999</v>
      </c>
      <c r="E1426">
        <v>46</v>
      </c>
      <c r="F1426" t="str">
        <f t="shared" si="22"/>
        <v>46+</v>
      </c>
      <c r="G1426" t="s">
        <v>4003</v>
      </c>
      <c r="H1426" t="s">
        <v>4007</v>
      </c>
      <c r="I1426" t="s">
        <v>4016</v>
      </c>
      <c r="J1426">
        <v>4</v>
      </c>
      <c r="K1426">
        <v>1191</v>
      </c>
      <c r="L1426">
        <v>15</v>
      </c>
      <c r="M1426">
        <v>4764</v>
      </c>
      <c r="N1426">
        <v>714.6</v>
      </c>
      <c r="O1426">
        <v>4049.4</v>
      </c>
    </row>
    <row r="1427" spans="1:15" x14ac:dyDescent="0.3">
      <c r="A1427" t="s">
        <v>1439</v>
      </c>
      <c r="B1427" s="1">
        <v>44688</v>
      </c>
      <c r="C1427" t="s">
        <v>3433</v>
      </c>
      <c r="D1427" t="s">
        <v>4000</v>
      </c>
      <c r="E1427">
        <v>52</v>
      </c>
      <c r="F1427" t="str">
        <f t="shared" si="22"/>
        <v>46+</v>
      </c>
      <c r="G1427" t="s">
        <v>4002</v>
      </c>
      <c r="H1427" t="s">
        <v>4008</v>
      </c>
      <c r="I1427" t="s">
        <v>4017</v>
      </c>
      <c r="J1427">
        <v>6</v>
      </c>
      <c r="K1427">
        <v>6554</v>
      </c>
      <c r="L1427">
        <v>5</v>
      </c>
      <c r="M1427">
        <v>39324</v>
      </c>
      <c r="N1427">
        <v>1966.2</v>
      </c>
      <c r="O1427">
        <v>37357.800000000003</v>
      </c>
    </row>
    <row r="1428" spans="1:15" x14ac:dyDescent="0.3">
      <c r="A1428" t="s">
        <v>1440</v>
      </c>
      <c r="B1428" s="1">
        <v>44764</v>
      </c>
      <c r="C1428" t="s">
        <v>3434</v>
      </c>
      <c r="D1428" t="s">
        <v>4000</v>
      </c>
      <c r="E1428">
        <v>40</v>
      </c>
      <c r="F1428" t="str">
        <f t="shared" si="22"/>
        <v>36-45</v>
      </c>
      <c r="G1428" t="s">
        <v>4006</v>
      </c>
      <c r="H1428" t="s">
        <v>4007</v>
      </c>
      <c r="I1428" t="s">
        <v>4014</v>
      </c>
      <c r="J1428">
        <v>6</v>
      </c>
      <c r="K1428">
        <v>3106</v>
      </c>
      <c r="L1428">
        <v>0</v>
      </c>
      <c r="M1428">
        <v>18636</v>
      </c>
      <c r="N1428">
        <v>0</v>
      </c>
      <c r="O1428">
        <v>18636</v>
      </c>
    </row>
    <row r="1429" spans="1:15" x14ac:dyDescent="0.3">
      <c r="A1429" t="s">
        <v>1441</v>
      </c>
      <c r="B1429" s="1">
        <v>45289</v>
      </c>
      <c r="C1429" t="s">
        <v>3435</v>
      </c>
      <c r="D1429" t="s">
        <v>3999</v>
      </c>
      <c r="E1429">
        <v>25</v>
      </c>
      <c r="F1429" t="str">
        <f t="shared" si="22"/>
        <v>18-25</v>
      </c>
      <c r="G1429" t="s">
        <v>4003</v>
      </c>
      <c r="H1429" t="s">
        <v>4012</v>
      </c>
      <c r="I1429" t="s">
        <v>4013</v>
      </c>
      <c r="J1429">
        <v>7</v>
      </c>
      <c r="K1429">
        <v>689</v>
      </c>
      <c r="L1429">
        <v>5</v>
      </c>
      <c r="M1429">
        <v>4823</v>
      </c>
      <c r="N1429">
        <v>241.15</v>
      </c>
      <c r="O1429">
        <v>4581.8500000000004</v>
      </c>
    </row>
    <row r="1430" spans="1:15" x14ac:dyDescent="0.3">
      <c r="A1430" t="s">
        <v>1442</v>
      </c>
      <c r="B1430" s="1">
        <v>45108</v>
      </c>
      <c r="C1430" t="s">
        <v>3436</v>
      </c>
      <c r="D1430" t="s">
        <v>3999</v>
      </c>
      <c r="E1430">
        <v>42</v>
      </c>
      <c r="F1430" t="str">
        <f t="shared" si="22"/>
        <v>36-45</v>
      </c>
      <c r="G1430" t="s">
        <v>4004</v>
      </c>
      <c r="H1430" t="s">
        <v>4009</v>
      </c>
      <c r="I1430" t="s">
        <v>4017</v>
      </c>
      <c r="J1430">
        <v>2</v>
      </c>
      <c r="K1430">
        <v>881</v>
      </c>
      <c r="L1430">
        <v>0</v>
      </c>
      <c r="M1430">
        <v>1762</v>
      </c>
      <c r="N1430">
        <v>0</v>
      </c>
      <c r="O1430">
        <v>1762</v>
      </c>
    </row>
    <row r="1431" spans="1:15" x14ac:dyDescent="0.3">
      <c r="A1431" t="s">
        <v>1443</v>
      </c>
      <c r="B1431" s="1">
        <v>44838</v>
      </c>
      <c r="C1431" t="s">
        <v>3437</v>
      </c>
      <c r="D1431" t="s">
        <v>3999</v>
      </c>
      <c r="E1431">
        <v>29</v>
      </c>
      <c r="F1431" t="str">
        <f t="shared" si="22"/>
        <v>26-35</v>
      </c>
      <c r="G1431" t="s">
        <v>4005</v>
      </c>
      <c r="H1431" t="s">
        <v>4008</v>
      </c>
      <c r="I1431" t="s">
        <v>4017</v>
      </c>
      <c r="J1431">
        <v>2</v>
      </c>
      <c r="K1431">
        <v>6321</v>
      </c>
      <c r="L1431">
        <v>0</v>
      </c>
      <c r="M1431">
        <v>12642</v>
      </c>
      <c r="N1431">
        <v>0</v>
      </c>
      <c r="O1431">
        <v>12642</v>
      </c>
    </row>
    <row r="1432" spans="1:15" x14ac:dyDescent="0.3">
      <c r="A1432" t="s">
        <v>1444</v>
      </c>
      <c r="B1432" s="1">
        <v>45126</v>
      </c>
      <c r="C1432" t="s">
        <v>3438</v>
      </c>
      <c r="D1432" t="s">
        <v>4000</v>
      </c>
      <c r="E1432">
        <v>38</v>
      </c>
      <c r="F1432" t="str">
        <f t="shared" si="22"/>
        <v>36-45</v>
      </c>
      <c r="G1432" t="s">
        <v>4004</v>
      </c>
      <c r="H1432" t="s">
        <v>4009</v>
      </c>
      <c r="I1432" t="s">
        <v>4016</v>
      </c>
      <c r="J1432">
        <v>4</v>
      </c>
      <c r="K1432">
        <v>3820</v>
      </c>
      <c r="L1432">
        <v>15</v>
      </c>
      <c r="M1432">
        <v>15280</v>
      </c>
      <c r="N1432">
        <v>2292</v>
      </c>
      <c r="O1432">
        <v>12988</v>
      </c>
    </row>
    <row r="1433" spans="1:15" x14ac:dyDescent="0.3">
      <c r="A1433" t="s">
        <v>1445</v>
      </c>
      <c r="B1433" s="1">
        <v>44885</v>
      </c>
      <c r="C1433" t="s">
        <v>3439</v>
      </c>
      <c r="D1433" t="s">
        <v>4000</v>
      </c>
      <c r="E1433">
        <v>50</v>
      </c>
      <c r="F1433" t="str">
        <f t="shared" si="22"/>
        <v>46+</v>
      </c>
      <c r="G1433" t="s">
        <v>4002</v>
      </c>
      <c r="H1433" t="s">
        <v>4008</v>
      </c>
      <c r="I1433" t="s">
        <v>4015</v>
      </c>
      <c r="J1433">
        <v>2</v>
      </c>
      <c r="K1433">
        <v>4239</v>
      </c>
      <c r="L1433">
        <v>5</v>
      </c>
      <c r="M1433">
        <v>8478</v>
      </c>
      <c r="N1433">
        <v>423.9</v>
      </c>
      <c r="O1433">
        <v>8054.1</v>
      </c>
    </row>
    <row r="1434" spans="1:15" x14ac:dyDescent="0.3">
      <c r="A1434" t="s">
        <v>1446</v>
      </c>
      <c r="B1434" s="1">
        <v>44926</v>
      </c>
      <c r="C1434" t="s">
        <v>3440</v>
      </c>
      <c r="D1434" t="s">
        <v>4000</v>
      </c>
      <c r="E1434">
        <v>23</v>
      </c>
      <c r="F1434" t="str">
        <f t="shared" si="22"/>
        <v>18-25</v>
      </c>
      <c r="G1434" t="s">
        <v>4004</v>
      </c>
      <c r="H1434" t="s">
        <v>4010</v>
      </c>
      <c r="I1434" t="s">
        <v>4015</v>
      </c>
      <c r="J1434">
        <v>1</v>
      </c>
      <c r="K1434">
        <v>7444</v>
      </c>
      <c r="L1434">
        <v>5</v>
      </c>
      <c r="M1434">
        <v>7444</v>
      </c>
      <c r="N1434">
        <v>372.2</v>
      </c>
      <c r="O1434">
        <v>7071.8</v>
      </c>
    </row>
    <row r="1435" spans="1:15" x14ac:dyDescent="0.3">
      <c r="A1435" t="s">
        <v>1447</v>
      </c>
      <c r="B1435" s="1">
        <v>44831</v>
      </c>
      <c r="C1435" t="s">
        <v>3441</v>
      </c>
      <c r="D1435" t="s">
        <v>3999</v>
      </c>
      <c r="E1435">
        <v>21</v>
      </c>
      <c r="F1435" t="str">
        <f t="shared" si="22"/>
        <v>18-25</v>
      </c>
      <c r="G1435" t="s">
        <v>4006</v>
      </c>
      <c r="H1435" t="s">
        <v>4011</v>
      </c>
      <c r="I1435" t="s">
        <v>4015</v>
      </c>
      <c r="J1435">
        <v>5</v>
      </c>
      <c r="K1435">
        <v>424</v>
      </c>
      <c r="L1435">
        <v>5</v>
      </c>
      <c r="M1435">
        <v>2120</v>
      </c>
      <c r="N1435">
        <v>106</v>
      </c>
      <c r="O1435">
        <v>2014</v>
      </c>
    </row>
    <row r="1436" spans="1:15" x14ac:dyDescent="0.3">
      <c r="A1436" t="s">
        <v>1448</v>
      </c>
      <c r="B1436" s="1">
        <v>44652</v>
      </c>
      <c r="C1436" t="s">
        <v>3442</v>
      </c>
      <c r="D1436" t="s">
        <v>3999</v>
      </c>
      <c r="E1436">
        <v>36</v>
      </c>
      <c r="F1436" t="str">
        <f t="shared" si="22"/>
        <v>36-45</v>
      </c>
      <c r="G1436" t="s">
        <v>4006</v>
      </c>
      <c r="H1436" t="s">
        <v>4009</v>
      </c>
      <c r="I1436" t="s">
        <v>4017</v>
      </c>
      <c r="J1436">
        <v>2</v>
      </c>
      <c r="K1436">
        <v>3534</v>
      </c>
      <c r="L1436">
        <v>10</v>
      </c>
      <c r="M1436">
        <v>7068</v>
      </c>
      <c r="N1436">
        <v>706.8</v>
      </c>
      <c r="O1436">
        <v>6361.2</v>
      </c>
    </row>
    <row r="1437" spans="1:15" x14ac:dyDescent="0.3">
      <c r="A1437" t="s">
        <v>1449</v>
      </c>
      <c r="B1437" s="1">
        <v>44577</v>
      </c>
      <c r="C1437" t="s">
        <v>3443</v>
      </c>
      <c r="D1437" t="s">
        <v>4000</v>
      </c>
      <c r="E1437">
        <v>19</v>
      </c>
      <c r="F1437" t="str">
        <f t="shared" si="22"/>
        <v>18-25</v>
      </c>
      <c r="G1437" t="s">
        <v>4003</v>
      </c>
      <c r="H1437" t="s">
        <v>4008</v>
      </c>
      <c r="I1437" t="s">
        <v>4017</v>
      </c>
      <c r="J1437">
        <v>1</v>
      </c>
      <c r="K1437">
        <v>7695</v>
      </c>
      <c r="L1437">
        <v>5</v>
      </c>
      <c r="M1437">
        <v>7695</v>
      </c>
      <c r="N1437">
        <v>384.75</v>
      </c>
      <c r="O1437">
        <v>7310.25</v>
      </c>
    </row>
    <row r="1438" spans="1:15" x14ac:dyDescent="0.3">
      <c r="A1438" t="s">
        <v>1450</v>
      </c>
      <c r="B1438" s="1">
        <v>44797</v>
      </c>
      <c r="C1438" t="s">
        <v>3444</v>
      </c>
      <c r="D1438" t="s">
        <v>3999</v>
      </c>
      <c r="E1438">
        <v>63</v>
      </c>
      <c r="F1438" t="str">
        <f t="shared" si="22"/>
        <v>46+</v>
      </c>
      <c r="G1438" t="s">
        <v>4005</v>
      </c>
      <c r="H1438" t="s">
        <v>4007</v>
      </c>
      <c r="I1438" t="s">
        <v>4015</v>
      </c>
      <c r="J1438">
        <v>6</v>
      </c>
      <c r="K1438">
        <v>6436</v>
      </c>
      <c r="L1438">
        <v>10</v>
      </c>
      <c r="M1438">
        <v>38616</v>
      </c>
      <c r="N1438">
        <v>3861.6</v>
      </c>
      <c r="O1438">
        <v>34754.400000000001</v>
      </c>
    </row>
    <row r="1439" spans="1:15" x14ac:dyDescent="0.3">
      <c r="A1439" t="s">
        <v>1451</v>
      </c>
      <c r="B1439" s="1">
        <v>45011</v>
      </c>
      <c r="C1439" t="s">
        <v>3445</v>
      </c>
      <c r="D1439" t="s">
        <v>4000</v>
      </c>
      <c r="E1439">
        <v>53</v>
      </c>
      <c r="F1439" t="str">
        <f t="shared" si="22"/>
        <v>46+</v>
      </c>
      <c r="G1439" t="s">
        <v>4004</v>
      </c>
      <c r="H1439" t="s">
        <v>4012</v>
      </c>
      <c r="I1439" t="s">
        <v>4016</v>
      </c>
      <c r="J1439">
        <v>5</v>
      </c>
      <c r="K1439">
        <v>6300</v>
      </c>
      <c r="L1439">
        <v>0</v>
      </c>
      <c r="M1439">
        <v>31500</v>
      </c>
      <c r="N1439">
        <v>0</v>
      </c>
      <c r="O1439">
        <v>31500</v>
      </c>
    </row>
    <row r="1440" spans="1:15" x14ac:dyDescent="0.3">
      <c r="A1440" t="s">
        <v>1452</v>
      </c>
      <c r="B1440" s="1">
        <v>44978</v>
      </c>
      <c r="C1440" t="s">
        <v>3446</v>
      </c>
      <c r="D1440" t="s">
        <v>4000</v>
      </c>
      <c r="E1440">
        <v>36</v>
      </c>
      <c r="F1440" t="str">
        <f t="shared" si="22"/>
        <v>36-45</v>
      </c>
      <c r="G1440" t="s">
        <v>4004</v>
      </c>
      <c r="H1440" t="s">
        <v>4011</v>
      </c>
      <c r="I1440" t="s">
        <v>4016</v>
      </c>
      <c r="J1440">
        <v>3</v>
      </c>
      <c r="K1440">
        <v>4109</v>
      </c>
      <c r="L1440">
        <v>5</v>
      </c>
      <c r="M1440">
        <v>12327</v>
      </c>
      <c r="N1440">
        <v>616.35</v>
      </c>
      <c r="O1440">
        <v>11710.65</v>
      </c>
    </row>
    <row r="1441" spans="1:15" x14ac:dyDescent="0.3">
      <c r="A1441" t="s">
        <v>1453</v>
      </c>
      <c r="B1441" s="1">
        <v>44947</v>
      </c>
      <c r="C1441" t="s">
        <v>3447</v>
      </c>
      <c r="D1441" t="s">
        <v>4000</v>
      </c>
      <c r="E1441">
        <v>56</v>
      </c>
      <c r="F1441" t="str">
        <f t="shared" si="22"/>
        <v>46+</v>
      </c>
      <c r="G1441" t="s">
        <v>4001</v>
      </c>
      <c r="H1441" t="s">
        <v>4007</v>
      </c>
      <c r="I1441" t="s">
        <v>4015</v>
      </c>
      <c r="J1441">
        <v>2</v>
      </c>
      <c r="K1441">
        <v>7529</v>
      </c>
      <c r="L1441">
        <v>10</v>
      </c>
      <c r="M1441">
        <v>15058</v>
      </c>
      <c r="N1441">
        <v>1505.8</v>
      </c>
      <c r="O1441">
        <v>13552.2</v>
      </c>
    </row>
    <row r="1442" spans="1:15" x14ac:dyDescent="0.3">
      <c r="A1442" t="s">
        <v>1454</v>
      </c>
      <c r="B1442" s="1">
        <v>45288</v>
      </c>
      <c r="C1442" t="s">
        <v>3448</v>
      </c>
      <c r="D1442" t="s">
        <v>4000</v>
      </c>
      <c r="E1442">
        <v>31</v>
      </c>
      <c r="F1442" t="str">
        <f t="shared" si="22"/>
        <v>26-35</v>
      </c>
      <c r="G1442" t="s">
        <v>4001</v>
      </c>
      <c r="H1442" t="s">
        <v>4010</v>
      </c>
      <c r="I1442" t="s">
        <v>4016</v>
      </c>
      <c r="J1442">
        <v>1</v>
      </c>
      <c r="K1442">
        <v>3313</v>
      </c>
      <c r="L1442">
        <v>0</v>
      </c>
      <c r="M1442">
        <v>3313</v>
      </c>
      <c r="N1442">
        <v>0</v>
      </c>
      <c r="O1442">
        <v>3313</v>
      </c>
    </row>
    <row r="1443" spans="1:15" x14ac:dyDescent="0.3">
      <c r="A1443" t="s">
        <v>1455</v>
      </c>
      <c r="B1443" s="1">
        <v>45203</v>
      </c>
      <c r="C1443" t="s">
        <v>3449</v>
      </c>
      <c r="D1443" t="s">
        <v>4000</v>
      </c>
      <c r="E1443">
        <v>49</v>
      </c>
      <c r="F1443" t="str">
        <f t="shared" si="22"/>
        <v>46+</v>
      </c>
      <c r="G1443" t="s">
        <v>4005</v>
      </c>
      <c r="H1443" t="s">
        <v>4007</v>
      </c>
      <c r="I1443" t="s">
        <v>4013</v>
      </c>
      <c r="J1443">
        <v>5</v>
      </c>
      <c r="K1443">
        <v>2394</v>
      </c>
      <c r="L1443">
        <v>0</v>
      </c>
      <c r="M1443">
        <v>11970</v>
      </c>
      <c r="N1443">
        <v>0</v>
      </c>
      <c r="O1443">
        <v>11970</v>
      </c>
    </row>
    <row r="1444" spans="1:15" x14ac:dyDescent="0.3">
      <c r="A1444" t="s">
        <v>1456</v>
      </c>
      <c r="B1444" s="1">
        <v>44775</v>
      </c>
      <c r="C1444" t="s">
        <v>3450</v>
      </c>
      <c r="D1444" t="s">
        <v>4000</v>
      </c>
      <c r="E1444">
        <v>44</v>
      </c>
      <c r="F1444" t="str">
        <f t="shared" si="22"/>
        <v>36-45</v>
      </c>
      <c r="G1444" t="s">
        <v>4005</v>
      </c>
      <c r="H1444" t="s">
        <v>4009</v>
      </c>
      <c r="I1444" t="s">
        <v>4017</v>
      </c>
      <c r="J1444">
        <v>4</v>
      </c>
      <c r="K1444">
        <v>4286</v>
      </c>
      <c r="L1444">
        <v>20</v>
      </c>
      <c r="M1444">
        <v>17144</v>
      </c>
      <c r="N1444">
        <v>3428.8</v>
      </c>
      <c r="O1444">
        <v>13715.2</v>
      </c>
    </row>
    <row r="1445" spans="1:15" x14ac:dyDescent="0.3">
      <c r="A1445" t="s">
        <v>1457</v>
      </c>
      <c r="B1445" s="1">
        <v>45051</v>
      </c>
      <c r="C1445" t="s">
        <v>3451</v>
      </c>
      <c r="D1445" t="s">
        <v>4000</v>
      </c>
      <c r="E1445">
        <v>26</v>
      </c>
      <c r="F1445" t="str">
        <f t="shared" si="22"/>
        <v>26-35</v>
      </c>
      <c r="G1445" t="s">
        <v>4006</v>
      </c>
      <c r="H1445" t="s">
        <v>4008</v>
      </c>
      <c r="I1445" t="s">
        <v>4013</v>
      </c>
      <c r="J1445">
        <v>5</v>
      </c>
      <c r="K1445">
        <v>921</v>
      </c>
      <c r="L1445">
        <v>10</v>
      </c>
      <c r="M1445">
        <v>4605</v>
      </c>
      <c r="N1445">
        <v>460.5</v>
      </c>
      <c r="O1445">
        <v>4144.5</v>
      </c>
    </row>
    <row r="1446" spans="1:15" x14ac:dyDescent="0.3">
      <c r="A1446" t="s">
        <v>1458</v>
      </c>
      <c r="B1446" s="1">
        <v>44790</v>
      </c>
      <c r="C1446" t="s">
        <v>3452</v>
      </c>
      <c r="D1446" t="s">
        <v>4000</v>
      </c>
      <c r="E1446">
        <v>25</v>
      </c>
      <c r="F1446" t="str">
        <f t="shared" si="22"/>
        <v>18-25</v>
      </c>
      <c r="G1446" t="s">
        <v>4005</v>
      </c>
      <c r="H1446" t="s">
        <v>4007</v>
      </c>
      <c r="I1446" t="s">
        <v>4014</v>
      </c>
      <c r="J1446">
        <v>7</v>
      </c>
      <c r="K1446">
        <v>3846</v>
      </c>
      <c r="L1446">
        <v>10</v>
      </c>
      <c r="M1446">
        <v>26922</v>
      </c>
      <c r="N1446">
        <v>2692.2</v>
      </c>
      <c r="O1446">
        <v>24229.8</v>
      </c>
    </row>
    <row r="1447" spans="1:15" x14ac:dyDescent="0.3">
      <c r="A1447" t="s">
        <v>1459</v>
      </c>
      <c r="B1447" s="1">
        <v>45216</v>
      </c>
      <c r="C1447" t="s">
        <v>3453</v>
      </c>
      <c r="D1447" t="s">
        <v>4000</v>
      </c>
      <c r="E1447">
        <v>36</v>
      </c>
      <c r="F1447" t="str">
        <f t="shared" si="22"/>
        <v>36-45</v>
      </c>
      <c r="G1447" t="s">
        <v>4006</v>
      </c>
      <c r="H1447" t="s">
        <v>4008</v>
      </c>
      <c r="I1447" t="s">
        <v>4016</v>
      </c>
      <c r="J1447">
        <v>6</v>
      </c>
      <c r="K1447">
        <v>2861</v>
      </c>
      <c r="L1447">
        <v>0</v>
      </c>
      <c r="M1447">
        <v>17166</v>
      </c>
      <c r="N1447">
        <v>0</v>
      </c>
      <c r="O1447">
        <v>17166</v>
      </c>
    </row>
    <row r="1448" spans="1:15" x14ac:dyDescent="0.3">
      <c r="A1448" t="s">
        <v>1460</v>
      </c>
      <c r="B1448" s="1">
        <v>44570</v>
      </c>
      <c r="C1448" t="s">
        <v>3454</v>
      </c>
      <c r="D1448" t="s">
        <v>3999</v>
      </c>
      <c r="E1448">
        <v>32</v>
      </c>
      <c r="F1448" t="str">
        <f t="shared" si="22"/>
        <v>26-35</v>
      </c>
      <c r="G1448" t="s">
        <v>4003</v>
      </c>
      <c r="H1448" t="s">
        <v>4008</v>
      </c>
      <c r="I1448" t="s">
        <v>4016</v>
      </c>
      <c r="J1448">
        <v>2</v>
      </c>
      <c r="K1448">
        <v>1996</v>
      </c>
      <c r="L1448">
        <v>0</v>
      </c>
      <c r="M1448">
        <v>3992</v>
      </c>
      <c r="N1448">
        <v>0</v>
      </c>
      <c r="O1448">
        <v>3992</v>
      </c>
    </row>
    <row r="1449" spans="1:15" x14ac:dyDescent="0.3">
      <c r="A1449" t="s">
        <v>1461</v>
      </c>
      <c r="B1449" s="1">
        <v>44654</v>
      </c>
      <c r="C1449" t="s">
        <v>3455</v>
      </c>
      <c r="D1449" t="s">
        <v>3999</v>
      </c>
      <c r="E1449">
        <v>29</v>
      </c>
      <c r="F1449" t="str">
        <f t="shared" si="22"/>
        <v>26-35</v>
      </c>
      <c r="G1449" t="s">
        <v>4004</v>
      </c>
      <c r="H1449" t="s">
        <v>4012</v>
      </c>
      <c r="I1449" t="s">
        <v>4016</v>
      </c>
      <c r="J1449">
        <v>2</v>
      </c>
      <c r="K1449">
        <v>2224</v>
      </c>
      <c r="L1449">
        <v>5</v>
      </c>
      <c r="M1449">
        <v>4448</v>
      </c>
      <c r="N1449">
        <v>222.4</v>
      </c>
      <c r="O1449">
        <v>4225.6000000000004</v>
      </c>
    </row>
    <row r="1450" spans="1:15" x14ac:dyDescent="0.3">
      <c r="A1450" t="s">
        <v>1462</v>
      </c>
      <c r="B1450" s="1">
        <v>45093</v>
      </c>
      <c r="C1450" t="s">
        <v>3456</v>
      </c>
      <c r="D1450" t="s">
        <v>3999</v>
      </c>
      <c r="E1450">
        <v>40</v>
      </c>
      <c r="F1450" t="str">
        <f t="shared" si="22"/>
        <v>36-45</v>
      </c>
      <c r="G1450" t="s">
        <v>4003</v>
      </c>
      <c r="H1450" t="s">
        <v>4008</v>
      </c>
      <c r="I1450" t="s">
        <v>4015</v>
      </c>
      <c r="J1450">
        <v>4</v>
      </c>
      <c r="K1450">
        <v>2323</v>
      </c>
      <c r="L1450">
        <v>0</v>
      </c>
      <c r="M1450">
        <v>9292</v>
      </c>
      <c r="N1450">
        <v>0</v>
      </c>
      <c r="O1450">
        <v>9292</v>
      </c>
    </row>
    <row r="1451" spans="1:15" x14ac:dyDescent="0.3">
      <c r="A1451" t="s">
        <v>1463</v>
      </c>
      <c r="B1451" s="1">
        <v>45205</v>
      </c>
      <c r="C1451" t="s">
        <v>3457</v>
      </c>
      <c r="D1451" t="s">
        <v>4000</v>
      </c>
      <c r="E1451">
        <v>37</v>
      </c>
      <c r="F1451" t="str">
        <f t="shared" si="22"/>
        <v>36-45</v>
      </c>
      <c r="G1451" t="s">
        <v>4006</v>
      </c>
      <c r="H1451" t="s">
        <v>4012</v>
      </c>
      <c r="I1451" t="s">
        <v>4016</v>
      </c>
      <c r="J1451">
        <v>7</v>
      </c>
      <c r="K1451">
        <v>663</v>
      </c>
      <c r="L1451">
        <v>5</v>
      </c>
      <c r="M1451">
        <v>4641</v>
      </c>
      <c r="N1451">
        <v>232.05</v>
      </c>
      <c r="O1451">
        <v>4408.95</v>
      </c>
    </row>
    <row r="1452" spans="1:15" x14ac:dyDescent="0.3">
      <c r="A1452" t="s">
        <v>1464</v>
      </c>
      <c r="B1452" s="1">
        <v>44635</v>
      </c>
      <c r="C1452" t="s">
        <v>3458</v>
      </c>
      <c r="D1452" t="s">
        <v>3999</v>
      </c>
      <c r="E1452">
        <v>61</v>
      </c>
      <c r="F1452" t="str">
        <f t="shared" si="22"/>
        <v>46+</v>
      </c>
      <c r="G1452" t="s">
        <v>4005</v>
      </c>
      <c r="H1452" t="s">
        <v>4009</v>
      </c>
      <c r="I1452" t="s">
        <v>4017</v>
      </c>
      <c r="J1452">
        <v>2</v>
      </c>
      <c r="K1452">
        <v>1370</v>
      </c>
      <c r="L1452">
        <v>10</v>
      </c>
      <c r="M1452">
        <v>2740</v>
      </c>
      <c r="N1452">
        <v>274</v>
      </c>
      <c r="O1452">
        <v>2466</v>
      </c>
    </row>
    <row r="1453" spans="1:15" x14ac:dyDescent="0.3">
      <c r="A1453" t="s">
        <v>1465</v>
      </c>
      <c r="B1453" s="1">
        <v>44908</v>
      </c>
      <c r="C1453" t="s">
        <v>3459</v>
      </c>
      <c r="D1453" t="s">
        <v>4000</v>
      </c>
      <c r="E1453">
        <v>29</v>
      </c>
      <c r="F1453" t="str">
        <f t="shared" si="22"/>
        <v>26-35</v>
      </c>
      <c r="G1453" t="s">
        <v>4001</v>
      </c>
      <c r="H1453" t="s">
        <v>4012</v>
      </c>
      <c r="I1453" t="s">
        <v>4015</v>
      </c>
      <c r="J1453">
        <v>3</v>
      </c>
      <c r="K1453">
        <v>7101</v>
      </c>
      <c r="L1453">
        <v>0</v>
      </c>
      <c r="M1453">
        <v>21303</v>
      </c>
      <c r="N1453">
        <v>0</v>
      </c>
      <c r="O1453">
        <v>21303</v>
      </c>
    </row>
    <row r="1454" spans="1:15" x14ac:dyDescent="0.3">
      <c r="A1454" t="s">
        <v>1466</v>
      </c>
      <c r="B1454" s="1">
        <v>45225</v>
      </c>
      <c r="C1454" t="s">
        <v>3460</v>
      </c>
      <c r="D1454" t="s">
        <v>4000</v>
      </c>
      <c r="E1454">
        <v>25</v>
      </c>
      <c r="F1454" t="str">
        <f t="shared" si="22"/>
        <v>18-25</v>
      </c>
      <c r="G1454" t="s">
        <v>4001</v>
      </c>
      <c r="H1454" t="s">
        <v>4012</v>
      </c>
      <c r="I1454" t="s">
        <v>4015</v>
      </c>
      <c r="J1454">
        <v>4</v>
      </c>
      <c r="K1454">
        <v>4121</v>
      </c>
      <c r="L1454">
        <v>10</v>
      </c>
      <c r="M1454">
        <v>16484</v>
      </c>
      <c r="N1454">
        <v>1648.4</v>
      </c>
      <c r="O1454">
        <v>14835.6</v>
      </c>
    </row>
    <row r="1455" spans="1:15" x14ac:dyDescent="0.3">
      <c r="A1455" t="s">
        <v>1467</v>
      </c>
      <c r="B1455" s="1">
        <v>45245</v>
      </c>
      <c r="C1455" t="s">
        <v>3461</v>
      </c>
      <c r="D1455" t="s">
        <v>3999</v>
      </c>
      <c r="E1455">
        <v>26</v>
      </c>
      <c r="F1455" t="str">
        <f t="shared" si="22"/>
        <v>26-35</v>
      </c>
      <c r="G1455" t="s">
        <v>4001</v>
      </c>
      <c r="H1455" t="s">
        <v>4009</v>
      </c>
      <c r="I1455" t="s">
        <v>4017</v>
      </c>
      <c r="J1455">
        <v>5</v>
      </c>
      <c r="K1455">
        <v>2315</v>
      </c>
      <c r="L1455">
        <v>0</v>
      </c>
      <c r="M1455">
        <v>11575</v>
      </c>
      <c r="N1455">
        <v>0</v>
      </c>
      <c r="O1455">
        <v>11575</v>
      </c>
    </row>
    <row r="1456" spans="1:15" x14ac:dyDescent="0.3">
      <c r="A1456" t="s">
        <v>1468</v>
      </c>
      <c r="B1456" s="1">
        <v>45139</v>
      </c>
      <c r="C1456" t="s">
        <v>3462</v>
      </c>
      <c r="D1456" t="s">
        <v>3999</v>
      </c>
      <c r="E1456">
        <v>23</v>
      </c>
      <c r="F1456" t="str">
        <f t="shared" si="22"/>
        <v>18-25</v>
      </c>
      <c r="G1456" t="s">
        <v>4003</v>
      </c>
      <c r="H1456" t="s">
        <v>4012</v>
      </c>
      <c r="I1456" t="s">
        <v>4013</v>
      </c>
      <c r="J1456">
        <v>4</v>
      </c>
      <c r="K1456">
        <v>2331</v>
      </c>
      <c r="L1456">
        <v>0</v>
      </c>
      <c r="M1456">
        <v>9324</v>
      </c>
      <c r="N1456">
        <v>0</v>
      </c>
      <c r="O1456">
        <v>9324</v>
      </c>
    </row>
    <row r="1457" spans="1:15" x14ac:dyDescent="0.3">
      <c r="A1457" t="s">
        <v>1469</v>
      </c>
      <c r="B1457" s="1">
        <v>44585</v>
      </c>
      <c r="C1457" t="s">
        <v>3463</v>
      </c>
      <c r="D1457" t="s">
        <v>3999</v>
      </c>
      <c r="E1457">
        <v>47</v>
      </c>
      <c r="F1457" t="str">
        <f t="shared" si="22"/>
        <v>46+</v>
      </c>
      <c r="G1457" t="s">
        <v>4004</v>
      </c>
      <c r="H1457" t="s">
        <v>4007</v>
      </c>
      <c r="I1457" t="s">
        <v>4015</v>
      </c>
      <c r="J1457">
        <v>7</v>
      </c>
      <c r="K1457">
        <v>6222</v>
      </c>
      <c r="L1457">
        <v>0</v>
      </c>
      <c r="M1457">
        <v>43554</v>
      </c>
      <c r="N1457">
        <v>0</v>
      </c>
      <c r="O1457">
        <v>43554</v>
      </c>
    </row>
    <row r="1458" spans="1:15" x14ac:dyDescent="0.3">
      <c r="A1458" t="s">
        <v>1470</v>
      </c>
      <c r="B1458" s="1">
        <v>44800</v>
      </c>
      <c r="C1458" t="s">
        <v>3464</v>
      </c>
      <c r="D1458" t="s">
        <v>4000</v>
      </c>
      <c r="E1458">
        <v>40</v>
      </c>
      <c r="F1458" t="str">
        <f t="shared" si="22"/>
        <v>36-45</v>
      </c>
      <c r="G1458" t="s">
        <v>4006</v>
      </c>
      <c r="H1458" t="s">
        <v>4007</v>
      </c>
      <c r="I1458" t="s">
        <v>4013</v>
      </c>
      <c r="J1458">
        <v>7</v>
      </c>
      <c r="K1458">
        <v>7071</v>
      </c>
      <c r="L1458">
        <v>5</v>
      </c>
      <c r="M1458">
        <v>49497</v>
      </c>
      <c r="N1458">
        <v>2474.85</v>
      </c>
      <c r="O1458">
        <v>47022.15</v>
      </c>
    </row>
    <row r="1459" spans="1:15" x14ac:dyDescent="0.3">
      <c r="A1459" t="s">
        <v>1471</v>
      </c>
      <c r="B1459" s="1">
        <v>44938</v>
      </c>
      <c r="C1459" t="s">
        <v>3465</v>
      </c>
      <c r="D1459" t="s">
        <v>4000</v>
      </c>
      <c r="E1459">
        <v>57</v>
      </c>
      <c r="F1459" t="str">
        <f t="shared" si="22"/>
        <v>46+</v>
      </c>
      <c r="G1459" t="s">
        <v>4003</v>
      </c>
      <c r="H1459" t="s">
        <v>4010</v>
      </c>
      <c r="I1459" t="s">
        <v>4014</v>
      </c>
      <c r="J1459">
        <v>1</v>
      </c>
      <c r="K1459">
        <v>288</v>
      </c>
      <c r="L1459">
        <v>0</v>
      </c>
      <c r="M1459">
        <v>288</v>
      </c>
      <c r="N1459">
        <v>0</v>
      </c>
      <c r="O1459">
        <v>288</v>
      </c>
    </row>
    <row r="1460" spans="1:15" x14ac:dyDescent="0.3">
      <c r="A1460" t="s">
        <v>1472</v>
      </c>
      <c r="B1460" s="1">
        <v>44621</v>
      </c>
      <c r="C1460" t="s">
        <v>3466</v>
      </c>
      <c r="D1460" t="s">
        <v>4000</v>
      </c>
      <c r="E1460">
        <v>18</v>
      </c>
      <c r="F1460" t="str">
        <f t="shared" si="22"/>
        <v>18-25</v>
      </c>
      <c r="G1460" t="s">
        <v>4002</v>
      </c>
      <c r="H1460" t="s">
        <v>4010</v>
      </c>
      <c r="I1460" t="s">
        <v>4014</v>
      </c>
      <c r="J1460">
        <v>1</v>
      </c>
      <c r="K1460">
        <v>4938</v>
      </c>
      <c r="L1460">
        <v>15</v>
      </c>
      <c r="M1460">
        <v>4938</v>
      </c>
      <c r="N1460">
        <v>740.7</v>
      </c>
      <c r="O1460">
        <v>4197.3</v>
      </c>
    </row>
    <row r="1461" spans="1:15" x14ac:dyDescent="0.3">
      <c r="A1461" t="s">
        <v>1473</v>
      </c>
      <c r="B1461" s="1">
        <v>45284</v>
      </c>
      <c r="C1461" t="s">
        <v>3467</v>
      </c>
      <c r="D1461" t="s">
        <v>3999</v>
      </c>
      <c r="E1461">
        <v>41</v>
      </c>
      <c r="F1461" t="str">
        <f t="shared" si="22"/>
        <v>36-45</v>
      </c>
      <c r="G1461" t="s">
        <v>4005</v>
      </c>
      <c r="H1461" t="s">
        <v>4007</v>
      </c>
      <c r="I1461" t="s">
        <v>4013</v>
      </c>
      <c r="J1461">
        <v>4</v>
      </c>
      <c r="K1461">
        <v>5235</v>
      </c>
      <c r="L1461">
        <v>0</v>
      </c>
      <c r="M1461">
        <v>20940</v>
      </c>
      <c r="N1461">
        <v>0</v>
      </c>
      <c r="O1461">
        <v>20940</v>
      </c>
    </row>
    <row r="1462" spans="1:15" x14ac:dyDescent="0.3">
      <c r="A1462" t="s">
        <v>1474</v>
      </c>
      <c r="B1462" s="1">
        <v>44721</v>
      </c>
      <c r="C1462" t="s">
        <v>3468</v>
      </c>
      <c r="D1462" t="s">
        <v>3999</v>
      </c>
      <c r="E1462">
        <v>52</v>
      </c>
      <c r="F1462" t="str">
        <f t="shared" si="22"/>
        <v>46+</v>
      </c>
      <c r="G1462" t="s">
        <v>4005</v>
      </c>
      <c r="H1462" t="s">
        <v>4008</v>
      </c>
      <c r="I1462" t="s">
        <v>4016</v>
      </c>
      <c r="J1462">
        <v>4</v>
      </c>
      <c r="K1462">
        <v>384</v>
      </c>
      <c r="L1462">
        <v>0</v>
      </c>
      <c r="M1462">
        <v>1536</v>
      </c>
      <c r="N1462">
        <v>0</v>
      </c>
      <c r="O1462">
        <v>1536</v>
      </c>
    </row>
    <row r="1463" spans="1:15" x14ac:dyDescent="0.3">
      <c r="A1463" t="s">
        <v>1475</v>
      </c>
      <c r="B1463" s="1">
        <v>44646</v>
      </c>
      <c r="C1463" t="s">
        <v>3469</v>
      </c>
      <c r="D1463" t="s">
        <v>3999</v>
      </c>
      <c r="E1463">
        <v>55</v>
      </c>
      <c r="F1463" t="str">
        <f t="shared" si="22"/>
        <v>46+</v>
      </c>
      <c r="G1463" t="s">
        <v>4006</v>
      </c>
      <c r="H1463" t="s">
        <v>4007</v>
      </c>
      <c r="I1463" t="s">
        <v>4016</v>
      </c>
      <c r="J1463">
        <v>2</v>
      </c>
      <c r="K1463">
        <v>2342</v>
      </c>
      <c r="L1463">
        <v>10</v>
      </c>
      <c r="M1463">
        <v>4684</v>
      </c>
      <c r="N1463">
        <v>468.4</v>
      </c>
      <c r="O1463">
        <v>4215.6000000000004</v>
      </c>
    </row>
    <row r="1464" spans="1:15" x14ac:dyDescent="0.3">
      <c r="A1464" t="s">
        <v>1476</v>
      </c>
      <c r="B1464" s="1">
        <v>44742</v>
      </c>
      <c r="C1464" t="s">
        <v>3470</v>
      </c>
      <c r="D1464" t="s">
        <v>3999</v>
      </c>
      <c r="E1464">
        <v>23</v>
      </c>
      <c r="F1464" t="str">
        <f t="shared" si="22"/>
        <v>18-25</v>
      </c>
      <c r="G1464" t="s">
        <v>4006</v>
      </c>
      <c r="H1464" t="s">
        <v>4009</v>
      </c>
      <c r="I1464" t="s">
        <v>4013</v>
      </c>
      <c r="J1464">
        <v>5</v>
      </c>
      <c r="K1464">
        <v>2537</v>
      </c>
      <c r="L1464">
        <v>0</v>
      </c>
      <c r="M1464">
        <v>12685</v>
      </c>
      <c r="N1464">
        <v>0</v>
      </c>
      <c r="O1464">
        <v>12685</v>
      </c>
    </row>
    <row r="1465" spans="1:15" x14ac:dyDescent="0.3">
      <c r="A1465" t="s">
        <v>1477</v>
      </c>
      <c r="B1465" s="1">
        <v>44601</v>
      </c>
      <c r="C1465" t="s">
        <v>3471</v>
      </c>
      <c r="D1465" t="s">
        <v>4000</v>
      </c>
      <c r="E1465">
        <v>51</v>
      </c>
      <c r="F1465" t="str">
        <f t="shared" si="22"/>
        <v>46+</v>
      </c>
      <c r="G1465" t="s">
        <v>4003</v>
      </c>
      <c r="H1465" t="s">
        <v>4009</v>
      </c>
      <c r="I1465" t="s">
        <v>4015</v>
      </c>
      <c r="J1465">
        <v>7</v>
      </c>
      <c r="K1465">
        <v>3272</v>
      </c>
      <c r="L1465">
        <v>5</v>
      </c>
      <c r="M1465">
        <v>22904</v>
      </c>
      <c r="N1465">
        <v>1145.2</v>
      </c>
      <c r="O1465">
        <v>21758.799999999999</v>
      </c>
    </row>
    <row r="1466" spans="1:15" x14ac:dyDescent="0.3">
      <c r="A1466" t="s">
        <v>1478</v>
      </c>
      <c r="B1466" s="1">
        <v>44652</v>
      </c>
      <c r="C1466" t="s">
        <v>3472</v>
      </c>
      <c r="D1466" t="s">
        <v>3999</v>
      </c>
      <c r="E1466">
        <v>28</v>
      </c>
      <c r="F1466" t="str">
        <f t="shared" si="22"/>
        <v>26-35</v>
      </c>
      <c r="G1466" t="s">
        <v>4005</v>
      </c>
      <c r="H1466" t="s">
        <v>4012</v>
      </c>
      <c r="I1466" t="s">
        <v>4013</v>
      </c>
      <c r="J1466">
        <v>5</v>
      </c>
      <c r="K1466">
        <v>6732</v>
      </c>
      <c r="L1466">
        <v>0</v>
      </c>
      <c r="M1466">
        <v>33660</v>
      </c>
      <c r="N1466">
        <v>0</v>
      </c>
      <c r="O1466">
        <v>33660</v>
      </c>
    </row>
    <row r="1467" spans="1:15" x14ac:dyDescent="0.3">
      <c r="A1467" t="s">
        <v>1479</v>
      </c>
      <c r="B1467" s="1">
        <v>45128</v>
      </c>
      <c r="C1467" t="s">
        <v>3473</v>
      </c>
      <c r="D1467" t="s">
        <v>3999</v>
      </c>
      <c r="E1467">
        <v>49</v>
      </c>
      <c r="F1467" t="str">
        <f t="shared" si="22"/>
        <v>46+</v>
      </c>
      <c r="G1467" t="s">
        <v>4002</v>
      </c>
      <c r="H1467" t="s">
        <v>4009</v>
      </c>
      <c r="I1467" t="s">
        <v>4016</v>
      </c>
      <c r="J1467">
        <v>5</v>
      </c>
      <c r="K1467">
        <v>5934</v>
      </c>
      <c r="L1467">
        <v>15</v>
      </c>
      <c r="M1467">
        <v>29670</v>
      </c>
      <c r="N1467">
        <v>4450.5</v>
      </c>
      <c r="O1467">
        <v>25219.5</v>
      </c>
    </row>
    <row r="1468" spans="1:15" x14ac:dyDescent="0.3">
      <c r="A1468" t="s">
        <v>1480</v>
      </c>
      <c r="B1468" s="1">
        <v>44999</v>
      </c>
      <c r="C1468" t="s">
        <v>3474</v>
      </c>
      <c r="D1468" t="s">
        <v>3999</v>
      </c>
      <c r="E1468">
        <v>48</v>
      </c>
      <c r="F1468" t="str">
        <f t="shared" si="22"/>
        <v>46+</v>
      </c>
      <c r="G1468" t="s">
        <v>4002</v>
      </c>
      <c r="H1468" t="s">
        <v>4008</v>
      </c>
      <c r="I1468" t="s">
        <v>4016</v>
      </c>
      <c r="J1468">
        <v>5</v>
      </c>
      <c r="K1468">
        <v>4203</v>
      </c>
      <c r="L1468">
        <v>0</v>
      </c>
      <c r="M1468">
        <v>21015</v>
      </c>
      <c r="N1468">
        <v>0</v>
      </c>
      <c r="O1468">
        <v>21015</v>
      </c>
    </row>
    <row r="1469" spans="1:15" x14ac:dyDescent="0.3">
      <c r="A1469" t="s">
        <v>1481</v>
      </c>
      <c r="B1469" s="1">
        <v>45049</v>
      </c>
      <c r="C1469" t="s">
        <v>3475</v>
      </c>
      <c r="D1469" t="s">
        <v>4000</v>
      </c>
      <c r="E1469">
        <v>64</v>
      </c>
      <c r="F1469" t="str">
        <f t="shared" si="22"/>
        <v>46+</v>
      </c>
      <c r="G1469" t="s">
        <v>4002</v>
      </c>
      <c r="H1469" t="s">
        <v>4008</v>
      </c>
      <c r="I1469" t="s">
        <v>4015</v>
      </c>
      <c r="J1469">
        <v>2</v>
      </c>
      <c r="K1469">
        <v>4220</v>
      </c>
      <c r="L1469">
        <v>0</v>
      </c>
      <c r="M1469">
        <v>8440</v>
      </c>
      <c r="N1469">
        <v>0</v>
      </c>
      <c r="O1469">
        <v>8440</v>
      </c>
    </row>
    <row r="1470" spans="1:15" x14ac:dyDescent="0.3">
      <c r="A1470" t="s">
        <v>1482</v>
      </c>
      <c r="B1470" s="1">
        <v>45192</v>
      </c>
      <c r="C1470" t="s">
        <v>3476</v>
      </c>
      <c r="D1470" t="s">
        <v>4000</v>
      </c>
      <c r="E1470">
        <v>48</v>
      </c>
      <c r="F1470" t="str">
        <f t="shared" si="22"/>
        <v>46+</v>
      </c>
      <c r="G1470" t="s">
        <v>4004</v>
      </c>
      <c r="H1470" t="s">
        <v>4007</v>
      </c>
      <c r="I1470" t="s">
        <v>4015</v>
      </c>
      <c r="J1470">
        <v>1</v>
      </c>
      <c r="K1470">
        <v>3889</v>
      </c>
      <c r="L1470">
        <v>15</v>
      </c>
      <c r="M1470">
        <v>3889</v>
      </c>
      <c r="N1470">
        <v>583.35</v>
      </c>
      <c r="O1470">
        <v>3305.65</v>
      </c>
    </row>
    <row r="1471" spans="1:15" x14ac:dyDescent="0.3">
      <c r="A1471" t="s">
        <v>1483</v>
      </c>
      <c r="B1471" s="1">
        <v>44953</v>
      </c>
      <c r="C1471" t="s">
        <v>3477</v>
      </c>
      <c r="D1471" t="s">
        <v>3999</v>
      </c>
      <c r="E1471">
        <v>47</v>
      </c>
      <c r="F1471" t="str">
        <f t="shared" si="22"/>
        <v>46+</v>
      </c>
      <c r="G1471" t="s">
        <v>4003</v>
      </c>
      <c r="H1471" t="s">
        <v>4007</v>
      </c>
      <c r="I1471" t="s">
        <v>4016</v>
      </c>
      <c r="J1471">
        <v>2</v>
      </c>
      <c r="K1471">
        <v>5318</v>
      </c>
      <c r="L1471">
        <v>15</v>
      </c>
      <c r="M1471">
        <v>10636</v>
      </c>
      <c r="N1471">
        <v>1595.4</v>
      </c>
      <c r="O1471">
        <v>9040.6</v>
      </c>
    </row>
    <row r="1472" spans="1:15" x14ac:dyDescent="0.3">
      <c r="A1472" t="s">
        <v>1484</v>
      </c>
      <c r="B1472" s="1">
        <v>45100</v>
      </c>
      <c r="C1472" t="s">
        <v>3478</v>
      </c>
      <c r="D1472" t="s">
        <v>4000</v>
      </c>
      <c r="E1472">
        <v>44</v>
      </c>
      <c r="F1472" t="str">
        <f t="shared" si="22"/>
        <v>36-45</v>
      </c>
      <c r="G1472" t="s">
        <v>4003</v>
      </c>
      <c r="H1472" t="s">
        <v>4010</v>
      </c>
      <c r="I1472" t="s">
        <v>4013</v>
      </c>
      <c r="J1472">
        <v>4</v>
      </c>
      <c r="K1472">
        <v>6239</v>
      </c>
      <c r="L1472">
        <v>0</v>
      </c>
      <c r="M1472">
        <v>24956</v>
      </c>
      <c r="N1472">
        <v>0</v>
      </c>
      <c r="O1472">
        <v>24956</v>
      </c>
    </row>
    <row r="1473" spans="1:15" x14ac:dyDescent="0.3">
      <c r="A1473" t="s">
        <v>1485</v>
      </c>
      <c r="B1473" s="1">
        <v>45133</v>
      </c>
      <c r="C1473" t="s">
        <v>3479</v>
      </c>
      <c r="D1473" t="s">
        <v>4000</v>
      </c>
      <c r="E1473">
        <v>46</v>
      </c>
      <c r="F1473" t="str">
        <f t="shared" si="22"/>
        <v>46+</v>
      </c>
      <c r="G1473" t="s">
        <v>4003</v>
      </c>
      <c r="H1473" t="s">
        <v>4007</v>
      </c>
      <c r="I1473" t="s">
        <v>4014</v>
      </c>
      <c r="J1473">
        <v>3</v>
      </c>
      <c r="K1473">
        <v>889</v>
      </c>
      <c r="L1473">
        <v>0</v>
      </c>
      <c r="M1473">
        <v>2667</v>
      </c>
      <c r="N1473">
        <v>0</v>
      </c>
      <c r="O1473">
        <v>2667</v>
      </c>
    </row>
    <row r="1474" spans="1:15" x14ac:dyDescent="0.3">
      <c r="A1474" t="s">
        <v>1486</v>
      </c>
      <c r="B1474" s="1">
        <v>44864</v>
      </c>
      <c r="C1474" t="s">
        <v>3480</v>
      </c>
      <c r="D1474" t="s">
        <v>3999</v>
      </c>
      <c r="E1474">
        <v>51</v>
      </c>
      <c r="F1474" t="str">
        <f t="shared" ref="F1474:F1537" si="23">IF(E1474&lt;=25,"18-25",IF(E1474&lt;=35,"26-35",IF(E1474&lt;=45,"36-45","46+")))</f>
        <v>46+</v>
      </c>
      <c r="G1474" t="s">
        <v>4005</v>
      </c>
      <c r="H1474" t="s">
        <v>4007</v>
      </c>
      <c r="I1474" t="s">
        <v>4015</v>
      </c>
      <c r="J1474">
        <v>4</v>
      </c>
      <c r="K1474">
        <v>1030</v>
      </c>
      <c r="L1474">
        <v>15</v>
      </c>
      <c r="M1474">
        <v>4120</v>
      </c>
      <c r="N1474">
        <v>618</v>
      </c>
      <c r="O1474">
        <v>3502</v>
      </c>
    </row>
    <row r="1475" spans="1:15" x14ac:dyDescent="0.3">
      <c r="A1475" t="s">
        <v>1487</v>
      </c>
      <c r="B1475" s="1">
        <v>44778</v>
      </c>
      <c r="C1475" t="s">
        <v>3481</v>
      </c>
      <c r="D1475" t="s">
        <v>3999</v>
      </c>
      <c r="E1475">
        <v>43</v>
      </c>
      <c r="F1475" t="str">
        <f t="shared" si="23"/>
        <v>36-45</v>
      </c>
      <c r="G1475" t="s">
        <v>4006</v>
      </c>
      <c r="H1475" t="s">
        <v>4011</v>
      </c>
      <c r="I1475" t="s">
        <v>4015</v>
      </c>
      <c r="J1475">
        <v>2</v>
      </c>
      <c r="K1475">
        <v>6139</v>
      </c>
      <c r="L1475">
        <v>0</v>
      </c>
      <c r="M1475">
        <v>12278</v>
      </c>
      <c r="N1475">
        <v>0</v>
      </c>
      <c r="O1475">
        <v>12278</v>
      </c>
    </row>
    <row r="1476" spans="1:15" x14ac:dyDescent="0.3">
      <c r="A1476" t="s">
        <v>1488</v>
      </c>
      <c r="B1476" s="1">
        <v>44781</v>
      </c>
      <c r="C1476" t="s">
        <v>3482</v>
      </c>
      <c r="D1476" t="s">
        <v>4000</v>
      </c>
      <c r="E1476">
        <v>54</v>
      </c>
      <c r="F1476" t="str">
        <f t="shared" si="23"/>
        <v>46+</v>
      </c>
      <c r="G1476" t="s">
        <v>4005</v>
      </c>
      <c r="H1476" t="s">
        <v>4009</v>
      </c>
      <c r="I1476" t="s">
        <v>4014</v>
      </c>
      <c r="J1476">
        <v>2</v>
      </c>
      <c r="K1476">
        <v>7136</v>
      </c>
      <c r="L1476">
        <v>10</v>
      </c>
      <c r="M1476">
        <v>14272</v>
      </c>
      <c r="N1476">
        <v>1427.2</v>
      </c>
      <c r="O1476">
        <v>12844.8</v>
      </c>
    </row>
    <row r="1477" spans="1:15" x14ac:dyDescent="0.3">
      <c r="A1477" t="s">
        <v>1489</v>
      </c>
      <c r="B1477" s="1">
        <v>45091</v>
      </c>
      <c r="C1477" t="s">
        <v>3483</v>
      </c>
      <c r="D1477" t="s">
        <v>4000</v>
      </c>
      <c r="E1477">
        <v>62</v>
      </c>
      <c r="F1477" t="str">
        <f t="shared" si="23"/>
        <v>46+</v>
      </c>
      <c r="G1477" t="s">
        <v>4005</v>
      </c>
      <c r="H1477" t="s">
        <v>4011</v>
      </c>
      <c r="I1477" t="s">
        <v>4014</v>
      </c>
      <c r="J1477">
        <v>4</v>
      </c>
      <c r="K1477">
        <v>3679</v>
      </c>
      <c r="L1477">
        <v>0</v>
      </c>
      <c r="M1477">
        <v>14716</v>
      </c>
      <c r="N1477">
        <v>0</v>
      </c>
      <c r="O1477">
        <v>14716</v>
      </c>
    </row>
    <row r="1478" spans="1:15" x14ac:dyDescent="0.3">
      <c r="A1478" t="s">
        <v>1490</v>
      </c>
      <c r="B1478" s="1">
        <v>44975</v>
      </c>
      <c r="C1478" t="s">
        <v>3484</v>
      </c>
      <c r="D1478" t="s">
        <v>3999</v>
      </c>
      <c r="E1478">
        <v>58</v>
      </c>
      <c r="F1478" t="str">
        <f t="shared" si="23"/>
        <v>46+</v>
      </c>
      <c r="G1478" t="s">
        <v>4006</v>
      </c>
      <c r="H1478" t="s">
        <v>4008</v>
      </c>
      <c r="I1478" t="s">
        <v>4016</v>
      </c>
      <c r="J1478">
        <v>5</v>
      </c>
      <c r="K1478">
        <v>7311</v>
      </c>
      <c r="L1478">
        <v>15</v>
      </c>
      <c r="M1478">
        <v>36555</v>
      </c>
      <c r="N1478">
        <v>5483.25</v>
      </c>
      <c r="O1478">
        <v>31071.75</v>
      </c>
    </row>
    <row r="1479" spans="1:15" x14ac:dyDescent="0.3">
      <c r="A1479" t="s">
        <v>1491</v>
      </c>
      <c r="B1479" s="1">
        <v>44637</v>
      </c>
      <c r="C1479" t="s">
        <v>3485</v>
      </c>
      <c r="D1479" t="s">
        <v>3999</v>
      </c>
      <c r="E1479">
        <v>59</v>
      </c>
      <c r="F1479" t="str">
        <f t="shared" si="23"/>
        <v>46+</v>
      </c>
      <c r="G1479" t="s">
        <v>4002</v>
      </c>
      <c r="H1479" t="s">
        <v>4012</v>
      </c>
      <c r="I1479" t="s">
        <v>4017</v>
      </c>
      <c r="J1479">
        <v>4</v>
      </c>
      <c r="K1479">
        <v>7615</v>
      </c>
      <c r="L1479">
        <v>5</v>
      </c>
      <c r="M1479">
        <v>30460</v>
      </c>
      <c r="N1479">
        <v>1523</v>
      </c>
      <c r="O1479">
        <v>28937</v>
      </c>
    </row>
    <row r="1480" spans="1:15" x14ac:dyDescent="0.3">
      <c r="A1480" t="s">
        <v>1492</v>
      </c>
      <c r="B1480" s="1">
        <v>44788</v>
      </c>
      <c r="C1480" t="s">
        <v>3486</v>
      </c>
      <c r="D1480" t="s">
        <v>3999</v>
      </c>
      <c r="E1480">
        <v>20</v>
      </c>
      <c r="F1480" t="str">
        <f t="shared" si="23"/>
        <v>18-25</v>
      </c>
      <c r="G1480" t="s">
        <v>4005</v>
      </c>
      <c r="H1480" t="s">
        <v>4009</v>
      </c>
      <c r="I1480" t="s">
        <v>4013</v>
      </c>
      <c r="J1480">
        <v>4</v>
      </c>
      <c r="K1480">
        <v>7395</v>
      </c>
      <c r="L1480">
        <v>5</v>
      </c>
      <c r="M1480">
        <v>29580</v>
      </c>
      <c r="N1480">
        <v>1479</v>
      </c>
      <c r="O1480">
        <v>28101</v>
      </c>
    </row>
    <row r="1481" spans="1:15" x14ac:dyDescent="0.3">
      <c r="A1481" t="s">
        <v>1493</v>
      </c>
      <c r="B1481" s="1">
        <v>45129</v>
      </c>
      <c r="C1481" t="s">
        <v>3487</v>
      </c>
      <c r="D1481" t="s">
        <v>4000</v>
      </c>
      <c r="E1481">
        <v>61</v>
      </c>
      <c r="F1481" t="str">
        <f t="shared" si="23"/>
        <v>46+</v>
      </c>
      <c r="G1481" t="s">
        <v>4003</v>
      </c>
      <c r="H1481" t="s">
        <v>4007</v>
      </c>
      <c r="I1481" t="s">
        <v>4015</v>
      </c>
      <c r="J1481">
        <v>6</v>
      </c>
      <c r="K1481">
        <v>5241</v>
      </c>
      <c r="L1481">
        <v>5</v>
      </c>
      <c r="M1481">
        <v>31446</v>
      </c>
      <c r="N1481">
        <v>1572.3</v>
      </c>
      <c r="O1481">
        <v>29873.7</v>
      </c>
    </row>
    <row r="1482" spans="1:15" x14ac:dyDescent="0.3">
      <c r="A1482" t="s">
        <v>1494</v>
      </c>
      <c r="B1482" s="1">
        <v>44865</v>
      </c>
      <c r="C1482" t="s">
        <v>3488</v>
      </c>
      <c r="D1482" t="s">
        <v>4000</v>
      </c>
      <c r="E1482">
        <v>44</v>
      </c>
      <c r="F1482" t="str">
        <f t="shared" si="23"/>
        <v>36-45</v>
      </c>
      <c r="G1482" t="s">
        <v>4002</v>
      </c>
      <c r="H1482" t="s">
        <v>4009</v>
      </c>
      <c r="I1482" t="s">
        <v>4014</v>
      </c>
      <c r="J1482">
        <v>2</v>
      </c>
      <c r="K1482">
        <v>6589</v>
      </c>
      <c r="L1482">
        <v>0</v>
      </c>
      <c r="M1482">
        <v>13178</v>
      </c>
      <c r="N1482">
        <v>0</v>
      </c>
      <c r="O1482">
        <v>13178</v>
      </c>
    </row>
    <row r="1483" spans="1:15" x14ac:dyDescent="0.3">
      <c r="A1483" t="s">
        <v>1495</v>
      </c>
      <c r="B1483" s="1">
        <v>45272</v>
      </c>
      <c r="C1483" t="s">
        <v>3489</v>
      </c>
      <c r="D1483" t="s">
        <v>3999</v>
      </c>
      <c r="E1483">
        <v>24</v>
      </c>
      <c r="F1483" t="str">
        <f t="shared" si="23"/>
        <v>18-25</v>
      </c>
      <c r="G1483" t="s">
        <v>4002</v>
      </c>
      <c r="H1483" t="s">
        <v>4009</v>
      </c>
      <c r="I1483" t="s">
        <v>4013</v>
      </c>
      <c r="J1483">
        <v>3</v>
      </c>
      <c r="K1483">
        <v>3881</v>
      </c>
      <c r="L1483">
        <v>5</v>
      </c>
      <c r="M1483">
        <v>11643</v>
      </c>
      <c r="N1483">
        <v>582.15</v>
      </c>
      <c r="O1483">
        <v>11060.85</v>
      </c>
    </row>
    <row r="1484" spans="1:15" x14ac:dyDescent="0.3">
      <c r="A1484" t="s">
        <v>1496</v>
      </c>
      <c r="B1484" s="1">
        <v>45147</v>
      </c>
      <c r="C1484" t="s">
        <v>3490</v>
      </c>
      <c r="D1484" t="s">
        <v>3999</v>
      </c>
      <c r="E1484">
        <v>47</v>
      </c>
      <c r="F1484" t="str">
        <f t="shared" si="23"/>
        <v>46+</v>
      </c>
      <c r="G1484" t="s">
        <v>4004</v>
      </c>
      <c r="H1484" t="s">
        <v>4007</v>
      </c>
      <c r="I1484" t="s">
        <v>4017</v>
      </c>
      <c r="J1484">
        <v>7</v>
      </c>
      <c r="K1484">
        <v>5803</v>
      </c>
      <c r="L1484">
        <v>15</v>
      </c>
      <c r="M1484">
        <v>40621</v>
      </c>
      <c r="N1484">
        <v>6093.15</v>
      </c>
      <c r="O1484">
        <v>34527.85</v>
      </c>
    </row>
    <row r="1485" spans="1:15" x14ac:dyDescent="0.3">
      <c r="A1485" t="s">
        <v>1497</v>
      </c>
      <c r="B1485" s="1">
        <v>45194</v>
      </c>
      <c r="C1485" t="s">
        <v>3491</v>
      </c>
      <c r="D1485" t="s">
        <v>4000</v>
      </c>
      <c r="E1485">
        <v>47</v>
      </c>
      <c r="F1485" t="str">
        <f t="shared" si="23"/>
        <v>46+</v>
      </c>
      <c r="G1485" t="s">
        <v>4004</v>
      </c>
      <c r="H1485" t="s">
        <v>4012</v>
      </c>
      <c r="I1485" t="s">
        <v>4016</v>
      </c>
      <c r="J1485">
        <v>1</v>
      </c>
      <c r="K1485">
        <v>1464</v>
      </c>
      <c r="L1485">
        <v>10</v>
      </c>
      <c r="M1485">
        <v>1464</v>
      </c>
      <c r="N1485">
        <v>146.4</v>
      </c>
      <c r="O1485">
        <v>1317.6</v>
      </c>
    </row>
    <row r="1486" spans="1:15" x14ac:dyDescent="0.3">
      <c r="A1486" t="s">
        <v>1498</v>
      </c>
      <c r="B1486" s="1">
        <v>44828</v>
      </c>
      <c r="C1486" t="s">
        <v>3492</v>
      </c>
      <c r="D1486" t="s">
        <v>4000</v>
      </c>
      <c r="E1486">
        <v>25</v>
      </c>
      <c r="F1486" t="str">
        <f t="shared" si="23"/>
        <v>18-25</v>
      </c>
      <c r="G1486" t="s">
        <v>4006</v>
      </c>
      <c r="H1486" t="s">
        <v>4007</v>
      </c>
      <c r="I1486" t="s">
        <v>4016</v>
      </c>
      <c r="J1486">
        <v>7</v>
      </c>
      <c r="K1486">
        <v>314</v>
      </c>
      <c r="L1486">
        <v>0</v>
      </c>
      <c r="M1486">
        <v>2198</v>
      </c>
      <c r="N1486">
        <v>0</v>
      </c>
      <c r="O1486">
        <v>2198</v>
      </c>
    </row>
    <row r="1487" spans="1:15" x14ac:dyDescent="0.3">
      <c r="A1487" t="s">
        <v>1499</v>
      </c>
      <c r="B1487" s="1">
        <v>45151</v>
      </c>
      <c r="C1487" t="s">
        <v>3493</v>
      </c>
      <c r="D1487" t="s">
        <v>4000</v>
      </c>
      <c r="E1487">
        <v>54</v>
      </c>
      <c r="F1487" t="str">
        <f t="shared" si="23"/>
        <v>46+</v>
      </c>
      <c r="G1487" t="s">
        <v>4005</v>
      </c>
      <c r="H1487" t="s">
        <v>4007</v>
      </c>
      <c r="I1487" t="s">
        <v>4015</v>
      </c>
      <c r="J1487">
        <v>2</v>
      </c>
      <c r="K1487">
        <v>568</v>
      </c>
      <c r="L1487">
        <v>0</v>
      </c>
      <c r="M1487">
        <v>1136</v>
      </c>
      <c r="N1487">
        <v>0</v>
      </c>
      <c r="O1487">
        <v>1136</v>
      </c>
    </row>
    <row r="1488" spans="1:15" x14ac:dyDescent="0.3">
      <c r="A1488" t="s">
        <v>1500</v>
      </c>
      <c r="B1488" s="1">
        <v>44872</v>
      </c>
      <c r="C1488" t="s">
        <v>3494</v>
      </c>
      <c r="D1488" t="s">
        <v>4000</v>
      </c>
      <c r="E1488">
        <v>54</v>
      </c>
      <c r="F1488" t="str">
        <f t="shared" si="23"/>
        <v>46+</v>
      </c>
      <c r="G1488" t="s">
        <v>4002</v>
      </c>
      <c r="H1488" t="s">
        <v>4009</v>
      </c>
      <c r="I1488" t="s">
        <v>4016</v>
      </c>
      <c r="J1488">
        <v>2</v>
      </c>
      <c r="K1488">
        <v>2586</v>
      </c>
      <c r="L1488">
        <v>15</v>
      </c>
      <c r="M1488">
        <v>5172</v>
      </c>
      <c r="N1488">
        <v>775.8</v>
      </c>
      <c r="O1488">
        <v>4396.2</v>
      </c>
    </row>
    <row r="1489" spans="1:15" x14ac:dyDescent="0.3">
      <c r="A1489" t="s">
        <v>1501</v>
      </c>
      <c r="B1489" s="1">
        <v>44816</v>
      </c>
      <c r="C1489" t="s">
        <v>3495</v>
      </c>
      <c r="D1489" t="s">
        <v>4000</v>
      </c>
      <c r="E1489">
        <v>29</v>
      </c>
      <c r="F1489" t="str">
        <f t="shared" si="23"/>
        <v>26-35</v>
      </c>
      <c r="G1489" t="s">
        <v>4001</v>
      </c>
      <c r="H1489" t="s">
        <v>4007</v>
      </c>
      <c r="I1489" t="s">
        <v>4016</v>
      </c>
      <c r="J1489">
        <v>5</v>
      </c>
      <c r="K1489">
        <v>1396</v>
      </c>
      <c r="L1489">
        <v>10</v>
      </c>
      <c r="M1489">
        <v>6980</v>
      </c>
      <c r="N1489">
        <v>698</v>
      </c>
      <c r="O1489">
        <v>6282</v>
      </c>
    </row>
    <row r="1490" spans="1:15" x14ac:dyDescent="0.3">
      <c r="A1490" t="s">
        <v>1502</v>
      </c>
      <c r="B1490" s="1">
        <v>44883</v>
      </c>
      <c r="C1490" t="s">
        <v>3496</v>
      </c>
      <c r="D1490" t="s">
        <v>4000</v>
      </c>
      <c r="E1490">
        <v>61</v>
      </c>
      <c r="F1490" t="str">
        <f t="shared" si="23"/>
        <v>46+</v>
      </c>
      <c r="G1490" t="s">
        <v>4004</v>
      </c>
      <c r="H1490" t="s">
        <v>4007</v>
      </c>
      <c r="I1490" t="s">
        <v>4016</v>
      </c>
      <c r="J1490">
        <v>1</v>
      </c>
      <c r="K1490">
        <v>1082</v>
      </c>
      <c r="L1490">
        <v>20</v>
      </c>
      <c r="M1490">
        <v>1082</v>
      </c>
      <c r="N1490">
        <v>216.4</v>
      </c>
      <c r="O1490">
        <v>865.6</v>
      </c>
    </row>
    <row r="1491" spans="1:15" x14ac:dyDescent="0.3">
      <c r="A1491" t="s">
        <v>1503</v>
      </c>
      <c r="B1491" s="1">
        <v>45237</v>
      </c>
      <c r="C1491" t="s">
        <v>3497</v>
      </c>
      <c r="D1491" t="s">
        <v>4000</v>
      </c>
      <c r="E1491">
        <v>27</v>
      </c>
      <c r="F1491" t="str">
        <f t="shared" si="23"/>
        <v>26-35</v>
      </c>
      <c r="G1491" t="s">
        <v>4005</v>
      </c>
      <c r="H1491" t="s">
        <v>4007</v>
      </c>
      <c r="I1491" t="s">
        <v>4017</v>
      </c>
      <c r="J1491">
        <v>6</v>
      </c>
      <c r="K1491">
        <v>306</v>
      </c>
      <c r="L1491">
        <v>10</v>
      </c>
      <c r="M1491">
        <v>1836</v>
      </c>
      <c r="N1491">
        <v>183.6</v>
      </c>
      <c r="O1491">
        <v>1652.4</v>
      </c>
    </row>
    <row r="1492" spans="1:15" x14ac:dyDescent="0.3">
      <c r="A1492" t="s">
        <v>1504</v>
      </c>
      <c r="B1492" s="1">
        <v>45207</v>
      </c>
      <c r="C1492" t="s">
        <v>3498</v>
      </c>
      <c r="D1492" t="s">
        <v>3999</v>
      </c>
      <c r="E1492">
        <v>39</v>
      </c>
      <c r="F1492" t="str">
        <f t="shared" si="23"/>
        <v>36-45</v>
      </c>
      <c r="G1492" t="s">
        <v>4005</v>
      </c>
      <c r="H1492" t="s">
        <v>4009</v>
      </c>
      <c r="I1492" t="s">
        <v>4016</v>
      </c>
      <c r="J1492">
        <v>5</v>
      </c>
      <c r="K1492">
        <v>7588</v>
      </c>
      <c r="L1492">
        <v>15</v>
      </c>
      <c r="M1492">
        <v>37940</v>
      </c>
      <c r="N1492">
        <v>5691</v>
      </c>
      <c r="O1492">
        <v>32249</v>
      </c>
    </row>
    <row r="1493" spans="1:15" x14ac:dyDescent="0.3">
      <c r="A1493" t="s">
        <v>1505</v>
      </c>
      <c r="B1493" s="1">
        <v>44694</v>
      </c>
      <c r="C1493" t="s">
        <v>3499</v>
      </c>
      <c r="D1493" t="s">
        <v>3999</v>
      </c>
      <c r="E1493">
        <v>29</v>
      </c>
      <c r="F1493" t="str">
        <f t="shared" si="23"/>
        <v>26-35</v>
      </c>
      <c r="G1493" t="s">
        <v>4006</v>
      </c>
      <c r="H1493" t="s">
        <v>4007</v>
      </c>
      <c r="I1493" t="s">
        <v>4013</v>
      </c>
      <c r="J1493">
        <v>2</v>
      </c>
      <c r="K1493">
        <v>6731</v>
      </c>
      <c r="L1493">
        <v>0</v>
      </c>
      <c r="M1493">
        <v>13462</v>
      </c>
      <c r="N1493">
        <v>0</v>
      </c>
      <c r="O1493">
        <v>13462</v>
      </c>
    </row>
    <row r="1494" spans="1:15" x14ac:dyDescent="0.3">
      <c r="A1494" t="s">
        <v>1506</v>
      </c>
      <c r="B1494" s="1">
        <v>44701</v>
      </c>
      <c r="C1494" t="s">
        <v>3500</v>
      </c>
      <c r="D1494" t="s">
        <v>4000</v>
      </c>
      <c r="E1494">
        <v>46</v>
      </c>
      <c r="F1494" t="str">
        <f t="shared" si="23"/>
        <v>46+</v>
      </c>
      <c r="G1494" t="s">
        <v>4002</v>
      </c>
      <c r="H1494" t="s">
        <v>4008</v>
      </c>
      <c r="I1494" t="s">
        <v>4016</v>
      </c>
      <c r="J1494">
        <v>4</v>
      </c>
      <c r="K1494">
        <v>6962</v>
      </c>
      <c r="L1494">
        <v>5</v>
      </c>
      <c r="M1494">
        <v>27848</v>
      </c>
      <c r="N1494">
        <v>1392.4</v>
      </c>
      <c r="O1494">
        <v>26455.599999999999</v>
      </c>
    </row>
    <row r="1495" spans="1:15" x14ac:dyDescent="0.3">
      <c r="A1495" t="s">
        <v>1507</v>
      </c>
      <c r="B1495" s="1">
        <v>44612</v>
      </c>
      <c r="C1495" t="s">
        <v>3501</v>
      </c>
      <c r="D1495" t="s">
        <v>3999</v>
      </c>
      <c r="E1495">
        <v>62</v>
      </c>
      <c r="F1495" t="str">
        <f t="shared" si="23"/>
        <v>46+</v>
      </c>
      <c r="G1495" t="s">
        <v>4004</v>
      </c>
      <c r="H1495" t="s">
        <v>4007</v>
      </c>
      <c r="I1495" t="s">
        <v>4016</v>
      </c>
      <c r="J1495">
        <v>6</v>
      </c>
      <c r="K1495">
        <v>2764</v>
      </c>
      <c r="L1495">
        <v>0</v>
      </c>
      <c r="M1495">
        <v>16584</v>
      </c>
      <c r="N1495">
        <v>0</v>
      </c>
      <c r="O1495">
        <v>16584</v>
      </c>
    </row>
    <row r="1496" spans="1:15" x14ac:dyDescent="0.3">
      <c r="A1496" t="s">
        <v>1508</v>
      </c>
      <c r="B1496" s="1">
        <v>44610</v>
      </c>
      <c r="C1496" t="s">
        <v>3502</v>
      </c>
      <c r="D1496" t="s">
        <v>4000</v>
      </c>
      <c r="E1496">
        <v>25</v>
      </c>
      <c r="F1496" t="str">
        <f t="shared" si="23"/>
        <v>18-25</v>
      </c>
      <c r="G1496" t="s">
        <v>4001</v>
      </c>
      <c r="H1496" t="s">
        <v>4008</v>
      </c>
      <c r="I1496" t="s">
        <v>4016</v>
      </c>
      <c r="J1496">
        <v>3</v>
      </c>
      <c r="K1496">
        <v>6638</v>
      </c>
      <c r="L1496">
        <v>10</v>
      </c>
      <c r="M1496">
        <v>19914</v>
      </c>
      <c r="N1496">
        <v>1991.4</v>
      </c>
      <c r="O1496">
        <v>17922.599999999999</v>
      </c>
    </row>
    <row r="1497" spans="1:15" x14ac:dyDescent="0.3">
      <c r="A1497" t="s">
        <v>1509</v>
      </c>
      <c r="B1497" s="1">
        <v>44836</v>
      </c>
      <c r="C1497" t="s">
        <v>3503</v>
      </c>
      <c r="D1497" t="s">
        <v>4000</v>
      </c>
      <c r="E1497">
        <v>33</v>
      </c>
      <c r="F1497" t="str">
        <f t="shared" si="23"/>
        <v>26-35</v>
      </c>
      <c r="G1497" t="s">
        <v>4003</v>
      </c>
      <c r="H1497" t="s">
        <v>4008</v>
      </c>
      <c r="I1497" t="s">
        <v>4013</v>
      </c>
      <c r="J1497">
        <v>2</v>
      </c>
      <c r="K1497">
        <v>3181</v>
      </c>
      <c r="L1497">
        <v>10</v>
      </c>
      <c r="M1497">
        <v>6362</v>
      </c>
      <c r="N1497">
        <v>636.20000000000005</v>
      </c>
      <c r="O1497">
        <v>5725.8</v>
      </c>
    </row>
    <row r="1498" spans="1:15" x14ac:dyDescent="0.3">
      <c r="A1498" t="s">
        <v>1510</v>
      </c>
      <c r="B1498" s="1">
        <v>45211</v>
      </c>
      <c r="C1498" t="s">
        <v>3504</v>
      </c>
      <c r="D1498" t="s">
        <v>4000</v>
      </c>
      <c r="E1498">
        <v>19</v>
      </c>
      <c r="F1498" t="str">
        <f t="shared" si="23"/>
        <v>18-25</v>
      </c>
      <c r="G1498" t="s">
        <v>4003</v>
      </c>
      <c r="H1498" t="s">
        <v>4007</v>
      </c>
      <c r="I1498" t="s">
        <v>4013</v>
      </c>
      <c r="J1498">
        <v>5</v>
      </c>
      <c r="K1498">
        <v>5455</v>
      </c>
      <c r="L1498">
        <v>0</v>
      </c>
      <c r="M1498">
        <v>27275</v>
      </c>
      <c r="N1498">
        <v>0</v>
      </c>
      <c r="O1498">
        <v>27275</v>
      </c>
    </row>
    <row r="1499" spans="1:15" x14ac:dyDescent="0.3">
      <c r="A1499" t="s">
        <v>1511</v>
      </c>
      <c r="B1499" s="1">
        <v>44694</v>
      </c>
      <c r="C1499" t="s">
        <v>3505</v>
      </c>
      <c r="D1499" t="s">
        <v>3999</v>
      </c>
      <c r="E1499">
        <v>61</v>
      </c>
      <c r="F1499" t="str">
        <f t="shared" si="23"/>
        <v>46+</v>
      </c>
      <c r="G1499" t="s">
        <v>4003</v>
      </c>
      <c r="H1499" t="s">
        <v>4012</v>
      </c>
      <c r="I1499" t="s">
        <v>4016</v>
      </c>
      <c r="J1499">
        <v>2</v>
      </c>
      <c r="K1499">
        <v>3987</v>
      </c>
      <c r="L1499">
        <v>0</v>
      </c>
      <c r="M1499">
        <v>7974</v>
      </c>
      <c r="N1499">
        <v>0</v>
      </c>
      <c r="O1499">
        <v>7974</v>
      </c>
    </row>
    <row r="1500" spans="1:15" x14ac:dyDescent="0.3">
      <c r="A1500" t="s">
        <v>1512</v>
      </c>
      <c r="B1500" s="1">
        <v>44589</v>
      </c>
      <c r="C1500" t="s">
        <v>3506</v>
      </c>
      <c r="D1500" t="s">
        <v>3999</v>
      </c>
      <c r="E1500">
        <v>42</v>
      </c>
      <c r="F1500" t="str">
        <f t="shared" si="23"/>
        <v>36-45</v>
      </c>
      <c r="G1500" t="s">
        <v>4002</v>
      </c>
      <c r="H1500" t="s">
        <v>4008</v>
      </c>
      <c r="I1500" t="s">
        <v>4016</v>
      </c>
      <c r="J1500">
        <v>5</v>
      </c>
      <c r="K1500">
        <v>731</v>
      </c>
      <c r="L1500">
        <v>0</v>
      </c>
      <c r="M1500">
        <v>3655</v>
      </c>
      <c r="N1500">
        <v>0</v>
      </c>
      <c r="O1500">
        <v>3655</v>
      </c>
    </row>
    <row r="1501" spans="1:15" x14ac:dyDescent="0.3">
      <c r="A1501" t="s">
        <v>1513</v>
      </c>
      <c r="B1501" s="1">
        <v>44751</v>
      </c>
      <c r="C1501" t="s">
        <v>3507</v>
      </c>
      <c r="D1501" t="s">
        <v>4000</v>
      </c>
      <c r="E1501">
        <v>44</v>
      </c>
      <c r="F1501" t="str">
        <f t="shared" si="23"/>
        <v>36-45</v>
      </c>
      <c r="G1501" t="s">
        <v>4006</v>
      </c>
      <c r="H1501" t="s">
        <v>4008</v>
      </c>
      <c r="I1501" t="s">
        <v>4016</v>
      </c>
      <c r="J1501">
        <v>4</v>
      </c>
      <c r="K1501">
        <v>5147</v>
      </c>
      <c r="L1501">
        <v>0</v>
      </c>
      <c r="M1501">
        <v>20588</v>
      </c>
      <c r="N1501">
        <v>0</v>
      </c>
      <c r="O1501">
        <v>20588</v>
      </c>
    </row>
    <row r="1502" spans="1:15" x14ac:dyDescent="0.3">
      <c r="A1502" t="s">
        <v>1514</v>
      </c>
      <c r="B1502" s="1">
        <v>44715</v>
      </c>
      <c r="C1502" t="s">
        <v>3508</v>
      </c>
      <c r="D1502" t="s">
        <v>4000</v>
      </c>
      <c r="E1502">
        <v>44</v>
      </c>
      <c r="F1502" t="str">
        <f t="shared" si="23"/>
        <v>36-45</v>
      </c>
      <c r="G1502" t="s">
        <v>4002</v>
      </c>
      <c r="H1502" t="s">
        <v>4010</v>
      </c>
      <c r="I1502" t="s">
        <v>4017</v>
      </c>
      <c r="J1502">
        <v>1</v>
      </c>
      <c r="K1502">
        <v>4226</v>
      </c>
      <c r="L1502">
        <v>5</v>
      </c>
      <c r="M1502">
        <v>4226</v>
      </c>
      <c r="N1502">
        <v>211.3</v>
      </c>
      <c r="O1502">
        <v>4014.7</v>
      </c>
    </row>
    <row r="1503" spans="1:15" x14ac:dyDescent="0.3">
      <c r="A1503" t="s">
        <v>1515</v>
      </c>
      <c r="B1503" s="1">
        <v>44692</v>
      </c>
      <c r="C1503" t="s">
        <v>3509</v>
      </c>
      <c r="D1503" t="s">
        <v>4000</v>
      </c>
      <c r="E1503">
        <v>60</v>
      </c>
      <c r="F1503" t="str">
        <f t="shared" si="23"/>
        <v>46+</v>
      </c>
      <c r="G1503" t="s">
        <v>4002</v>
      </c>
      <c r="H1503" t="s">
        <v>4007</v>
      </c>
      <c r="I1503" t="s">
        <v>4017</v>
      </c>
      <c r="J1503">
        <v>5</v>
      </c>
      <c r="K1503">
        <v>3382</v>
      </c>
      <c r="L1503">
        <v>0</v>
      </c>
      <c r="M1503">
        <v>16910</v>
      </c>
      <c r="N1503">
        <v>0</v>
      </c>
      <c r="O1503">
        <v>16910</v>
      </c>
    </row>
    <row r="1504" spans="1:15" x14ac:dyDescent="0.3">
      <c r="A1504" t="s">
        <v>1516</v>
      </c>
      <c r="B1504" s="1">
        <v>45090</v>
      </c>
      <c r="C1504" t="s">
        <v>3510</v>
      </c>
      <c r="D1504" t="s">
        <v>4000</v>
      </c>
      <c r="E1504">
        <v>51</v>
      </c>
      <c r="F1504" t="str">
        <f t="shared" si="23"/>
        <v>46+</v>
      </c>
      <c r="G1504" t="s">
        <v>4005</v>
      </c>
      <c r="H1504" t="s">
        <v>4009</v>
      </c>
      <c r="I1504" t="s">
        <v>4017</v>
      </c>
      <c r="J1504">
        <v>5</v>
      </c>
      <c r="K1504">
        <v>3418</v>
      </c>
      <c r="L1504">
        <v>20</v>
      </c>
      <c r="M1504">
        <v>17090</v>
      </c>
      <c r="N1504">
        <v>3418</v>
      </c>
      <c r="O1504">
        <v>13672</v>
      </c>
    </row>
    <row r="1505" spans="1:15" x14ac:dyDescent="0.3">
      <c r="A1505" t="s">
        <v>1517</v>
      </c>
      <c r="B1505" s="1">
        <v>44877</v>
      </c>
      <c r="C1505" t="s">
        <v>3511</v>
      </c>
      <c r="D1505" t="s">
        <v>4000</v>
      </c>
      <c r="E1505">
        <v>58</v>
      </c>
      <c r="F1505" t="str">
        <f t="shared" si="23"/>
        <v>46+</v>
      </c>
      <c r="G1505" t="s">
        <v>4004</v>
      </c>
      <c r="H1505" t="s">
        <v>4007</v>
      </c>
      <c r="I1505" t="s">
        <v>4013</v>
      </c>
      <c r="J1505">
        <v>2</v>
      </c>
      <c r="K1505">
        <v>6790</v>
      </c>
      <c r="L1505">
        <v>10</v>
      </c>
      <c r="M1505">
        <v>13580</v>
      </c>
      <c r="N1505">
        <v>1358</v>
      </c>
      <c r="O1505">
        <v>12222</v>
      </c>
    </row>
    <row r="1506" spans="1:15" x14ac:dyDescent="0.3">
      <c r="A1506" t="s">
        <v>1518</v>
      </c>
      <c r="B1506" s="1">
        <v>45139</v>
      </c>
      <c r="C1506" t="s">
        <v>3512</v>
      </c>
      <c r="D1506" t="s">
        <v>4000</v>
      </c>
      <c r="E1506">
        <v>39</v>
      </c>
      <c r="F1506" t="str">
        <f t="shared" si="23"/>
        <v>36-45</v>
      </c>
      <c r="G1506" t="s">
        <v>4003</v>
      </c>
      <c r="H1506" t="s">
        <v>4009</v>
      </c>
      <c r="I1506" t="s">
        <v>4016</v>
      </c>
      <c r="J1506">
        <v>1</v>
      </c>
      <c r="K1506">
        <v>4072</v>
      </c>
      <c r="L1506">
        <v>0</v>
      </c>
      <c r="M1506">
        <v>4072</v>
      </c>
      <c r="N1506">
        <v>0</v>
      </c>
      <c r="O1506">
        <v>4072</v>
      </c>
    </row>
    <row r="1507" spans="1:15" x14ac:dyDescent="0.3">
      <c r="A1507" t="s">
        <v>1519</v>
      </c>
      <c r="B1507" s="1">
        <v>44864</v>
      </c>
      <c r="C1507" t="s">
        <v>3513</v>
      </c>
      <c r="D1507" t="s">
        <v>4000</v>
      </c>
      <c r="E1507">
        <v>60</v>
      </c>
      <c r="F1507" t="str">
        <f t="shared" si="23"/>
        <v>46+</v>
      </c>
      <c r="G1507" t="s">
        <v>4004</v>
      </c>
      <c r="H1507" t="s">
        <v>4011</v>
      </c>
      <c r="I1507" t="s">
        <v>4015</v>
      </c>
      <c r="J1507">
        <v>4</v>
      </c>
      <c r="K1507">
        <v>3203</v>
      </c>
      <c r="L1507">
        <v>5</v>
      </c>
      <c r="M1507">
        <v>12812</v>
      </c>
      <c r="N1507">
        <v>640.6</v>
      </c>
      <c r="O1507">
        <v>12171.4</v>
      </c>
    </row>
    <row r="1508" spans="1:15" x14ac:dyDescent="0.3">
      <c r="A1508" t="s">
        <v>1520</v>
      </c>
      <c r="B1508" s="1">
        <v>44856</v>
      </c>
      <c r="C1508" t="s">
        <v>3514</v>
      </c>
      <c r="D1508" t="s">
        <v>3999</v>
      </c>
      <c r="E1508">
        <v>45</v>
      </c>
      <c r="F1508" t="str">
        <f t="shared" si="23"/>
        <v>36-45</v>
      </c>
      <c r="G1508" t="s">
        <v>4005</v>
      </c>
      <c r="H1508" t="s">
        <v>4008</v>
      </c>
      <c r="I1508" t="s">
        <v>4017</v>
      </c>
      <c r="J1508">
        <v>5</v>
      </c>
      <c r="K1508">
        <v>4399</v>
      </c>
      <c r="L1508">
        <v>5</v>
      </c>
      <c r="M1508">
        <v>21995</v>
      </c>
      <c r="N1508">
        <v>1099.75</v>
      </c>
      <c r="O1508">
        <v>20895.25</v>
      </c>
    </row>
    <row r="1509" spans="1:15" x14ac:dyDescent="0.3">
      <c r="A1509" t="s">
        <v>1521</v>
      </c>
      <c r="B1509" s="1">
        <v>44629</v>
      </c>
      <c r="C1509" t="s">
        <v>3515</v>
      </c>
      <c r="D1509" t="s">
        <v>3999</v>
      </c>
      <c r="E1509">
        <v>18</v>
      </c>
      <c r="F1509" t="str">
        <f t="shared" si="23"/>
        <v>18-25</v>
      </c>
      <c r="G1509" t="s">
        <v>4004</v>
      </c>
      <c r="H1509" t="s">
        <v>4010</v>
      </c>
      <c r="I1509" t="s">
        <v>4015</v>
      </c>
      <c r="J1509">
        <v>3</v>
      </c>
      <c r="K1509">
        <v>4921</v>
      </c>
      <c r="L1509">
        <v>0</v>
      </c>
      <c r="M1509">
        <v>14763</v>
      </c>
      <c r="N1509">
        <v>0</v>
      </c>
      <c r="O1509">
        <v>14763</v>
      </c>
    </row>
    <row r="1510" spans="1:15" x14ac:dyDescent="0.3">
      <c r="A1510" t="s">
        <v>1522</v>
      </c>
      <c r="B1510" s="1">
        <v>45260</v>
      </c>
      <c r="C1510" t="s">
        <v>3516</v>
      </c>
      <c r="D1510" t="s">
        <v>4000</v>
      </c>
      <c r="E1510">
        <v>36</v>
      </c>
      <c r="F1510" t="str">
        <f t="shared" si="23"/>
        <v>36-45</v>
      </c>
      <c r="G1510" t="s">
        <v>4002</v>
      </c>
      <c r="H1510" t="s">
        <v>4008</v>
      </c>
      <c r="I1510" t="s">
        <v>4015</v>
      </c>
      <c r="J1510">
        <v>5</v>
      </c>
      <c r="K1510">
        <v>2710</v>
      </c>
      <c r="L1510">
        <v>5</v>
      </c>
      <c r="M1510">
        <v>13550</v>
      </c>
      <c r="N1510">
        <v>677.5</v>
      </c>
      <c r="O1510">
        <v>12872.5</v>
      </c>
    </row>
    <row r="1511" spans="1:15" x14ac:dyDescent="0.3">
      <c r="A1511" t="s">
        <v>1523</v>
      </c>
      <c r="B1511" s="1">
        <v>44723</v>
      </c>
      <c r="C1511" t="s">
        <v>3517</v>
      </c>
      <c r="D1511" t="s">
        <v>4000</v>
      </c>
      <c r="E1511">
        <v>32</v>
      </c>
      <c r="F1511" t="str">
        <f t="shared" si="23"/>
        <v>26-35</v>
      </c>
      <c r="G1511" t="s">
        <v>4001</v>
      </c>
      <c r="H1511" t="s">
        <v>4009</v>
      </c>
      <c r="I1511" t="s">
        <v>4015</v>
      </c>
      <c r="J1511">
        <v>2</v>
      </c>
      <c r="K1511">
        <v>2802</v>
      </c>
      <c r="L1511">
        <v>5</v>
      </c>
      <c r="M1511">
        <v>5604</v>
      </c>
      <c r="N1511">
        <v>280.2</v>
      </c>
      <c r="O1511">
        <v>5323.8</v>
      </c>
    </row>
    <row r="1512" spans="1:15" x14ac:dyDescent="0.3">
      <c r="A1512" t="s">
        <v>1524</v>
      </c>
      <c r="B1512" s="1">
        <v>45260</v>
      </c>
      <c r="C1512" t="s">
        <v>3518</v>
      </c>
      <c r="D1512" t="s">
        <v>3999</v>
      </c>
      <c r="E1512">
        <v>21</v>
      </c>
      <c r="F1512" t="str">
        <f t="shared" si="23"/>
        <v>18-25</v>
      </c>
      <c r="G1512" t="s">
        <v>4005</v>
      </c>
      <c r="H1512" t="s">
        <v>4007</v>
      </c>
      <c r="I1512" t="s">
        <v>4014</v>
      </c>
      <c r="J1512">
        <v>7</v>
      </c>
      <c r="K1512">
        <v>5061</v>
      </c>
      <c r="L1512">
        <v>0</v>
      </c>
      <c r="M1512">
        <v>35427</v>
      </c>
      <c r="N1512">
        <v>0</v>
      </c>
      <c r="O1512">
        <v>35427</v>
      </c>
    </row>
    <row r="1513" spans="1:15" x14ac:dyDescent="0.3">
      <c r="A1513" t="s">
        <v>1525</v>
      </c>
      <c r="B1513" s="1">
        <v>44625</v>
      </c>
      <c r="C1513" t="s">
        <v>3519</v>
      </c>
      <c r="D1513" t="s">
        <v>3999</v>
      </c>
      <c r="E1513">
        <v>32</v>
      </c>
      <c r="F1513" t="str">
        <f t="shared" si="23"/>
        <v>26-35</v>
      </c>
      <c r="G1513" t="s">
        <v>4001</v>
      </c>
      <c r="H1513" t="s">
        <v>4010</v>
      </c>
      <c r="I1513" t="s">
        <v>4015</v>
      </c>
      <c r="J1513">
        <v>1</v>
      </c>
      <c r="K1513">
        <v>4311</v>
      </c>
      <c r="L1513">
        <v>5</v>
      </c>
      <c r="M1513">
        <v>4311</v>
      </c>
      <c r="N1513">
        <v>215.55</v>
      </c>
      <c r="O1513">
        <v>4095.45</v>
      </c>
    </row>
    <row r="1514" spans="1:15" x14ac:dyDescent="0.3">
      <c r="A1514" t="s">
        <v>1526</v>
      </c>
      <c r="B1514" s="1">
        <v>44940</v>
      </c>
      <c r="C1514" t="s">
        <v>3520</v>
      </c>
      <c r="D1514" t="s">
        <v>3999</v>
      </c>
      <c r="E1514">
        <v>29</v>
      </c>
      <c r="F1514" t="str">
        <f t="shared" si="23"/>
        <v>26-35</v>
      </c>
      <c r="G1514" t="s">
        <v>4001</v>
      </c>
      <c r="H1514" t="s">
        <v>4010</v>
      </c>
      <c r="I1514" t="s">
        <v>4013</v>
      </c>
      <c r="J1514">
        <v>1</v>
      </c>
      <c r="K1514">
        <v>7019</v>
      </c>
      <c r="L1514">
        <v>5</v>
      </c>
      <c r="M1514">
        <v>7019</v>
      </c>
      <c r="N1514">
        <v>350.95</v>
      </c>
      <c r="O1514">
        <v>6668.05</v>
      </c>
    </row>
    <row r="1515" spans="1:15" x14ac:dyDescent="0.3">
      <c r="A1515" t="s">
        <v>1527</v>
      </c>
      <c r="B1515" s="1">
        <v>45187</v>
      </c>
      <c r="C1515" t="s">
        <v>3521</v>
      </c>
      <c r="D1515" t="s">
        <v>4000</v>
      </c>
      <c r="E1515">
        <v>35</v>
      </c>
      <c r="F1515" t="str">
        <f t="shared" si="23"/>
        <v>26-35</v>
      </c>
      <c r="G1515" t="s">
        <v>4006</v>
      </c>
      <c r="H1515" t="s">
        <v>4010</v>
      </c>
      <c r="I1515" t="s">
        <v>4015</v>
      </c>
      <c r="J1515">
        <v>2</v>
      </c>
      <c r="K1515">
        <v>4894</v>
      </c>
      <c r="L1515">
        <v>15</v>
      </c>
      <c r="M1515">
        <v>9788</v>
      </c>
      <c r="N1515">
        <v>1468.2</v>
      </c>
      <c r="O1515">
        <v>8319.7999999999993</v>
      </c>
    </row>
    <row r="1516" spans="1:15" x14ac:dyDescent="0.3">
      <c r="A1516" t="s">
        <v>1528</v>
      </c>
      <c r="B1516" s="1">
        <v>45060</v>
      </c>
      <c r="C1516" t="s">
        <v>3522</v>
      </c>
      <c r="D1516" t="s">
        <v>4000</v>
      </c>
      <c r="E1516">
        <v>62</v>
      </c>
      <c r="F1516" t="str">
        <f t="shared" si="23"/>
        <v>46+</v>
      </c>
      <c r="G1516" t="s">
        <v>4002</v>
      </c>
      <c r="H1516" t="s">
        <v>4009</v>
      </c>
      <c r="I1516" t="s">
        <v>4013</v>
      </c>
      <c r="J1516">
        <v>7</v>
      </c>
      <c r="K1516">
        <v>1071</v>
      </c>
      <c r="L1516">
        <v>15</v>
      </c>
      <c r="M1516">
        <v>7497</v>
      </c>
      <c r="N1516">
        <v>1124.55</v>
      </c>
      <c r="O1516">
        <v>6372.45</v>
      </c>
    </row>
    <row r="1517" spans="1:15" x14ac:dyDescent="0.3">
      <c r="A1517" t="s">
        <v>1529</v>
      </c>
      <c r="B1517" s="1">
        <v>45216</v>
      </c>
      <c r="C1517" t="s">
        <v>3523</v>
      </c>
      <c r="D1517" t="s">
        <v>4000</v>
      </c>
      <c r="E1517">
        <v>60</v>
      </c>
      <c r="F1517" t="str">
        <f t="shared" si="23"/>
        <v>46+</v>
      </c>
      <c r="G1517" t="s">
        <v>4001</v>
      </c>
      <c r="H1517" t="s">
        <v>4011</v>
      </c>
      <c r="I1517" t="s">
        <v>4015</v>
      </c>
      <c r="J1517">
        <v>5</v>
      </c>
      <c r="K1517">
        <v>4498</v>
      </c>
      <c r="L1517">
        <v>20</v>
      </c>
      <c r="M1517">
        <v>22490</v>
      </c>
      <c r="N1517">
        <v>4498</v>
      </c>
      <c r="O1517">
        <v>17992</v>
      </c>
    </row>
    <row r="1518" spans="1:15" x14ac:dyDescent="0.3">
      <c r="A1518" t="s">
        <v>1530</v>
      </c>
      <c r="B1518" s="1">
        <v>44998</v>
      </c>
      <c r="C1518" t="s">
        <v>3524</v>
      </c>
      <c r="D1518" t="s">
        <v>4000</v>
      </c>
      <c r="E1518">
        <v>38</v>
      </c>
      <c r="F1518" t="str">
        <f t="shared" si="23"/>
        <v>36-45</v>
      </c>
      <c r="G1518" t="s">
        <v>4006</v>
      </c>
      <c r="H1518" t="s">
        <v>4007</v>
      </c>
      <c r="I1518" t="s">
        <v>4017</v>
      </c>
      <c r="J1518">
        <v>4</v>
      </c>
      <c r="K1518">
        <v>6815</v>
      </c>
      <c r="L1518">
        <v>10</v>
      </c>
      <c r="M1518">
        <v>27260</v>
      </c>
      <c r="N1518">
        <v>2726</v>
      </c>
      <c r="O1518">
        <v>24534</v>
      </c>
    </row>
    <row r="1519" spans="1:15" x14ac:dyDescent="0.3">
      <c r="A1519" t="s">
        <v>1531</v>
      </c>
      <c r="B1519" s="1">
        <v>44850</v>
      </c>
      <c r="C1519" t="s">
        <v>3525</v>
      </c>
      <c r="D1519" t="s">
        <v>3999</v>
      </c>
      <c r="E1519">
        <v>28</v>
      </c>
      <c r="F1519" t="str">
        <f t="shared" si="23"/>
        <v>26-35</v>
      </c>
      <c r="G1519" t="s">
        <v>4006</v>
      </c>
      <c r="H1519" t="s">
        <v>4012</v>
      </c>
      <c r="I1519" t="s">
        <v>4014</v>
      </c>
      <c r="J1519">
        <v>3</v>
      </c>
      <c r="K1519">
        <v>2350</v>
      </c>
      <c r="L1519">
        <v>5</v>
      </c>
      <c r="M1519">
        <v>7050</v>
      </c>
      <c r="N1519">
        <v>352.5</v>
      </c>
      <c r="O1519">
        <v>6697.5</v>
      </c>
    </row>
    <row r="1520" spans="1:15" x14ac:dyDescent="0.3">
      <c r="A1520" t="s">
        <v>1532</v>
      </c>
      <c r="B1520" s="1">
        <v>44805</v>
      </c>
      <c r="C1520" t="s">
        <v>3526</v>
      </c>
      <c r="D1520" t="s">
        <v>3999</v>
      </c>
      <c r="E1520">
        <v>21</v>
      </c>
      <c r="F1520" t="str">
        <f t="shared" si="23"/>
        <v>18-25</v>
      </c>
      <c r="G1520" t="s">
        <v>4005</v>
      </c>
      <c r="H1520" t="s">
        <v>4010</v>
      </c>
      <c r="I1520" t="s">
        <v>4017</v>
      </c>
      <c r="J1520">
        <v>7</v>
      </c>
      <c r="K1520">
        <v>4858</v>
      </c>
      <c r="L1520">
        <v>5</v>
      </c>
      <c r="M1520">
        <v>34006</v>
      </c>
      <c r="N1520">
        <v>1700.3</v>
      </c>
      <c r="O1520">
        <v>32305.7</v>
      </c>
    </row>
    <row r="1521" spans="1:15" x14ac:dyDescent="0.3">
      <c r="A1521" t="s">
        <v>1533</v>
      </c>
      <c r="B1521" s="1">
        <v>44755</v>
      </c>
      <c r="C1521" t="s">
        <v>3527</v>
      </c>
      <c r="D1521" t="s">
        <v>4000</v>
      </c>
      <c r="E1521">
        <v>59</v>
      </c>
      <c r="F1521" t="str">
        <f t="shared" si="23"/>
        <v>46+</v>
      </c>
      <c r="G1521" t="s">
        <v>4003</v>
      </c>
      <c r="H1521" t="s">
        <v>4009</v>
      </c>
      <c r="I1521" t="s">
        <v>4015</v>
      </c>
      <c r="J1521">
        <v>7</v>
      </c>
      <c r="K1521">
        <v>913</v>
      </c>
      <c r="L1521">
        <v>0</v>
      </c>
      <c r="M1521">
        <v>6391</v>
      </c>
      <c r="N1521">
        <v>0</v>
      </c>
      <c r="O1521">
        <v>6391</v>
      </c>
    </row>
    <row r="1522" spans="1:15" x14ac:dyDescent="0.3">
      <c r="A1522" t="s">
        <v>1534</v>
      </c>
      <c r="B1522" s="1">
        <v>44726</v>
      </c>
      <c r="C1522" t="s">
        <v>3528</v>
      </c>
      <c r="D1522" t="s">
        <v>3999</v>
      </c>
      <c r="E1522">
        <v>63</v>
      </c>
      <c r="F1522" t="str">
        <f t="shared" si="23"/>
        <v>46+</v>
      </c>
      <c r="G1522" t="s">
        <v>4003</v>
      </c>
      <c r="H1522" t="s">
        <v>4007</v>
      </c>
      <c r="I1522" t="s">
        <v>4015</v>
      </c>
      <c r="J1522">
        <v>6</v>
      </c>
      <c r="K1522">
        <v>6155</v>
      </c>
      <c r="L1522">
        <v>0</v>
      </c>
      <c r="M1522">
        <v>36930</v>
      </c>
      <c r="N1522">
        <v>0</v>
      </c>
      <c r="O1522">
        <v>36930</v>
      </c>
    </row>
    <row r="1523" spans="1:15" x14ac:dyDescent="0.3">
      <c r="A1523" t="s">
        <v>1535</v>
      </c>
      <c r="B1523" s="1">
        <v>44881</v>
      </c>
      <c r="C1523" t="s">
        <v>3529</v>
      </c>
      <c r="D1523" t="s">
        <v>3999</v>
      </c>
      <c r="E1523">
        <v>34</v>
      </c>
      <c r="F1523" t="str">
        <f t="shared" si="23"/>
        <v>26-35</v>
      </c>
      <c r="G1523" t="s">
        <v>4004</v>
      </c>
      <c r="H1523" t="s">
        <v>4012</v>
      </c>
      <c r="I1523" t="s">
        <v>4013</v>
      </c>
      <c r="J1523">
        <v>3</v>
      </c>
      <c r="K1523">
        <v>281</v>
      </c>
      <c r="L1523">
        <v>15</v>
      </c>
      <c r="M1523">
        <v>843</v>
      </c>
      <c r="N1523">
        <v>126.45</v>
      </c>
      <c r="O1523">
        <v>716.55</v>
      </c>
    </row>
    <row r="1524" spans="1:15" x14ac:dyDescent="0.3">
      <c r="A1524" t="s">
        <v>1536</v>
      </c>
      <c r="B1524" s="1">
        <v>44970</v>
      </c>
      <c r="C1524" t="s">
        <v>3530</v>
      </c>
      <c r="D1524" t="s">
        <v>4000</v>
      </c>
      <c r="E1524">
        <v>25</v>
      </c>
      <c r="F1524" t="str">
        <f t="shared" si="23"/>
        <v>18-25</v>
      </c>
      <c r="G1524" t="s">
        <v>4001</v>
      </c>
      <c r="H1524" t="s">
        <v>4009</v>
      </c>
      <c r="I1524" t="s">
        <v>4017</v>
      </c>
      <c r="J1524">
        <v>7</v>
      </c>
      <c r="K1524">
        <v>858</v>
      </c>
      <c r="L1524">
        <v>0</v>
      </c>
      <c r="M1524">
        <v>6006</v>
      </c>
      <c r="N1524">
        <v>0</v>
      </c>
      <c r="O1524">
        <v>6006</v>
      </c>
    </row>
    <row r="1525" spans="1:15" x14ac:dyDescent="0.3">
      <c r="A1525" t="s">
        <v>1537</v>
      </c>
      <c r="B1525" s="1">
        <v>44971</v>
      </c>
      <c r="C1525" t="s">
        <v>3531</v>
      </c>
      <c r="D1525" t="s">
        <v>4000</v>
      </c>
      <c r="E1525">
        <v>53</v>
      </c>
      <c r="F1525" t="str">
        <f t="shared" si="23"/>
        <v>46+</v>
      </c>
      <c r="G1525" t="s">
        <v>4001</v>
      </c>
      <c r="H1525" t="s">
        <v>4010</v>
      </c>
      <c r="I1525" t="s">
        <v>4017</v>
      </c>
      <c r="J1525">
        <v>6</v>
      </c>
      <c r="K1525">
        <v>1724</v>
      </c>
      <c r="L1525">
        <v>0</v>
      </c>
      <c r="M1525">
        <v>10344</v>
      </c>
      <c r="N1525">
        <v>0</v>
      </c>
      <c r="O1525">
        <v>10344</v>
      </c>
    </row>
    <row r="1526" spans="1:15" x14ac:dyDescent="0.3">
      <c r="A1526" t="s">
        <v>1538</v>
      </c>
      <c r="B1526" s="1">
        <v>44838</v>
      </c>
      <c r="C1526" t="s">
        <v>3532</v>
      </c>
      <c r="D1526" t="s">
        <v>4000</v>
      </c>
      <c r="E1526">
        <v>38</v>
      </c>
      <c r="F1526" t="str">
        <f t="shared" si="23"/>
        <v>36-45</v>
      </c>
      <c r="G1526" t="s">
        <v>4002</v>
      </c>
      <c r="H1526" t="s">
        <v>4011</v>
      </c>
      <c r="I1526" t="s">
        <v>4016</v>
      </c>
      <c r="J1526">
        <v>4</v>
      </c>
      <c r="K1526">
        <v>4625</v>
      </c>
      <c r="L1526">
        <v>0</v>
      </c>
      <c r="M1526">
        <v>18500</v>
      </c>
      <c r="N1526">
        <v>0</v>
      </c>
      <c r="O1526">
        <v>18500</v>
      </c>
    </row>
    <row r="1527" spans="1:15" x14ac:dyDescent="0.3">
      <c r="A1527" t="s">
        <v>1539</v>
      </c>
      <c r="B1527" s="1">
        <v>45062</v>
      </c>
      <c r="C1527" t="s">
        <v>3533</v>
      </c>
      <c r="D1527" t="s">
        <v>3999</v>
      </c>
      <c r="E1527">
        <v>49</v>
      </c>
      <c r="F1527" t="str">
        <f t="shared" si="23"/>
        <v>46+</v>
      </c>
      <c r="G1527" t="s">
        <v>4002</v>
      </c>
      <c r="H1527" t="s">
        <v>4007</v>
      </c>
      <c r="I1527" t="s">
        <v>4013</v>
      </c>
      <c r="J1527">
        <v>2</v>
      </c>
      <c r="K1527">
        <v>7179</v>
      </c>
      <c r="L1527">
        <v>10</v>
      </c>
      <c r="M1527">
        <v>14358</v>
      </c>
      <c r="N1527">
        <v>1435.8</v>
      </c>
      <c r="O1527">
        <v>12922.2</v>
      </c>
    </row>
    <row r="1528" spans="1:15" x14ac:dyDescent="0.3">
      <c r="A1528" t="s">
        <v>1540</v>
      </c>
      <c r="B1528" s="1">
        <v>44583</v>
      </c>
      <c r="C1528" t="s">
        <v>3534</v>
      </c>
      <c r="D1528" t="s">
        <v>4000</v>
      </c>
      <c r="E1528">
        <v>22</v>
      </c>
      <c r="F1528" t="str">
        <f t="shared" si="23"/>
        <v>18-25</v>
      </c>
      <c r="G1528" t="s">
        <v>4003</v>
      </c>
      <c r="H1528" t="s">
        <v>4012</v>
      </c>
      <c r="I1528" t="s">
        <v>4015</v>
      </c>
      <c r="J1528">
        <v>6</v>
      </c>
      <c r="K1528">
        <v>3193</v>
      </c>
      <c r="L1528">
        <v>5</v>
      </c>
      <c r="M1528">
        <v>19158</v>
      </c>
      <c r="N1528">
        <v>957.9</v>
      </c>
      <c r="O1528">
        <v>18200.099999999999</v>
      </c>
    </row>
    <row r="1529" spans="1:15" x14ac:dyDescent="0.3">
      <c r="A1529" t="s">
        <v>1541</v>
      </c>
      <c r="B1529" s="1">
        <v>45031</v>
      </c>
      <c r="C1529" t="s">
        <v>3535</v>
      </c>
      <c r="D1529" t="s">
        <v>3999</v>
      </c>
      <c r="E1529">
        <v>58</v>
      </c>
      <c r="F1529" t="str">
        <f t="shared" si="23"/>
        <v>46+</v>
      </c>
      <c r="G1529" t="s">
        <v>4002</v>
      </c>
      <c r="H1529" t="s">
        <v>4010</v>
      </c>
      <c r="I1529" t="s">
        <v>4016</v>
      </c>
      <c r="J1529">
        <v>2</v>
      </c>
      <c r="K1529">
        <v>5283</v>
      </c>
      <c r="L1529">
        <v>15</v>
      </c>
      <c r="M1529">
        <v>10566</v>
      </c>
      <c r="N1529">
        <v>1584.9</v>
      </c>
      <c r="O1529">
        <v>8981.1</v>
      </c>
    </row>
    <row r="1530" spans="1:15" x14ac:dyDescent="0.3">
      <c r="A1530" t="s">
        <v>1542</v>
      </c>
      <c r="B1530" s="1">
        <v>45191</v>
      </c>
      <c r="C1530" t="s">
        <v>3536</v>
      </c>
      <c r="D1530" t="s">
        <v>3999</v>
      </c>
      <c r="E1530">
        <v>40</v>
      </c>
      <c r="F1530" t="str">
        <f t="shared" si="23"/>
        <v>36-45</v>
      </c>
      <c r="G1530" t="s">
        <v>4001</v>
      </c>
      <c r="H1530" t="s">
        <v>4012</v>
      </c>
      <c r="I1530" t="s">
        <v>4016</v>
      </c>
      <c r="J1530">
        <v>4</v>
      </c>
      <c r="K1530">
        <v>7929</v>
      </c>
      <c r="L1530">
        <v>15</v>
      </c>
      <c r="M1530">
        <v>31716</v>
      </c>
      <c r="N1530">
        <v>4757.3999999999996</v>
      </c>
      <c r="O1530">
        <v>26958.6</v>
      </c>
    </row>
    <row r="1531" spans="1:15" x14ac:dyDescent="0.3">
      <c r="A1531" t="s">
        <v>1543</v>
      </c>
      <c r="B1531" s="1">
        <v>45067</v>
      </c>
      <c r="C1531" t="s">
        <v>3537</v>
      </c>
      <c r="D1531" t="s">
        <v>4000</v>
      </c>
      <c r="E1531">
        <v>27</v>
      </c>
      <c r="F1531" t="str">
        <f t="shared" si="23"/>
        <v>26-35</v>
      </c>
      <c r="G1531" t="s">
        <v>4005</v>
      </c>
      <c r="H1531" t="s">
        <v>4007</v>
      </c>
      <c r="I1531" t="s">
        <v>4017</v>
      </c>
      <c r="J1531">
        <v>6</v>
      </c>
      <c r="K1531">
        <v>643</v>
      </c>
      <c r="L1531">
        <v>5</v>
      </c>
      <c r="M1531">
        <v>3858</v>
      </c>
      <c r="N1531">
        <v>192.9</v>
      </c>
      <c r="O1531">
        <v>3665.1</v>
      </c>
    </row>
    <row r="1532" spans="1:15" x14ac:dyDescent="0.3">
      <c r="A1532" t="s">
        <v>1544</v>
      </c>
      <c r="B1532" s="1">
        <v>44680</v>
      </c>
      <c r="C1532" t="s">
        <v>3538</v>
      </c>
      <c r="D1532" t="s">
        <v>3999</v>
      </c>
      <c r="E1532">
        <v>38</v>
      </c>
      <c r="F1532" t="str">
        <f t="shared" si="23"/>
        <v>36-45</v>
      </c>
      <c r="G1532" t="s">
        <v>4001</v>
      </c>
      <c r="H1532" t="s">
        <v>4012</v>
      </c>
      <c r="I1532" t="s">
        <v>4013</v>
      </c>
      <c r="J1532">
        <v>2</v>
      </c>
      <c r="K1532">
        <v>573</v>
      </c>
      <c r="L1532">
        <v>5</v>
      </c>
      <c r="M1532">
        <v>1146</v>
      </c>
      <c r="N1532">
        <v>57.3</v>
      </c>
      <c r="O1532">
        <v>1088.7</v>
      </c>
    </row>
    <row r="1533" spans="1:15" x14ac:dyDescent="0.3">
      <c r="A1533" t="s">
        <v>1545</v>
      </c>
      <c r="B1533" s="1">
        <v>44910</v>
      </c>
      <c r="C1533" t="s">
        <v>3539</v>
      </c>
      <c r="D1533" t="s">
        <v>3999</v>
      </c>
      <c r="E1533">
        <v>32</v>
      </c>
      <c r="F1533" t="str">
        <f t="shared" si="23"/>
        <v>26-35</v>
      </c>
      <c r="G1533" t="s">
        <v>4001</v>
      </c>
      <c r="H1533" t="s">
        <v>4007</v>
      </c>
      <c r="I1533" t="s">
        <v>4017</v>
      </c>
      <c r="J1533">
        <v>6</v>
      </c>
      <c r="K1533">
        <v>6369</v>
      </c>
      <c r="L1533">
        <v>0</v>
      </c>
      <c r="M1533">
        <v>38214</v>
      </c>
      <c r="N1533">
        <v>0</v>
      </c>
      <c r="O1533">
        <v>38214</v>
      </c>
    </row>
    <row r="1534" spans="1:15" x14ac:dyDescent="0.3">
      <c r="A1534" t="s">
        <v>1546</v>
      </c>
      <c r="B1534" s="1">
        <v>45127</v>
      </c>
      <c r="C1534" t="s">
        <v>3540</v>
      </c>
      <c r="D1534" t="s">
        <v>4000</v>
      </c>
      <c r="E1534">
        <v>31</v>
      </c>
      <c r="F1534" t="str">
        <f t="shared" si="23"/>
        <v>26-35</v>
      </c>
      <c r="G1534" t="s">
        <v>4006</v>
      </c>
      <c r="H1534" t="s">
        <v>4010</v>
      </c>
      <c r="I1534" t="s">
        <v>4017</v>
      </c>
      <c r="J1534">
        <v>1</v>
      </c>
      <c r="K1534">
        <v>4739</v>
      </c>
      <c r="L1534">
        <v>15</v>
      </c>
      <c r="M1534">
        <v>4739</v>
      </c>
      <c r="N1534">
        <v>710.85</v>
      </c>
      <c r="O1534">
        <v>4028.15</v>
      </c>
    </row>
    <row r="1535" spans="1:15" x14ac:dyDescent="0.3">
      <c r="A1535" t="s">
        <v>1547</v>
      </c>
      <c r="B1535" s="1">
        <v>44946</v>
      </c>
      <c r="C1535" t="s">
        <v>3541</v>
      </c>
      <c r="D1535" t="s">
        <v>3999</v>
      </c>
      <c r="E1535">
        <v>62</v>
      </c>
      <c r="F1535" t="str">
        <f t="shared" si="23"/>
        <v>46+</v>
      </c>
      <c r="G1535" t="s">
        <v>4002</v>
      </c>
      <c r="H1535" t="s">
        <v>4012</v>
      </c>
      <c r="I1535" t="s">
        <v>4016</v>
      </c>
      <c r="J1535">
        <v>4</v>
      </c>
      <c r="K1535">
        <v>1521</v>
      </c>
      <c r="L1535">
        <v>10</v>
      </c>
      <c r="M1535">
        <v>6084</v>
      </c>
      <c r="N1535">
        <v>608.4</v>
      </c>
      <c r="O1535">
        <v>5475.6</v>
      </c>
    </row>
    <row r="1536" spans="1:15" x14ac:dyDescent="0.3">
      <c r="A1536" t="s">
        <v>1548</v>
      </c>
      <c r="B1536" s="1">
        <v>45073</v>
      </c>
      <c r="C1536" t="s">
        <v>3542</v>
      </c>
      <c r="D1536" t="s">
        <v>3999</v>
      </c>
      <c r="E1536">
        <v>21</v>
      </c>
      <c r="F1536" t="str">
        <f t="shared" si="23"/>
        <v>18-25</v>
      </c>
      <c r="G1536" t="s">
        <v>4004</v>
      </c>
      <c r="H1536" t="s">
        <v>4007</v>
      </c>
      <c r="I1536" t="s">
        <v>4015</v>
      </c>
      <c r="J1536">
        <v>3</v>
      </c>
      <c r="K1536">
        <v>3084</v>
      </c>
      <c r="L1536">
        <v>0</v>
      </c>
      <c r="M1536">
        <v>9252</v>
      </c>
      <c r="N1536">
        <v>0</v>
      </c>
      <c r="O1536">
        <v>9252</v>
      </c>
    </row>
    <row r="1537" spans="1:15" x14ac:dyDescent="0.3">
      <c r="A1537" t="s">
        <v>1549</v>
      </c>
      <c r="B1537" s="1">
        <v>45251</v>
      </c>
      <c r="C1537" t="s">
        <v>3543</v>
      </c>
      <c r="D1537" t="s">
        <v>4000</v>
      </c>
      <c r="E1537">
        <v>21</v>
      </c>
      <c r="F1537" t="str">
        <f t="shared" si="23"/>
        <v>18-25</v>
      </c>
      <c r="G1537" t="s">
        <v>4001</v>
      </c>
      <c r="H1537" t="s">
        <v>4009</v>
      </c>
      <c r="I1537" t="s">
        <v>4013</v>
      </c>
      <c r="J1537">
        <v>1</v>
      </c>
      <c r="K1537">
        <v>3935</v>
      </c>
      <c r="L1537">
        <v>10</v>
      </c>
      <c r="M1537">
        <v>3935</v>
      </c>
      <c r="N1537">
        <v>393.5</v>
      </c>
      <c r="O1537">
        <v>3541.5</v>
      </c>
    </row>
    <row r="1538" spans="1:15" x14ac:dyDescent="0.3">
      <c r="A1538" t="s">
        <v>1550</v>
      </c>
      <c r="B1538" s="1">
        <v>44627</v>
      </c>
      <c r="C1538" t="s">
        <v>3544</v>
      </c>
      <c r="D1538" t="s">
        <v>3999</v>
      </c>
      <c r="E1538">
        <v>30</v>
      </c>
      <c r="F1538" t="str">
        <f t="shared" ref="F1538:F1601" si="24">IF(E1538&lt;=25,"18-25",IF(E1538&lt;=35,"26-35",IF(E1538&lt;=45,"36-45","46+")))</f>
        <v>26-35</v>
      </c>
      <c r="G1538" t="s">
        <v>4006</v>
      </c>
      <c r="H1538" t="s">
        <v>4009</v>
      </c>
      <c r="I1538" t="s">
        <v>4013</v>
      </c>
      <c r="J1538">
        <v>4</v>
      </c>
      <c r="K1538">
        <v>7746</v>
      </c>
      <c r="L1538">
        <v>0</v>
      </c>
      <c r="M1538">
        <v>30984</v>
      </c>
      <c r="N1538">
        <v>0</v>
      </c>
      <c r="O1538">
        <v>30984</v>
      </c>
    </row>
    <row r="1539" spans="1:15" x14ac:dyDescent="0.3">
      <c r="A1539" t="s">
        <v>1551</v>
      </c>
      <c r="B1539" s="1">
        <v>45210</v>
      </c>
      <c r="C1539" t="s">
        <v>3545</v>
      </c>
      <c r="D1539" t="s">
        <v>4000</v>
      </c>
      <c r="E1539">
        <v>35</v>
      </c>
      <c r="F1539" t="str">
        <f t="shared" si="24"/>
        <v>26-35</v>
      </c>
      <c r="G1539" t="s">
        <v>4001</v>
      </c>
      <c r="H1539" t="s">
        <v>4009</v>
      </c>
      <c r="I1539" t="s">
        <v>4016</v>
      </c>
      <c r="J1539">
        <v>5</v>
      </c>
      <c r="K1539">
        <v>1835</v>
      </c>
      <c r="L1539">
        <v>0</v>
      </c>
      <c r="M1539">
        <v>9175</v>
      </c>
      <c r="N1539">
        <v>0</v>
      </c>
      <c r="O1539">
        <v>9175</v>
      </c>
    </row>
    <row r="1540" spans="1:15" x14ac:dyDescent="0.3">
      <c r="A1540" t="s">
        <v>1552</v>
      </c>
      <c r="B1540" s="1">
        <v>44987</v>
      </c>
      <c r="C1540" t="s">
        <v>3546</v>
      </c>
      <c r="D1540" t="s">
        <v>4000</v>
      </c>
      <c r="E1540">
        <v>22</v>
      </c>
      <c r="F1540" t="str">
        <f t="shared" si="24"/>
        <v>18-25</v>
      </c>
      <c r="G1540" t="s">
        <v>4005</v>
      </c>
      <c r="H1540" t="s">
        <v>4009</v>
      </c>
      <c r="I1540" t="s">
        <v>4014</v>
      </c>
      <c r="J1540">
        <v>7</v>
      </c>
      <c r="K1540">
        <v>2236</v>
      </c>
      <c r="L1540">
        <v>0</v>
      </c>
      <c r="M1540">
        <v>15652</v>
      </c>
      <c r="N1540">
        <v>0</v>
      </c>
      <c r="O1540">
        <v>15652</v>
      </c>
    </row>
    <row r="1541" spans="1:15" x14ac:dyDescent="0.3">
      <c r="A1541" t="s">
        <v>1553</v>
      </c>
      <c r="B1541" s="1">
        <v>44676</v>
      </c>
      <c r="C1541" t="s">
        <v>3547</v>
      </c>
      <c r="D1541" t="s">
        <v>4000</v>
      </c>
      <c r="E1541">
        <v>21</v>
      </c>
      <c r="F1541" t="str">
        <f t="shared" si="24"/>
        <v>18-25</v>
      </c>
      <c r="G1541" t="s">
        <v>4006</v>
      </c>
      <c r="H1541" t="s">
        <v>4007</v>
      </c>
      <c r="I1541" t="s">
        <v>4016</v>
      </c>
      <c r="J1541">
        <v>6</v>
      </c>
      <c r="K1541">
        <v>5823</v>
      </c>
      <c r="L1541">
        <v>5</v>
      </c>
      <c r="M1541">
        <v>34938</v>
      </c>
      <c r="N1541">
        <v>1746.9</v>
      </c>
      <c r="O1541">
        <v>33191.1</v>
      </c>
    </row>
    <row r="1542" spans="1:15" x14ac:dyDescent="0.3">
      <c r="A1542" t="s">
        <v>1554</v>
      </c>
      <c r="B1542" s="1">
        <v>45173</v>
      </c>
      <c r="C1542" t="s">
        <v>3548</v>
      </c>
      <c r="D1542" t="s">
        <v>3999</v>
      </c>
      <c r="E1542">
        <v>34</v>
      </c>
      <c r="F1542" t="str">
        <f t="shared" si="24"/>
        <v>26-35</v>
      </c>
      <c r="G1542" t="s">
        <v>4005</v>
      </c>
      <c r="H1542" t="s">
        <v>4009</v>
      </c>
      <c r="I1542" t="s">
        <v>4016</v>
      </c>
      <c r="J1542">
        <v>2</v>
      </c>
      <c r="K1542">
        <v>5548</v>
      </c>
      <c r="L1542">
        <v>0</v>
      </c>
      <c r="M1542">
        <v>11096</v>
      </c>
      <c r="N1542">
        <v>0</v>
      </c>
      <c r="O1542">
        <v>11096</v>
      </c>
    </row>
    <row r="1543" spans="1:15" x14ac:dyDescent="0.3">
      <c r="A1543" t="s">
        <v>1555</v>
      </c>
      <c r="B1543" s="1">
        <v>45163</v>
      </c>
      <c r="C1543" t="s">
        <v>3549</v>
      </c>
      <c r="D1543" t="s">
        <v>4000</v>
      </c>
      <c r="E1543">
        <v>62</v>
      </c>
      <c r="F1543" t="str">
        <f t="shared" si="24"/>
        <v>46+</v>
      </c>
      <c r="G1543" t="s">
        <v>4001</v>
      </c>
      <c r="H1543" t="s">
        <v>4009</v>
      </c>
      <c r="I1543" t="s">
        <v>4013</v>
      </c>
      <c r="J1543">
        <v>6</v>
      </c>
      <c r="K1543">
        <v>3481</v>
      </c>
      <c r="L1543">
        <v>0</v>
      </c>
      <c r="M1543">
        <v>20886</v>
      </c>
      <c r="N1543">
        <v>0</v>
      </c>
      <c r="O1543">
        <v>20886</v>
      </c>
    </row>
    <row r="1544" spans="1:15" x14ac:dyDescent="0.3">
      <c r="A1544" t="s">
        <v>1556</v>
      </c>
      <c r="B1544" s="1">
        <v>45148</v>
      </c>
      <c r="C1544" t="s">
        <v>3550</v>
      </c>
      <c r="D1544" t="s">
        <v>4000</v>
      </c>
      <c r="E1544">
        <v>25</v>
      </c>
      <c r="F1544" t="str">
        <f t="shared" si="24"/>
        <v>18-25</v>
      </c>
      <c r="G1544" t="s">
        <v>4002</v>
      </c>
      <c r="H1544" t="s">
        <v>4007</v>
      </c>
      <c r="I1544" t="s">
        <v>4017</v>
      </c>
      <c r="J1544">
        <v>4</v>
      </c>
      <c r="K1544">
        <v>328</v>
      </c>
      <c r="L1544">
        <v>0</v>
      </c>
      <c r="M1544">
        <v>1312</v>
      </c>
      <c r="N1544">
        <v>0</v>
      </c>
      <c r="O1544">
        <v>1312</v>
      </c>
    </row>
    <row r="1545" spans="1:15" x14ac:dyDescent="0.3">
      <c r="A1545" t="s">
        <v>1557</v>
      </c>
      <c r="B1545" s="1">
        <v>44650</v>
      </c>
      <c r="C1545" t="s">
        <v>3551</v>
      </c>
      <c r="D1545" t="s">
        <v>3999</v>
      </c>
      <c r="E1545">
        <v>41</v>
      </c>
      <c r="F1545" t="str">
        <f t="shared" si="24"/>
        <v>36-45</v>
      </c>
      <c r="G1545" t="s">
        <v>4001</v>
      </c>
      <c r="H1545" t="s">
        <v>4007</v>
      </c>
      <c r="I1545" t="s">
        <v>4017</v>
      </c>
      <c r="J1545">
        <v>4</v>
      </c>
      <c r="K1545">
        <v>443</v>
      </c>
      <c r="L1545">
        <v>5</v>
      </c>
      <c r="M1545">
        <v>1772</v>
      </c>
      <c r="N1545">
        <v>88.6</v>
      </c>
      <c r="O1545">
        <v>1683.4</v>
      </c>
    </row>
    <row r="1546" spans="1:15" x14ac:dyDescent="0.3">
      <c r="A1546" t="s">
        <v>1558</v>
      </c>
      <c r="B1546" s="1">
        <v>44658</v>
      </c>
      <c r="C1546" t="s">
        <v>3552</v>
      </c>
      <c r="D1546" t="s">
        <v>3999</v>
      </c>
      <c r="E1546">
        <v>32</v>
      </c>
      <c r="F1546" t="str">
        <f t="shared" si="24"/>
        <v>26-35</v>
      </c>
      <c r="G1546" t="s">
        <v>4005</v>
      </c>
      <c r="H1546" t="s">
        <v>4012</v>
      </c>
      <c r="I1546" t="s">
        <v>4013</v>
      </c>
      <c r="J1546">
        <v>1</v>
      </c>
      <c r="K1546">
        <v>5222</v>
      </c>
      <c r="L1546">
        <v>10</v>
      </c>
      <c r="M1546">
        <v>5222</v>
      </c>
      <c r="N1546">
        <v>522.20000000000005</v>
      </c>
      <c r="O1546">
        <v>4699.8</v>
      </c>
    </row>
    <row r="1547" spans="1:15" x14ac:dyDescent="0.3">
      <c r="A1547" t="s">
        <v>1559</v>
      </c>
      <c r="B1547" s="1">
        <v>45020</v>
      </c>
      <c r="C1547" t="s">
        <v>3553</v>
      </c>
      <c r="D1547" t="s">
        <v>3999</v>
      </c>
      <c r="E1547">
        <v>46</v>
      </c>
      <c r="F1547" t="str">
        <f t="shared" si="24"/>
        <v>46+</v>
      </c>
      <c r="G1547" t="s">
        <v>4001</v>
      </c>
      <c r="H1547" t="s">
        <v>4009</v>
      </c>
      <c r="I1547" t="s">
        <v>4015</v>
      </c>
      <c r="J1547">
        <v>1</v>
      </c>
      <c r="K1547">
        <v>3072</v>
      </c>
      <c r="L1547">
        <v>0</v>
      </c>
      <c r="M1547">
        <v>3072</v>
      </c>
      <c r="N1547">
        <v>0</v>
      </c>
      <c r="O1547">
        <v>3072</v>
      </c>
    </row>
    <row r="1548" spans="1:15" x14ac:dyDescent="0.3">
      <c r="A1548" t="s">
        <v>1560</v>
      </c>
      <c r="B1548" s="1">
        <v>44822</v>
      </c>
      <c r="C1548" t="s">
        <v>3554</v>
      </c>
      <c r="D1548" t="s">
        <v>3999</v>
      </c>
      <c r="E1548">
        <v>36</v>
      </c>
      <c r="F1548" t="str">
        <f t="shared" si="24"/>
        <v>36-45</v>
      </c>
      <c r="G1548" t="s">
        <v>4004</v>
      </c>
      <c r="H1548" t="s">
        <v>4008</v>
      </c>
      <c r="I1548" t="s">
        <v>4015</v>
      </c>
      <c r="J1548">
        <v>3</v>
      </c>
      <c r="K1548">
        <v>2658</v>
      </c>
      <c r="L1548">
        <v>0</v>
      </c>
      <c r="M1548">
        <v>7974</v>
      </c>
      <c r="N1548">
        <v>0</v>
      </c>
      <c r="O1548">
        <v>7974</v>
      </c>
    </row>
    <row r="1549" spans="1:15" x14ac:dyDescent="0.3">
      <c r="A1549" t="s">
        <v>1561</v>
      </c>
      <c r="B1549" s="1">
        <v>45010</v>
      </c>
      <c r="C1549" t="s">
        <v>3555</v>
      </c>
      <c r="D1549" t="s">
        <v>4000</v>
      </c>
      <c r="E1549">
        <v>64</v>
      </c>
      <c r="F1549" t="str">
        <f t="shared" si="24"/>
        <v>46+</v>
      </c>
      <c r="G1549" t="s">
        <v>4001</v>
      </c>
      <c r="H1549" t="s">
        <v>4007</v>
      </c>
      <c r="I1549" t="s">
        <v>4013</v>
      </c>
      <c r="J1549">
        <v>1</v>
      </c>
      <c r="K1549">
        <v>4177</v>
      </c>
      <c r="L1549">
        <v>5</v>
      </c>
      <c r="M1549">
        <v>4177</v>
      </c>
      <c r="N1549">
        <v>208.85</v>
      </c>
      <c r="O1549">
        <v>3968.15</v>
      </c>
    </row>
    <row r="1550" spans="1:15" x14ac:dyDescent="0.3">
      <c r="A1550" t="s">
        <v>1562</v>
      </c>
      <c r="B1550" s="1">
        <v>45028</v>
      </c>
      <c r="C1550" t="s">
        <v>3556</v>
      </c>
      <c r="D1550" t="s">
        <v>4000</v>
      </c>
      <c r="E1550">
        <v>62</v>
      </c>
      <c r="F1550" t="str">
        <f t="shared" si="24"/>
        <v>46+</v>
      </c>
      <c r="G1550" t="s">
        <v>4005</v>
      </c>
      <c r="H1550" t="s">
        <v>4008</v>
      </c>
      <c r="I1550" t="s">
        <v>4016</v>
      </c>
      <c r="J1550">
        <v>6</v>
      </c>
      <c r="K1550">
        <v>4424</v>
      </c>
      <c r="L1550">
        <v>0</v>
      </c>
      <c r="M1550">
        <v>26544</v>
      </c>
      <c r="N1550">
        <v>0</v>
      </c>
      <c r="O1550">
        <v>26544</v>
      </c>
    </row>
    <row r="1551" spans="1:15" x14ac:dyDescent="0.3">
      <c r="A1551" t="s">
        <v>1563</v>
      </c>
      <c r="B1551" s="1">
        <v>44932</v>
      </c>
      <c r="C1551" t="s">
        <v>3557</v>
      </c>
      <c r="D1551" t="s">
        <v>3999</v>
      </c>
      <c r="E1551">
        <v>54</v>
      </c>
      <c r="F1551" t="str">
        <f t="shared" si="24"/>
        <v>46+</v>
      </c>
      <c r="G1551" t="s">
        <v>4005</v>
      </c>
      <c r="H1551" t="s">
        <v>4012</v>
      </c>
      <c r="I1551" t="s">
        <v>4017</v>
      </c>
      <c r="J1551">
        <v>2</v>
      </c>
      <c r="K1551">
        <v>3677</v>
      </c>
      <c r="L1551">
        <v>5</v>
      </c>
      <c r="M1551">
        <v>7354</v>
      </c>
      <c r="N1551">
        <v>367.7</v>
      </c>
      <c r="O1551">
        <v>6986.3</v>
      </c>
    </row>
    <row r="1552" spans="1:15" x14ac:dyDescent="0.3">
      <c r="A1552" t="s">
        <v>1564</v>
      </c>
      <c r="B1552" s="1">
        <v>45098</v>
      </c>
      <c r="C1552" t="s">
        <v>3558</v>
      </c>
      <c r="D1552" t="s">
        <v>4000</v>
      </c>
      <c r="E1552">
        <v>30</v>
      </c>
      <c r="F1552" t="str">
        <f t="shared" si="24"/>
        <v>26-35</v>
      </c>
      <c r="G1552" t="s">
        <v>4004</v>
      </c>
      <c r="H1552" t="s">
        <v>4008</v>
      </c>
      <c r="I1552" t="s">
        <v>4017</v>
      </c>
      <c r="J1552">
        <v>6</v>
      </c>
      <c r="K1552">
        <v>4923</v>
      </c>
      <c r="L1552">
        <v>5</v>
      </c>
      <c r="M1552">
        <v>29538</v>
      </c>
      <c r="N1552">
        <v>1476.9</v>
      </c>
      <c r="O1552">
        <v>28061.1</v>
      </c>
    </row>
    <row r="1553" spans="1:15" x14ac:dyDescent="0.3">
      <c r="A1553" t="s">
        <v>1565</v>
      </c>
      <c r="B1553" s="1">
        <v>45067</v>
      </c>
      <c r="C1553" t="s">
        <v>3559</v>
      </c>
      <c r="D1553" t="s">
        <v>4000</v>
      </c>
      <c r="E1553">
        <v>18</v>
      </c>
      <c r="F1553" t="str">
        <f t="shared" si="24"/>
        <v>18-25</v>
      </c>
      <c r="G1553" t="s">
        <v>4001</v>
      </c>
      <c r="H1553" t="s">
        <v>4011</v>
      </c>
      <c r="I1553" t="s">
        <v>4016</v>
      </c>
      <c r="J1553">
        <v>6</v>
      </c>
      <c r="K1553">
        <v>1982</v>
      </c>
      <c r="L1553">
        <v>15</v>
      </c>
      <c r="M1553">
        <v>11892</v>
      </c>
      <c r="N1553">
        <v>1783.8</v>
      </c>
      <c r="O1553">
        <v>10108.200000000001</v>
      </c>
    </row>
    <row r="1554" spans="1:15" x14ac:dyDescent="0.3">
      <c r="A1554" t="s">
        <v>1566</v>
      </c>
      <c r="B1554" s="1">
        <v>44677</v>
      </c>
      <c r="C1554" t="s">
        <v>3560</v>
      </c>
      <c r="D1554" t="s">
        <v>3999</v>
      </c>
      <c r="E1554">
        <v>19</v>
      </c>
      <c r="F1554" t="str">
        <f t="shared" si="24"/>
        <v>18-25</v>
      </c>
      <c r="G1554" t="s">
        <v>4004</v>
      </c>
      <c r="H1554" t="s">
        <v>4007</v>
      </c>
      <c r="I1554" t="s">
        <v>4016</v>
      </c>
      <c r="J1554">
        <v>7</v>
      </c>
      <c r="K1554">
        <v>5517</v>
      </c>
      <c r="L1554">
        <v>10</v>
      </c>
      <c r="M1554">
        <v>38619</v>
      </c>
      <c r="N1554">
        <v>3861.9</v>
      </c>
      <c r="O1554">
        <v>34757.1</v>
      </c>
    </row>
    <row r="1555" spans="1:15" x14ac:dyDescent="0.3">
      <c r="A1555" t="s">
        <v>1567</v>
      </c>
      <c r="B1555" s="1">
        <v>45067</v>
      </c>
      <c r="C1555" t="s">
        <v>3561</v>
      </c>
      <c r="D1555" t="s">
        <v>3999</v>
      </c>
      <c r="E1555">
        <v>25</v>
      </c>
      <c r="F1555" t="str">
        <f t="shared" si="24"/>
        <v>18-25</v>
      </c>
      <c r="G1555" t="s">
        <v>4004</v>
      </c>
      <c r="H1555" t="s">
        <v>4007</v>
      </c>
      <c r="I1555" t="s">
        <v>4016</v>
      </c>
      <c r="J1555">
        <v>7</v>
      </c>
      <c r="K1555">
        <v>6563</v>
      </c>
      <c r="L1555">
        <v>0</v>
      </c>
      <c r="M1555">
        <v>45941</v>
      </c>
      <c r="N1555">
        <v>0</v>
      </c>
      <c r="O1555">
        <v>45941</v>
      </c>
    </row>
    <row r="1556" spans="1:15" x14ac:dyDescent="0.3">
      <c r="A1556" t="s">
        <v>1568</v>
      </c>
      <c r="B1556" s="1">
        <v>44664</v>
      </c>
      <c r="C1556" t="s">
        <v>3562</v>
      </c>
      <c r="D1556" t="s">
        <v>3999</v>
      </c>
      <c r="E1556">
        <v>28</v>
      </c>
      <c r="F1556" t="str">
        <f t="shared" si="24"/>
        <v>26-35</v>
      </c>
      <c r="G1556" t="s">
        <v>4004</v>
      </c>
      <c r="H1556" t="s">
        <v>4009</v>
      </c>
      <c r="I1556" t="s">
        <v>4014</v>
      </c>
      <c r="J1556">
        <v>7</v>
      </c>
      <c r="K1556">
        <v>1913</v>
      </c>
      <c r="L1556">
        <v>0</v>
      </c>
      <c r="M1556">
        <v>13391</v>
      </c>
      <c r="N1556">
        <v>0</v>
      </c>
      <c r="O1556">
        <v>13391</v>
      </c>
    </row>
    <row r="1557" spans="1:15" x14ac:dyDescent="0.3">
      <c r="A1557" t="s">
        <v>1569</v>
      </c>
      <c r="B1557" s="1">
        <v>44946</v>
      </c>
      <c r="C1557" t="s">
        <v>3563</v>
      </c>
      <c r="D1557" t="s">
        <v>4000</v>
      </c>
      <c r="E1557">
        <v>34</v>
      </c>
      <c r="F1557" t="str">
        <f t="shared" si="24"/>
        <v>26-35</v>
      </c>
      <c r="G1557" t="s">
        <v>4004</v>
      </c>
      <c r="H1557" t="s">
        <v>4011</v>
      </c>
      <c r="I1557" t="s">
        <v>4016</v>
      </c>
      <c r="J1557">
        <v>1</v>
      </c>
      <c r="K1557">
        <v>6564</v>
      </c>
      <c r="L1557">
        <v>15</v>
      </c>
      <c r="M1557">
        <v>6564</v>
      </c>
      <c r="N1557">
        <v>984.6</v>
      </c>
      <c r="O1557">
        <v>5579.4</v>
      </c>
    </row>
    <row r="1558" spans="1:15" x14ac:dyDescent="0.3">
      <c r="A1558" t="s">
        <v>1570</v>
      </c>
      <c r="B1558" s="1">
        <v>44882</v>
      </c>
      <c r="C1558" t="s">
        <v>3564</v>
      </c>
      <c r="D1558" t="s">
        <v>3999</v>
      </c>
      <c r="E1558">
        <v>19</v>
      </c>
      <c r="F1558" t="str">
        <f t="shared" si="24"/>
        <v>18-25</v>
      </c>
      <c r="G1558" t="s">
        <v>4004</v>
      </c>
      <c r="H1558" t="s">
        <v>4011</v>
      </c>
      <c r="I1558" t="s">
        <v>4017</v>
      </c>
      <c r="J1558">
        <v>6</v>
      </c>
      <c r="K1558">
        <v>645</v>
      </c>
      <c r="L1558">
        <v>10</v>
      </c>
      <c r="M1558">
        <v>3870</v>
      </c>
      <c r="N1558">
        <v>387</v>
      </c>
      <c r="O1558">
        <v>3483</v>
      </c>
    </row>
    <row r="1559" spans="1:15" x14ac:dyDescent="0.3">
      <c r="A1559" t="s">
        <v>1571</v>
      </c>
      <c r="B1559" s="1">
        <v>45135</v>
      </c>
      <c r="C1559" t="s">
        <v>3565</v>
      </c>
      <c r="D1559" t="s">
        <v>4000</v>
      </c>
      <c r="E1559">
        <v>39</v>
      </c>
      <c r="F1559" t="str">
        <f t="shared" si="24"/>
        <v>36-45</v>
      </c>
      <c r="G1559" t="s">
        <v>4004</v>
      </c>
      <c r="H1559" t="s">
        <v>4008</v>
      </c>
      <c r="I1559" t="s">
        <v>4016</v>
      </c>
      <c r="J1559">
        <v>4</v>
      </c>
      <c r="K1559">
        <v>2671</v>
      </c>
      <c r="L1559">
        <v>15</v>
      </c>
      <c r="M1559">
        <v>10684</v>
      </c>
      <c r="N1559">
        <v>1602.6</v>
      </c>
      <c r="O1559">
        <v>9081.4</v>
      </c>
    </row>
    <row r="1560" spans="1:15" x14ac:dyDescent="0.3">
      <c r="A1560" t="s">
        <v>1572</v>
      </c>
      <c r="B1560" s="1">
        <v>44587</v>
      </c>
      <c r="C1560" t="s">
        <v>3566</v>
      </c>
      <c r="D1560" t="s">
        <v>4000</v>
      </c>
      <c r="E1560">
        <v>26</v>
      </c>
      <c r="F1560" t="str">
        <f t="shared" si="24"/>
        <v>26-35</v>
      </c>
      <c r="G1560" t="s">
        <v>4004</v>
      </c>
      <c r="H1560" t="s">
        <v>4007</v>
      </c>
      <c r="I1560" t="s">
        <v>4017</v>
      </c>
      <c r="J1560">
        <v>2</v>
      </c>
      <c r="K1560">
        <v>2307</v>
      </c>
      <c r="L1560">
        <v>5</v>
      </c>
      <c r="M1560">
        <v>4614</v>
      </c>
      <c r="N1560">
        <v>230.7</v>
      </c>
      <c r="O1560">
        <v>4383.3</v>
      </c>
    </row>
    <row r="1561" spans="1:15" x14ac:dyDescent="0.3">
      <c r="A1561" t="s">
        <v>1573</v>
      </c>
      <c r="B1561" s="1">
        <v>44635</v>
      </c>
      <c r="C1561" t="s">
        <v>3567</v>
      </c>
      <c r="D1561" t="s">
        <v>4000</v>
      </c>
      <c r="E1561">
        <v>44</v>
      </c>
      <c r="F1561" t="str">
        <f t="shared" si="24"/>
        <v>36-45</v>
      </c>
      <c r="G1561" t="s">
        <v>4006</v>
      </c>
      <c r="H1561" t="s">
        <v>4008</v>
      </c>
      <c r="I1561" t="s">
        <v>4015</v>
      </c>
      <c r="J1561">
        <v>2</v>
      </c>
      <c r="K1561">
        <v>6023</v>
      </c>
      <c r="L1561">
        <v>0</v>
      </c>
      <c r="M1561">
        <v>12046</v>
      </c>
      <c r="N1561">
        <v>0</v>
      </c>
      <c r="O1561">
        <v>12046</v>
      </c>
    </row>
    <row r="1562" spans="1:15" x14ac:dyDescent="0.3">
      <c r="A1562" t="s">
        <v>1574</v>
      </c>
      <c r="B1562" s="1">
        <v>44674</v>
      </c>
      <c r="C1562" t="s">
        <v>3568</v>
      </c>
      <c r="D1562" t="s">
        <v>4000</v>
      </c>
      <c r="E1562">
        <v>23</v>
      </c>
      <c r="F1562" t="str">
        <f t="shared" si="24"/>
        <v>18-25</v>
      </c>
      <c r="G1562" t="s">
        <v>4003</v>
      </c>
      <c r="H1562" t="s">
        <v>4007</v>
      </c>
      <c r="I1562" t="s">
        <v>4016</v>
      </c>
      <c r="J1562">
        <v>4</v>
      </c>
      <c r="K1562">
        <v>6980</v>
      </c>
      <c r="L1562">
        <v>0</v>
      </c>
      <c r="M1562">
        <v>27920</v>
      </c>
      <c r="N1562">
        <v>0</v>
      </c>
      <c r="O1562">
        <v>27920</v>
      </c>
    </row>
    <row r="1563" spans="1:15" x14ac:dyDescent="0.3">
      <c r="A1563" t="s">
        <v>1575</v>
      </c>
      <c r="B1563" s="1">
        <v>44855</v>
      </c>
      <c r="C1563" t="s">
        <v>3569</v>
      </c>
      <c r="D1563" t="s">
        <v>3999</v>
      </c>
      <c r="E1563">
        <v>57</v>
      </c>
      <c r="F1563" t="str">
        <f t="shared" si="24"/>
        <v>46+</v>
      </c>
      <c r="G1563" t="s">
        <v>4006</v>
      </c>
      <c r="H1563" t="s">
        <v>4011</v>
      </c>
      <c r="I1563" t="s">
        <v>4017</v>
      </c>
      <c r="J1563">
        <v>2</v>
      </c>
      <c r="K1563">
        <v>4261</v>
      </c>
      <c r="L1563">
        <v>20</v>
      </c>
      <c r="M1563">
        <v>8522</v>
      </c>
      <c r="N1563">
        <v>1704.4</v>
      </c>
      <c r="O1563">
        <v>6817.6</v>
      </c>
    </row>
    <row r="1564" spans="1:15" x14ac:dyDescent="0.3">
      <c r="A1564" t="s">
        <v>1576</v>
      </c>
      <c r="B1564" s="1">
        <v>44990</v>
      </c>
      <c r="C1564" t="s">
        <v>3570</v>
      </c>
      <c r="D1564" t="s">
        <v>3999</v>
      </c>
      <c r="E1564">
        <v>62</v>
      </c>
      <c r="F1564" t="str">
        <f t="shared" si="24"/>
        <v>46+</v>
      </c>
      <c r="G1564" t="s">
        <v>4001</v>
      </c>
      <c r="H1564" t="s">
        <v>4011</v>
      </c>
      <c r="I1564" t="s">
        <v>4013</v>
      </c>
      <c r="J1564">
        <v>4</v>
      </c>
      <c r="K1564">
        <v>2584</v>
      </c>
      <c r="L1564">
        <v>15</v>
      </c>
      <c r="M1564">
        <v>10336</v>
      </c>
      <c r="N1564">
        <v>1550.4</v>
      </c>
      <c r="O1564">
        <v>8785.6</v>
      </c>
    </row>
    <row r="1565" spans="1:15" x14ac:dyDescent="0.3">
      <c r="A1565" t="s">
        <v>1577</v>
      </c>
      <c r="B1565" s="1">
        <v>44881</v>
      </c>
      <c r="C1565" t="s">
        <v>3571</v>
      </c>
      <c r="D1565" t="s">
        <v>3999</v>
      </c>
      <c r="E1565">
        <v>31</v>
      </c>
      <c r="F1565" t="str">
        <f t="shared" si="24"/>
        <v>26-35</v>
      </c>
      <c r="G1565" t="s">
        <v>4003</v>
      </c>
      <c r="H1565" t="s">
        <v>4012</v>
      </c>
      <c r="I1565" t="s">
        <v>4017</v>
      </c>
      <c r="J1565">
        <v>4</v>
      </c>
      <c r="K1565">
        <v>369</v>
      </c>
      <c r="L1565">
        <v>10</v>
      </c>
      <c r="M1565">
        <v>1476</v>
      </c>
      <c r="N1565">
        <v>147.6</v>
      </c>
      <c r="O1565">
        <v>1328.4</v>
      </c>
    </row>
    <row r="1566" spans="1:15" x14ac:dyDescent="0.3">
      <c r="A1566" t="s">
        <v>1578</v>
      </c>
      <c r="B1566" s="1">
        <v>45137</v>
      </c>
      <c r="C1566" t="s">
        <v>3572</v>
      </c>
      <c r="D1566" t="s">
        <v>3999</v>
      </c>
      <c r="E1566">
        <v>43</v>
      </c>
      <c r="F1566" t="str">
        <f t="shared" si="24"/>
        <v>36-45</v>
      </c>
      <c r="G1566" t="s">
        <v>4006</v>
      </c>
      <c r="H1566" t="s">
        <v>4010</v>
      </c>
      <c r="I1566" t="s">
        <v>4017</v>
      </c>
      <c r="J1566">
        <v>1</v>
      </c>
      <c r="K1566">
        <v>6057</v>
      </c>
      <c r="L1566">
        <v>10</v>
      </c>
      <c r="M1566">
        <v>6057</v>
      </c>
      <c r="N1566">
        <v>605.70000000000005</v>
      </c>
      <c r="O1566">
        <v>5451.3</v>
      </c>
    </row>
    <row r="1567" spans="1:15" x14ac:dyDescent="0.3">
      <c r="A1567" t="s">
        <v>1579</v>
      </c>
      <c r="B1567" s="1">
        <v>45063</v>
      </c>
      <c r="C1567" t="s">
        <v>3573</v>
      </c>
      <c r="D1567" t="s">
        <v>4000</v>
      </c>
      <c r="E1567">
        <v>53</v>
      </c>
      <c r="F1567" t="str">
        <f t="shared" si="24"/>
        <v>46+</v>
      </c>
      <c r="G1567" t="s">
        <v>4002</v>
      </c>
      <c r="H1567" t="s">
        <v>4012</v>
      </c>
      <c r="I1567" t="s">
        <v>4013</v>
      </c>
      <c r="J1567">
        <v>6</v>
      </c>
      <c r="K1567">
        <v>6163</v>
      </c>
      <c r="L1567">
        <v>0</v>
      </c>
      <c r="M1567">
        <v>36978</v>
      </c>
      <c r="N1567">
        <v>0</v>
      </c>
      <c r="O1567">
        <v>36978</v>
      </c>
    </row>
    <row r="1568" spans="1:15" x14ac:dyDescent="0.3">
      <c r="A1568" t="s">
        <v>1580</v>
      </c>
      <c r="B1568" s="1">
        <v>44965</v>
      </c>
      <c r="C1568" t="s">
        <v>3574</v>
      </c>
      <c r="D1568" t="s">
        <v>4000</v>
      </c>
      <c r="E1568">
        <v>22</v>
      </c>
      <c r="F1568" t="str">
        <f t="shared" si="24"/>
        <v>18-25</v>
      </c>
      <c r="G1568" t="s">
        <v>4002</v>
      </c>
      <c r="H1568" t="s">
        <v>4012</v>
      </c>
      <c r="I1568" t="s">
        <v>4017</v>
      </c>
      <c r="J1568">
        <v>6</v>
      </c>
      <c r="K1568">
        <v>5392</v>
      </c>
      <c r="L1568">
        <v>5</v>
      </c>
      <c r="M1568">
        <v>32352</v>
      </c>
      <c r="N1568">
        <v>1617.6</v>
      </c>
      <c r="O1568">
        <v>30734.400000000001</v>
      </c>
    </row>
    <row r="1569" spans="1:15" x14ac:dyDescent="0.3">
      <c r="A1569" t="s">
        <v>1581</v>
      </c>
      <c r="B1569" s="1">
        <v>44806</v>
      </c>
      <c r="C1569" t="s">
        <v>3575</v>
      </c>
      <c r="D1569" t="s">
        <v>4000</v>
      </c>
      <c r="E1569">
        <v>25</v>
      </c>
      <c r="F1569" t="str">
        <f t="shared" si="24"/>
        <v>18-25</v>
      </c>
      <c r="G1569" t="s">
        <v>4003</v>
      </c>
      <c r="H1569" t="s">
        <v>4011</v>
      </c>
      <c r="I1569" t="s">
        <v>4013</v>
      </c>
      <c r="J1569">
        <v>3</v>
      </c>
      <c r="K1569">
        <v>3547</v>
      </c>
      <c r="L1569">
        <v>0</v>
      </c>
      <c r="M1569">
        <v>10641</v>
      </c>
      <c r="N1569">
        <v>0</v>
      </c>
      <c r="O1569">
        <v>10641</v>
      </c>
    </row>
    <row r="1570" spans="1:15" x14ac:dyDescent="0.3">
      <c r="A1570" t="s">
        <v>1582</v>
      </c>
      <c r="B1570" s="1">
        <v>44855</v>
      </c>
      <c r="C1570" t="s">
        <v>3576</v>
      </c>
      <c r="D1570" t="s">
        <v>3999</v>
      </c>
      <c r="E1570">
        <v>54</v>
      </c>
      <c r="F1570" t="str">
        <f t="shared" si="24"/>
        <v>46+</v>
      </c>
      <c r="G1570" t="s">
        <v>4005</v>
      </c>
      <c r="H1570" t="s">
        <v>4012</v>
      </c>
      <c r="I1570" t="s">
        <v>4017</v>
      </c>
      <c r="J1570">
        <v>4</v>
      </c>
      <c r="K1570">
        <v>7529</v>
      </c>
      <c r="L1570">
        <v>5</v>
      </c>
      <c r="M1570">
        <v>30116</v>
      </c>
      <c r="N1570">
        <v>1505.8</v>
      </c>
      <c r="O1570">
        <v>28610.2</v>
      </c>
    </row>
    <row r="1571" spans="1:15" x14ac:dyDescent="0.3">
      <c r="A1571" t="s">
        <v>1583</v>
      </c>
      <c r="B1571" s="1">
        <v>44834</v>
      </c>
      <c r="C1571" t="s">
        <v>3577</v>
      </c>
      <c r="D1571" t="s">
        <v>4000</v>
      </c>
      <c r="E1571">
        <v>51</v>
      </c>
      <c r="F1571" t="str">
        <f t="shared" si="24"/>
        <v>46+</v>
      </c>
      <c r="G1571" t="s">
        <v>4005</v>
      </c>
      <c r="H1571" t="s">
        <v>4009</v>
      </c>
      <c r="I1571" t="s">
        <v>4013</v>
      </c>
      <c r="J1571">
        <v>7</v>
      </c>
      <c r="K1571">
        <v>7944</v>
      </c>
      <c r="L1571">
        <v>0</v>
      </c>
      <c r="M1571">
        <v>55608</v>
      </c>
      <c r="N1571">
        <v>0</v>
      </c>
      <c r="O1571">
        <v>55608</v>
      </c>
    </row>
    <row r="1572" spans="1:15" x14ac:dyDescent="0.3">
      <c r="A1572" t="s">
        <v>1584</v>
      </c>
      <c r="B1572" s="1">
        <v>44749</v>
      </c>
      <c r="C1572" t="s">
        <v>3578</v>
      </c>
      <c r="D1572" t="s">
        <v>4000</v>
      </c>
      <c r="E1572">
        <v>29</v>
      </c>
      <c r="F1572" t="str">
        <f t="shared" si="24"/>
        <v>26-35</v>
      </c>
      <c r="G1572" t="s">
        <v>4003</v>
      </c>
      <c r="H1572" t="s">
        <v>4008</v>
      </c>
      <c r="I1572" t="s">
        <v>4017</v>
      </c>
      <c r="J1572">
        <v>6</v>
      </c>
      <c r="K1572">
        <v>4958</v>
      </c>
      <c r="L1572">
        <v>10</v>
      </c>
      <c r="M1572">
        <v>29748</v>
      </c>
      <c r="N1572">
        <v>2974.8</v>
      </c>
      <c r="O1572">
        <v>26773.200000000001</v>
      </c>
    </row>
    <row r="1573" spans="1:15" x14ac:dyDescent="0.3">
      <c r="A1573" t="s">
        <v>1585</v>
      </c>
      <c r="B1573" s="1">
        <v>44839</v>
      </c>
      <c r="C1573" t="s">
        <v>3579</v>
      </c>
      <c r="D1573" t="s">
        <v>4000</v>
      </c>
      <c r="E1573">
        <v>64</v>
      </c>
      <c r="F1573" t="str">
        <f t="shared" si="24"/>
        <v>46+</v>
      </c>
      <c r="G1573" t="s">
        <v>4002</v>
      </c>
      <c r="H1573" t="s">
        <v>4012</v>
      </c>
      <c r="I1573" t="s">
        <v>4014</v>
      </c>
      <c r="J1573">
        <v>6</v>
      </c>
      <c r="K1573">
        <v>4729</v>
      </c>
      <c r="L1573">
        <v>0</v>
      </c>
      <c r="M1573">
        <v>28374</v>
      </c>
      <c r="N1573">
        <v>0</v>
      </c>
      <c r="O1573">
        <v>28374</v>
      </c>
    </row>
    <row r="1574" spans="1:15" x14ac:dyDescent="0.3">
      <c r="A1574" t="s">
        <v>1586</v>
      </c>
      <c r="B1574" s="1">
        <v>45168</v>
      </c>
      <c r="C1574" t="s">
        <v>3580</v>
      </c>
      <c r="D1574" t="s">
        <v>4000</v>
      </c>
      <c r="E1574">
        <v>48</v>
      </c>
      <c r="F1574" t="str">
        <f t="shared" si="24"/>
        <v>46+</v>
      </c>
      <c r="G1574" t="s">
        <v>4005</v>
      </c>
      <c r="H1574" t="s">
        <v>4011</v>
      </c>
      <c r="I1574" t="s">
        <v>4016</v>
      </c>
      <c r="J1574">
        <v>1</v>
      </c>
      <c r="K1574">
        <v>5222</v>
      </c>
      <c r="L1574">
        <v>10</v>
      </c>
      <c r="M1574">
        <v>5222</v>
      </c>
      <c r="N1574">
        <v>522.20000000000005</v>
      </c>
      <c r="O1574">
        <v>4699.8</v>
      </c>
    </row>
    <row r="1575" spans="1:15" x14ac:dyDescent="0.3">
      <c r="A1575" t="s">
        <v>1587</v>
      </c>
      <c r="B1575" s="1">
        <v>45129</v>
      </c>
      <c r="C1575" t="s">
        <v>3581</v>
      </c>
      <c r="D1575" t="s">
        <v>4000</v>
      </c>
      <c r="E1575">
        <v>57</v>
      </c>
      <c r="F1575" t="str">
        <f t="shared" si="24"/>
        <v>46+</v>
      </c>
      <c r="G1575" t="s">
        <v>4001</v>
      </c>
      <c r="H1575" t="s">
        <v>4007</v>
      </c>
      <c r="I1575" t="s">
        <v>4017</v>
      </c>
      <c r="J1575">
        <v>7</v>
      </c>
      <c r="K1575">
        <v>448</v>
      </c>
      <c r="L1575">
        <v>5</v>
      </c>
      <c r="M1575">
        <v>3136</v>
      </c>
      <c r="N1575">
        <v>156.80000000000001</v>
      </c>
      <c r="O1575">
        <v>2979.2</v>
      </c>
    </row>
    <row r="1576" spans="1:15" x14ac:dyDescent="0.3">
      <c r="A1576" t="s">
        <v>1588</v>
      </c>
      <c r="B1576" s="1">
        <v>45143</v>
      </c>
      <c r="C1576" t="s">
        <v>3582</v>
      </c>
      <c r="D1576" t="s">
        <v>4000</v>
      </c>
      <c r="E1576">
        <v>35</v>
      </c>
      <c r="F1576" t="str">
        <f t="shared" si="24"/>
        <v>26-35</v>
      </c>
      <c r="G1576" t="s">
        <v>4006</v>
      </c>
      <c r="H1576" t="s">
        <v>4011</v>
      </c>
      <c r="I1576" t="s">
        <v>4013</v>
      </c>
      <c r="J1576">
        <v>5</v>
      </c>
      <c r="K1576">
        <v>2675</v>
      </c>
      <c r="L1576">
        <v>15</v>
      </c>
      <c r="M1576">
        <v>13375</v>
      </c>
      <c r="N1576">
        <v>2006.25</v>
      </c>
      <c r="O1576">
        <v>11368.75</v>
      </c>
    </row>
    <row r="1577" spans="1:15" x14ac:dyDescent="0.3">
      <c r="A1577" t="s">
        <v>1589</v>
      </c>
      <c r="B1577" s="1">
        <v>44973</v>
      </c>
      <c r="C1577" t="s">
        <v>2395</v>
      </c>
      <c r="D1577" t="s">
        <v>4000</v>
      </c>
      <c r="E1577">
        <v>26</v>
      </c>
      <c r="F1577" t="str">
        <f t="shared" si="24"/>
        <v>26-35</v>
      </c>
      <c r="G1577" t="s">
        <v>4006</v>
      </c>
      <c r="H1577" t="s">
        <v>4007</v>
      </c>
      <c r="I1577" t="s">
        <v>4014</v>
      </c>
      <c r="J1577">
        <v>3</v>
      </c>
      <c r="K1577">
        <v>5975</v>
      </c>
      <c r="L1577">
        <v>0</v>
      </c>
      <c r="M1577">
        <v>17925</v>
      </c>
      <c r="N1577">
        <v>0</v>
      </c>
      <c r="O1577">
        <v>17925</v>
      </c>
    </row>
    <row r="1578" spans="1:15" x14ac:dyDescent="0.3">
      <c r="A1578" t="s">
        <v>1590</v>
      </c>
      <c r="B1578" s="1">
        <v>45048</v>
      </c>
      <c r="C1578" t="s">
        <v>3583</v>
      </c>
      <c r="D1578" t="s">
        <v>3999</v>
      </c>
      <c r="E1578">
        <v>59</v>
      </c>
      <c r="F1578" t="str">
        <f t="shared" si="24"/>
        <v>46+</v>
      </c>
      <c r="G1578" t="s">
        <v>4001</v>
      </c>
      <c r="H1578" t="s">
        <v>4009</v>
      </c>
      <c r="I1578" t="s">
        <v>4013</v>
      </c>
      <c r="J1578">
        <v>1</v>
      </c>
      <c r="K1578">
        <v>2260</v>
      </c>
      <c r="L1578">
        <v>0</v>
      </c>
      <c r="M1578">
        <v>2260</v>
      </c>
      <c r="N1578">
        <v>0</v>
      </c>
      <c r="O1578">
        <v>2260</v>
      </c>
    </row>
    <row r="1579" spans="1:15" x14ac:dyDescent="0.3">
      <c r="A1579" t="s">
        <v>1591</v>
      </c>
      <c r="B1579" s="1">
        <v>44951</v>
      </c>
      <c r="C1579" t="s">
        <v>3584</v>
      </c>
      <c r="D1579" t="s">
        <v>4000</v>
      </c>
      <c r="E1579">
        <v>35</v>
      </c>
      <c r="F1579" t="str">
        <f t="shared" si="24"/>
        <v>26-35</v>
      </c>
      <c r="G1579" t="s">
        <v>4006</v>
      </c>
      <c r="H1579" t="s">
        <v>4010</v>
      </c>
      <c r="I1579" t="s">
        <v>4017</v>
      </c>
      <c r="J1579">
        <v>4</v>
      </c>
      <c r="K1579">
        <v>4747</v>
      </c>
      <c r="L1579">
        <v>0</v>
      </c>
      <c r="M1579">
        <v>18988</v>
      </c>
      <c r="N1579">
        <v>0</v>
      </c>
      <c r="O1579">
        <v>18988</v>
      </c>
    </row>
    <row r="1580" spans="1:15" x14ac:dyDescent="0.3">
      <c r="A1580" t="s">
        <v>1592</v>
      </c>
      <c r="B1580" s="1">
        <v>44575</v>
      </c>
      <c r="C1580" t="s">
        <v>3585</v>
      </c>
      <c r="D1580" t="s">
        <v>4000</v>
      </c>
      <c r="E1580">
        <v>31</v>
      </c>
      <c r="F1580" t="str">
        <f t="shared" si="24"/>
        <v>26-35</v>
      </c>
      <c r="G1580" t="s">
        <v>4002</v>
      </c>
      <c r="H1580" t="s">
        <v>4011</v>
      </c>
      <c r="I1580" t="s">
        <v>4013</v>
      </c>
      <c r="J1580">
        <v>3</v>
      </c>
      <c r="K1580">
        <v>6286</v>
      </c>
      <c r="L1580">
        <v>0</v>
      </c>
      <c r="M1580">
        <v>18858</v>
      </c>
      <c r="N1580">
        <v>0</v>
      </c>
      <c r="O1580">
        <v>18858</v>
      </c>
    </row>
    <row r="1581" spans="1:15" x14ac:dyDescent="0.3">
      <c r="A1581" t="s">
        <v>1593</v>
      </c>
      <c r="B1581" s="1">
        <v>44693</v>
      </c>
      <c r="C1581" t="s">
        <v>3586</v>
      </c>
      <c r="D1581" t="s">
        <v>3999</v>
      </c>
      <c r="E1581">
        <v>31</v>
      </c>
      <c r="F1581" t="str">
        <f t="shared" si="24"/>
        <v>26-35</v>
      </c>
      <c r="G1581" t="s">
        <v>4005</v>
      </c>
      <c r="H1581" t="s">
        <v>4007</v>
      </c>
      <c r="I1581" t="s">
        <v>4017</v>
      </c>
      <c r="J1581">
        <v>7</v>
      </c>
      <c r="K1581">
        <v>5650</v>
      </c>
      <c r="L1581">
        <v>0</v>
      </c>
      <c r="M1581">
        <v>39550</v>
      </c>
      <c r="N1581">
        <v>0</v>
      </c>
      <c r="O1581">
        <v>39550</v>
      </c>
    </row>
    <row r="1582" spans="1:15" x14ac:dyDescent="0.3">
      <c r="A1582" t="s">
        <v>1594</v>
      </c>
      <c r="B1582" s="1">
        <v>45221</v>
      </c>
      <c r="C1582" t="s">
        <v>3587</v>
      </c>
      <c r="D1582" t="s">
        <v>3999</v>
      </c>
      <c r="E1582">
        <v>22</v>
      </c>
      <c r="F1582" t="str">
        <f t="shared" si="24"/>
        <v>18-25</v>
      </c>
      <c r="G1582" t="s">
        <v>4003</v>
      </c>
      <c r="H1582" t="s">
        <v>4008</v>
      </c>
      <c r="I1582" t="s">
        <v>4016</v>
      </c>
      <c r="J1582">
        <v>4</v>
      </c>
      <c r="K1582">
        <v>6094</v>
      </c>
      <c r="L1582">
        <v>5</v>
      </c>
      <c r="M1582">
        <v>24376</v>
      </c>
      <c r="N1582">
        <v>1218.8</v>
      </c>
      <c r="O1582">
        <v>23157.200000000001</v>
      </c>
    </row>
    <row r="1583" spans="1:15" x14ac:dyDescent="0.3">
      <c r="A1583" t="s">
        <v>1595</v>
      </c>
      <c r="B1583" s="1">
        <v>44798</v>
      </c>
      <c r="C1583" t="s">
        <v>3588</v>
      </c>
      <c r="D1583" t="s">
        <v>3999</v>
      </c>
      <c r="E1583">
        <v>62</v>
      </c>
      <c r="F1583" t="str">
        <f t="shared" si="24"/>
        <v>46+</v>
      </c>
      <c r="G1583" t="s">
        <v>4006</v>
      </c>
      <c r="H1583" t="s">
        <v>4008</v>
      </c>
      <c r="I1583" t="s">
        <v>4013</v>
      </c>
      <c r="J1583">
        <v>5</v>
      </c>
      <c r="K1583">
        <v>2077</v>
      </c>
      <c r="L1583">
        <v>15</v>
      </c>
      <c r="M1583">
        <v>10385</v>
      </c>
      <c r="N1583">
        <v>1557.75</v>
      </c>
      <c r="O1583">
        <v>8827.25</v>
      </c>
    </row>
    <row r="1584" spans="1:15" x14ac:dyDescent="0.3">
      <c r="A1584" t="s">
        <v>1596</v>
      </c>
      <c r="B1584" s="1">
        <v>45083</v>
      </c>
      <c r="C1584" t="s">
        <v>3589</v>
      </c>
      <c r="D1584" t="s">
        <v>3999</v>
      </c>
      <c r="E1584">
        <v>57</v>
      </c>
      <c r="F1584" t="str">
        <f t="shared" si="24"/>
        <v>46+</v>
      </c>
      <c r="G1584" t="s">
        <v>4006</v>
      </c>
      <c r="H1584" t="s">
        <v>4007</v>
      </c>
      <c r="I1584" t="s">
        <v>4017</v>
      </c>
      <c r="J1584">
        <v>5</v>
      </c>
      <c r="K1584">
        <v>3519</v>
      </c>
      <c r="L1584">
        <v>0</v>
      </c>
      <c r="M1584">
        <v>17595</v>
      </c>
      <c r="N1584">
        <v>0</v>
      </c>
      <c r="O1584">
        <v>17595</v>
      </c>
    </row>
    <row r="1585" spans="1:15" x14ac:dyDescent="0.3">
      <c r="A1585" t="s">
        <v>1597</v>
      </c>
      <c r="B1585" s="1">
        <v>44700</v>
      </c>
      <c r="C1585" t="s">
        <v>3590</v>
      </c>
      <c r="D1585" t="s">
        <v>3999</v>
      </c>
      <c r="E1585">
        <v>52</v>
      </c>
      <c r="F1585" t="str">
        <f t="shared" si="24"/>
        <v>46+</v>
      </c>
      <c r="G1585" t="s">
        <v>4002</v>
      </c>
      <c r="H1585" t="s">
        <v>4010</v>
      </c>
      <c r="I1585" t="s">
        <v>4015</v>
      </c>
      <c r="J1585">
        <v>5</v>
      </c>
      <c r="K1585">
        <v>6116</v>
      </c>
      <c r="L1585">
        <v>5</v>
      </c>
      <c r="M1585">
        <v>30580</v>
      </c>
      <c r="N1585">
        <v>1529</v>
      </c>
      <c r="O1585">
        <v>29051</v>
      </c>
    </row>
    <row r="1586" spans="1:15" x14ac:dyDescent="0.3">
      <c r="A1586" t="s">
        <v>1598</v>
      </c>
      <c r="B1586" s="1">
        <v>45117</v>
      </c>
      <c r="C1586" t="s">
        <v>3591</v>
      </c>
      <c r="D1586" t="s">
        <v>4000</v>
      </c>
      <c r="E1586">
        <v>24</v>
      </c>
      <c r="F1586" t="str">
        <f t="shared" si="24"/>
        <v>18-25</v>
      </c>
      <c r="G1586" t="s">
        <v>4001</v>
      </c>
      <c r="H1586" t="s">
        <v>4008</v>
      </c>
      <c r="I1586" t="s">
        <v>4014</v>
      </c>
      <c r="J1586">
        <v>7</v>
      </c>
      <c r="K1586">
        <v>4054</v>
      </c>
      <c r="L1586">
        <v>0</v>
      </c>
      <c r="M1586">
        <v>28378</v>
      </c>
      <c r="N1586">
        <v>0</v>
      </c>
      <c r="O1586">
        <v>28378</v>
      </c>
    </row>
    <row r="1587" spans="1:15" x14ac:dyDescent="0.3">
      <c r="A1587" t="s">
        <v>1599</v>
      </c>
      <c r="B1587" s="1">
        <v>45017</v>
      </c>
      <c r="C1587" t="s">
        <v>3592</v>
      </c>
      <c r="D1587" t="s">
        <v>3999</v>
      </c>
      <c r="E1587">
        <v>54</v>
      </c>
      <c r="F1587" t="str">
        <f t="shared" si="24"/>
        <v>46+</v>
      </c>
      <c r="G1587" t="s">
        <v>4006</v>
      </c>
      <c r="H1587" t="s">
        <v>4012</v>
      </c>
      <c r="I1587" t="s">
        <v>4015</v>
      </c>
      <c r="J1587">
        <v>6</v>
      </c>
      <c r="K1587">
        <v>4572</v>
      </c>
      <c r="L1587">
        <v>0</v>
      </c>
      <c r="M1587">
        <v>27432</v>
      </c>
      <c r="N1587">
        <v>0</v>
      </c>
      <c r="O1587">
        <v>27432</v>
      </c>
    </row>
    <row r="1588" spans="1:15" x14ac:dyDescent="0.3">
      <c r="A1588" t="s">
        <v>1600</v>
      </c>
      <c r="B1588" s="1">
        <v>45262</v>
      </c>
      <c r="C1588" t="s">
        <v>3593</v>
      </c>
      <c r="D1588" t="s">
        <v>4000</v>
      </c>
      <c r="E1588">
        <v>53</v>
      </c>
      <c r="F1588" t="str">
        <f t="shared" si="24"/>
        <v>46+</v>
      </c>
      <c r="G1588" t="s">
        <v>4003</v>
      </c>
      <c r="H1588" t="s">
        <v>4007</v>
      </c>
      <c r="I1588" t="s">
        <v>4017</v>
      </c>
      <c r="J1588">
        <v>1</v>
      </c>
      <c r="K1588">
        <v>1378</v>
      </c>
      <c r="L1588">
        <v>15</v>
      </c>
      <c r="M1588">
        <v>1378</v>
      </c>
      <c r="N1588">
        <v>206.7</v>
      </c>
      <c r="O1588">
        <v>1171.3</v>
      </c>
    </row>
    <row r="1589" spans="1:15" x14ac:dyDescent="0.3">
      <c r="A1589" t="s">
        <v>1601</v>
      </c>
      <c r="B1589" s="1">
        <v>45054</v>
      </c>
      <c r="C1589" t="s">
        <v>3594</v>
      </c>
      <c r="D1589" t="s">
        <v>4000</v>
      </c>
      <c r="E1589">
        <v>28</v>
      </c>
      <c r="F1589" t="str">
        <f t="shared" si="24"/>
        <v>26-35</v>
      </c>
      <c r="G1589" t="s">
        <v>4001</v>
      </c>
      <c r="H1589" t="s">
        <v>4007</v>
      </c>
      <c r="I1589" t="s">
        <v>4015</v>
      </c>
      <c r="J1589">
        <v>4</v>
      </c>
      <c r="K1589">
        <v>1803</v>
      </c>
      <c r="L1589">
        <v>15</v>
      </c>
      <c r="M1589">
        <v>7212</v>
      </c>
      <c r="N1589">
        <v>1081.8</v>
      </c>
      <c r="O1589">
        <v>6130.2</v>
      </c>
    </row>
    <row r="1590" spans="1:15" x14ac:dyDescent="0.3">
      <c r="A1590" t="s">
        <v>1602</v>
      </c>
      <c r="B1590" s="1">
        <v>44820</v>
      </c>
      <c r="C1590" t="s">
        <v>3595</v>
      </c>
      <c r="D1590" t="s">
        <v>4000</v>
      </c>
      <c r="E1590">
        <v>26</v>
      </c>
      <c r="F1590" t="str">
        <f t="shared" si="24"/>
        <v>26-35</v>
      </c>
      <c r="G1590" t="s">
        <v>4001</v>
      </c>
      <c r="H1590" t="s">
        <v>4010</v>
      </c>
      <c r="I1590" t="s">
        <v>4016</v>
      </c>
      <c r="J1590">
        <v>1</v>
      </c>
      <c r="K1590">
        <v>7626</v>
      </c>
      <c r="L1590">
        <v>15</v>
      </c>
      <c r="M1590">
        <v>7626</v>
      </c>
      <c r="N1590">
        <v>1143.9000000000001</v>
      </c>
      <c r="O1590">
        <v>6482.1</v>
      </c>
    </row>
    <row r="1591" spans="1:15" x14ac:dyDescent="0.3">
      <c r="A1591" t="s">
        <v>1603</v>
      </c>
      <c r="B1591" s="1">
        <v>44654</v>
      </c>
      <c r="C1591" t="s">
        <v>3596</v>
      </c>
      <c r="D1591" t="s">
        <v>4000</v>
      </c>
      <c r="E1591">
        <v>35</v>
      </c>
      <c r="F1591" t="str">
        <f t="shared" si="24"/>
        <v>26-35</v>
      </c>
      <c r="G1591" t="s">
        <v>4003</v>
      </c>
      <c r="H1591" t="s">
        <v>4010</v>
      </c>
      <c r="I1591" t="s">
        <v>4013</v>
      </c>
      <c r="J1591">
        <v>3</v>
      </c>
      <c r="K1591">
        <v>6928</v>
      </c>
      <c r="L1591">
        <v>10</v>
      </c>
      <c r="M1591">
        <v>20784</v>
      </c>
      <c r="N1591">
        <v>2078.4</v>
      </c>
      <c r="O1591">
        <v>18705.599999999999</v>
      </c>
    </row>
    <row r="1592" spans="1:15" x14ac:dyDescent="0.3">
      <c r="A1592" t="s">
        <v>1604</v>
      </c>
      <c r="B1592" s="1">
        <v>44729</v>
      </c>
      <c r="C1592" t="s">
        <v>3597</v>
      </c>
      <c r="D1592" t="s">
        <v>3999</v>
      </c>
      <c r="E1592">
        <v>28</v>
      </c>
      <c r="F1592" t="str">
        <f t="shared" si="24"/>
        <v>26-35</v>
      </c>
      <c r="G1592" t="s">
        <v>4001</v>
      </c>
      <c r="H1592" t="s">
        <v>4010</v>
      </c>
      <c r="I1592" t="s">
        <v>4017</v>
      </c>
      <c r="J1592">
        <v>5</v>
      </c>
      <c r="K1592">
        <v>6234</v>
      </c>
      <c r="L1592">
        <v>0</v>
      </c>
      <c r="M1592">
        <v>31170</v>
      </c>
      <c r="N1592">
        <v>0</v>
      </c>
      <c r="O1592">
        <v>31170</v>
      </c>
    </row>
    <row r="1593" spans="1:15" x14ac:dyDescent="0.3">
      <c r="A1593" t="s">
        <v>1605</v>
      </c>
      <c r="B1593" s="1">
        <v>44810</v>
      </c>
      <c r="C1593" t="s">
        <v>3598</v>
      </c>
      <c r="D1593" t="s">
        <v>4000</v>
      </c>
      <c r="E1593">
        <v>47</v>
      </c>
      <c r="F1593" t="str">
        <f t="shared" si="24"/>
        <v>46+</v>
      </c>
      <c r="G1593" t="s">
        <v>4001</v>
      </c>
      <c r="H1593" t="s">
        <v>4010</v>
      </c>
      <c r="I1593" t="s">
        <v>4013</v>
      </c>
      <c r="J1593">
        <v>4</v>
      </c>
      <c r="K1593">
        <v>2386</v>
      </c>
      <c r="L1593">
        <v>5</v>
      </c>
      <c r="M1593">
        <v>9544</v>
      </c>
      <c r="N1593">
        <v>477.2</v>
      </c>
      <c r="O1593">
        <v>9066.7999999999993</v>
      </c>
    </row>
    <row r="1594" spans="1:15" x14ac:dyDescent="0.3">
      <c r="A1594" t="s">
        <v>1606</v>
      </c>
      <c r="B1594" s="1">
        <v>45261</v>
      </c>
      <c r="C1594" t="s">
        <v>3599</v>
      </c>
      <c r="D1594" t="s">
        <v>4000</v>
      </c>
      <c r="E1594">
        <v>28</v>
      </c>
      <c r="F1594" t="str">
        <f t="shared" si="24"/>
        <v>26-35</v>
      </c>
      <c r="G1594" t="s">
        <v>4004</v>
      </c>
      <c r="H1594" t="s">
        <v>4008</v>
      </c>
      <c r="I1594" t="s">
        <v>4016</v>
      </c>
      <c r="J1594">
        <v>3</v>
      </c>
      <c r="K1594">
        <v>5105</v>
      </c>
      <c r="L1594">
        <v>15</v>
      </c>
      <c r="M1594">
        <v>15315</v>
      </c>
      <c r="N1594">
        <v>2297.25</v>
      </c>
      <c r="O1594">
        <v>13017.75</v>
      </c>
    </row>
    <row r="1595" spans="1:15" x14ac:dyDescent="0.3">
      <c r="A1595" t="s">
        <v>1607</v>
      </c>
      <c r="B1595" s="1">
        <v>45086</v>
      </c>
      <c r="C1595" t="s">
        <v>3600</v>
      </c>
      <c r="D1595" t="s">
        <v>4000</v>
      </c>
      <c r="E1595">
        <v>48</v>
      </c>
      <c r="F1595" t="str">
        <f t="shared" si="24"/>
        <v>46+</v>
      </c>
      <c r="G1595" t="s">
        <v>4002</v>
      </c>
      <c r="H1595" t="s">
        <v>4011</v>
      </c>
      <c r="I1595" t="s">
        <v>4013</v>
      </c>
      <c r="J1595">
        <v>4</v>
      </c>
      <c r="K1595">
        <v>3679</v>
      </c>
      <c r="L1595">
        <v>15</v>
      </c>
      <c r="M1595">
        <v>14716</v>
      </c>
      <c r="N1595">
        <v>2207.4</v>
      </c>
      <c r="O1595">
        <v>12508.6</v>
      </c>
    </row>
    <row r="1596" spans="1:15" x14ac:dyDescent="0.3">
      <c r="A1596" t="s">
        <v>1608</v>
      </c>
      <c r="B1596" s="1">
        <v>44706</v>
      </c>
      <c r="C1596" t="s">
        <v>3601</v>
      </c>
      <c r="D1596" t="s">
        <v>3999</v>
      </c>
      <c r="E1596">
        <v>46</v>
      </c>
      <c r="F1596" t="str">
        <f t="shared" si="24"/>
        <v>46+</v>
      </c>
      <c r="G1596" t="s">
        <v>4005</v>
      </c>
      <c r="H1596" t="s">
        <v>4008</v>
      </c>
      <c r="I1596" t="s">
        <v>4013</v>
      </c>
      <c r="J1596">
        <v>1</v>
      </c>
      <c r="K1596">
        <v>3477</v>
      </c>
      <c r="L1596">
        <v>5</v>
      </c>
      <c r="M1596">
        <v>3477</v>
      </c>
      <c r="N1596">
        <v>173.85</v>
      </c>
      <c r="O1596">
        <v>3303.15</v>
      </c>
    </row>
    <row r="1597" spans="1:15" x14ac:dyDescent="0.3">
      <c r="A1597" t="s">
        <v>1609</v>
      </c>
      <c r="B1597" s="1">
        <v>45104</v>
      </c>
      <c r="C1597" t="s">
        <v>3602</v>
      </c>
      <c r="D1597" t="s">
        <v>4000</v>
      </c>
      <c r="E1597">
        <v>54</v>
      </c>
      <c r="F1597" t="str">
        <f t="shared" si="24"/>
        <v>46+</v>
      </c>
      <c r="G1597" t="s">
        <v>4001</v>
      </c>
      <c r="H1597" t="s">
        <v>4008</v>
      </c>
      <c r="I1597" t="s">
        <v>4017</v>
      </c>
      <c r="J1597">
        <v>4</v>
      </c>
      <c r="K1597">
        <v>7112</v>
      </c>
      <c r="L1597">
        <v>10</v>
      </c>
      <c r="M1597">
        <v>28448</v>
      </c>
      <c r="N1597">
        <v>2844.8</v>
      </c>
      <c r="O1597">
        <v>25603.200000000001</v>
      </c>
    </row>
    <row r="1598" spans="1:15" x14ac:dyDescent="0.3">
      <c r="A1598" t="s">
        <v>1610</v>
      </c>
      <c r="B1598" s="1">
        <v>44908</v>
      </c>
      <c r="C1598" t="s">
        <v>3603</v>
      </c>
      <c r="D1598" t="s">
        <v>4000</v>
      </c>
      <c r="E1598">
        <v>30</v>
      </c>
      <c r="F1598" t="str">
        <f t="shared" si="24"/>
        <v>26-35</v>
      </c>
      <c r="G1598" t="s">
        <v>4003</v>
      </c>
      <c r="H1598" t="s">
        <v>4008</v>
      </c>
      <c r="I1598" t="s">
        <v>4013</v>
      </c>
      <c r="J1598">
        <v>2</v>
      </c>
      <c r="K1598">
        <v>6118</v>
      </c>
      <c r="L1598">
        <v>15</v>
      </c>
      <c r="M1598">
        <v>12236</v>
      </c>
      <c r="N1598">
        <v>1835.4</v>
      </c>
      <c r="O1598">
        <v>10400.6</v>
      </c>
    </row>
    <row r="1599" spans="1:15" x14ac:dyDescent="0.3">
      <c r="A1599" t="s">
        <v>1611</v>
      </c>
      <c r="B1599" s="1">
        <v>44996</v>
      </c>
      <c r="C1599" t="s">
        <v>3604</v>
      </c>
      <c r="D1599" t="s">
        <v>3999</v>
      </c>
      <c r="E1599">
        <v>35</v>
      </c>
      <c r="F1599" t="str">
        <f t="shared" si="24"/>
        <v>26-35</v>
      </c>
      <c r="G1599" t="s">
        <v>4006</v>
      </c>
      <c r="H1599" t="s">
        <v>4012</v>
      </c>
      <c r="I1599" t="s">
        <v>4014</v>
      </c>
      <c r="J1599">
        <v>7</v>
      </c>
      <c r="K1599">
        <v>6783</v>
      </c>
      <c r="L1599">
        <v>5</v>
      </c>
      <c r="M1599">
        <v>47481</v>
      </c>
      <c r="N1599">
        <v>2374.0500000000002</v>
      </c>
      <c r="O1599">
        <v>45106.95</v>
      </c>
    </row>
    <row r="1600" spans="1:15" x14ac:dyDescent="0.3">
      <c r="A1600" t="s">
        <v>1612</v>
      </c>
      <c r="B1600" s="1">
        <v>45210</v>
      </c>
      <c r="C1600" t="s">
        <v>3605</v>
      </c>
      <c r="D1600" t="s">
        <v>4000</v>
      </c>
      <c r="E1600">
        <v>59</v>
      </c>
      <c r="F1600" t="str">
        <f t="shared" si="24"/>
        <v>46+</v>
      </c>
      <c r="G1600" t="s">
        <v>4004</v>
      </c>
      <c r="H1600" t="s">
        <v>4009</v>
      </c>
      <c r="I1600" t="s">
        <v>4014</v>
      </c>
      <c r="J1600">
        <v>4</v>
      </c>
      <c r="K1600">
        <v>257</v>
      </c>
      <c r="L1600">
        <v>10</v>
      </c>
      <c r="M1600">
        <v>1028</v>
      </c>
      <c r="N1600">
        <v>102.8</v>
      </c>
      <c r="O1600">
        <v>925.2</v>
      </c>
    </row>
    <row r="1601" spans="1:15" x14ac:dyDescent="0.3">
      <c r="A1601" t="s">
        <v>1613</v>
      </c>
      <c r="B1601" s="1">
        <v>44836</v>
      </c>
      <c r="C1601" t="s">
        <v>3606</v>
      </c>
      <c r="D1601" t="s">
        <v>3999</v>
      </c>
      <c r="E1601">
        <v>26</v>
      </c>
      <c r="F1601" t="str">
        <f t="shared" si="24"/>
        <v>26-35</v>
      </c>
      <c r="G1601" t="s">
        <v>4001</v>
      </c>
      <c r="H1601" t="s">
        <v>4008</v>
      </c>
      <c r="I1601" t="s">
        <v>4017</v>
      </c>
      <c r="J1601">
        <v>2</v>
      </c>
      <c r="K1601">
        <v>4356</v>
      </c>
      <c r="L1601">
        <v>5</v>
      </c>
      <c r="M1601">
        <v>8712</v>
      </c>
      <c r="N1601">
        <v>435.6</v>
      </c>
      <c r="O1601">
        <v>8276.4</v>
      </c>
    </row>
    <row r="1602" spans="1:15" x14ac:dyDescent="0.3">
      <c r="A1602" t="s">
        <v>1614</v>
      </c>
      <c r="B1602" s="1">
        <v>44660</v>
      </c>
      <c r="C1602" t="s">
        <v>3607</v>
      </c>
      <c r="D1602" t="s">
        <v>4000</v>
      </c>
      <c r="E1602">
        <v>59</v>
      </c>
      <c r="F1602" t="str">
        <f t="shared" ref="F1602:F1665" si="25">IF(E1602&lt;=25,"18-25",IF(E1602&lt;=35,"26-35",IF(E1602&lt;=45,"36-45","46+")))</f>
        <v>46+</v>
      </c>
      <c r="G1602" t="s">
        <v>4004</v>
      </c>
      <c r="H1602" t="s">
        <v>4008</v>
      </c>
      <c r="I1602" t="s">
        <v>4014</v>
      </c>
      <c r="J1602">
        <v>5</v>
      </c>
      <c r="K1602">
        <v>3259</v>
      </c>
      <c r="L1602">
        <v>5</v>
      </c>
      <c r="M1602">
        <v>16295</v>
      </c>
      <c r="N1602">
        <v>814.75</v>
      </c>
      <c r="O1602">
        <v>15480.25</v>
      </c>
    </row>
    <row r="1603" spans="1:15" x14ac:dyDescent="0.3">
      <c r="A1603" t="s">
        <v>1615</v>
      </c>
      <c r="B1603" s="1">
        <v>44777</v>
      </c>
      <c r="C1603" t="s">
        <v>3608</v>
      </c>
      <c r="D1603" t="s">
        <v>4000</v>
      </c>
      <c r="E1603">
        <v>40</v>
      </c>
      <c r="F1603" t="str">
        <f t="shared" si="25"/>
        <v>36-45</v>
      </c>
      <c r="G1603" t="s">
        <v>4001</v>
      </c>
      <c r="H1603" t="s">
        <v>4008</v>
      </c>
      <c r="I1603" t="s">
        <v>4013</v>
      </c>
      <c r="J1603">
        <v>5</v>
      </c>
      <c r="K1603">
        <v>5318</v>
      </c>
      <c r="L1603">
        <v>10</v>
      </c>
      <c r="M1603">
        <v>26590</v>
      </c>
      <c r="N1603">
        <v>2659</v>
      </c>
      <c r="O1603">
        <v>23931</v>
      </c>
    </row>
    <row r="1604" spans="1:15" x14ac:dyDescent="0.3">
      <c r="A1604" t="s">
        <v>1616</v>
      </c>
      <c r="B1604" s="1">
        <v>45225</v>
      </c>
      <c r="C1604" t="s">
        <v>3609</v>
      </c>
      <c r="D1604" t="s">
        <v>4000</v>
      </c>
      <c r="E1604">
        <v>49</v>
      </c>
      <c r="F1604" t="str">
        <f t="shared" si="25"/>
        <v>46+</v>
      </c>
      <c r="G1604" t="s">
        <v>4004</v>
      </c>
      <c r="H1604" t="s">
        <v>4007</v>
      </c>
      <c r="I1604" t="s">
        <v>4013</v>
      </c>
      <c r="J1604">
        <v>5</v>
      </c>
      <c r="K1604">
        <v>7187</v>
      </c>
      <c r="L1604">
        <v>10</v>
      </c>
      <c r="M1604">
        <v>35935</v>
      </c>
      <c r="N1604">
        <v>3593.5</v>
      </c>
      <c r="O1604">
        <v>32341.5</v>
      </c>
    </row>
    <row r="1605" spans="1:15" x14ac:dyDescent="0.3">
      <c r="A1605" t="s">
        <v>1617</v>
      </c>
      <c r="B1605" s="1">
        <v>44565</v>
      </c>
      <c r="C1605" t="s">
        <v>3610</v>
      </c>
      <c r="D1605" t="s">
        <v>3999</v>
      </c>
      <c r="E1605">
        <v>42</v>
      </c>
      <c r="F1605" t="str">
        <f t="shared" si="25"/>
        <v>36-45</v>
      </c>
      <c r="G1605" t="s">
        <v>4004</v>
      </c>
      <c r="H1605" t="s">
        <v>4010</v>
      </c>
      <c r="I1605" t="s">
        <v>4015</v>
      </c>
      <c r="J1605">
        <v>6</v>
      </c>
      <c r="K1605">
        <v>2824</v>
      </c>
      <c r="L1605">
        <v>10</v>
      </c>
      <c r="M1605">
        <v>16944</v>
      </c>
      <c r="N1605">
        <v>1694.4</v>
      </c>
      <c r="O1605">
        <v>15249.6</v>
      </c>
    </row>
    <row r="1606" spans="1:15" x14ac:dyDescent="0.3">
      <c r="A1606" t="s">
        <v>1618</v>
      </c>
      <c r="B1606" s="1">
        <v>45287</v>
      </c>
      <c r="C1606" t="s">
        <v>3611</v>
      </c>
      <c r="D1606" t="s">
        <v>3999</v>
      </c>
      <c r="E1606">
        <v>50</v>
      </c>
      <c r="F1606" t="str">
        <f t="shared" si="25"/>
        <v>46+</v>
      </c>
      <c r="G1606" t="s">
        <v>4005</v>
      </c>
      <c r="H1606" t="s">
        <v>4009</v>
      </c>
      <c r="I1606" t="s">
        <v>4017</v>
      </c>
      <c r="J1606">
        <v>6</v>
      </c>
      <c r="K1606">
        <v>1204</v>
      </c>
      <c r="L1606">
        <v>0</v>
      </c>
      <c r="M1606">
        <v>7224</v>
      </c>
      <c r="N1606">
        <v>0</v>
      </c>
      <c r="O1606">
        <v>7224</v>
      </c>
    </row>
    <row r="1607" spans="1:15" x14ac:dyDescent="0.3">
      <c r="A1607" t="s">
        <v>1619</v>
      </c>
      <c r="B1607" s="1">
        <v>45260</v>
      </c>
      <c r="C1607" t="s">
        <v>3612</v>
      </c>
      <c r="D1607" t="s">
        <v>3999</v>
      </c>
      <c r="E1607">
        <v>24</v>
      </c>
      <c r="F1607" t="str">
        <f t="shared" si="25"/>
        <v>18-25</v>
      </c>
      <c r="G1607" t="s">
        <v>4003</v>
      </c>
      <c r="H1607" t="s">
        <v>4011</v>
      </c>
      <c r="I1607" t="s">
        <v>4014</v>
      </c>
      <c r="J1607">
        <v>1</v>
      </c>
      <c r="K1607">
        <v>5463</v>
      </c>
      <c r="L1607">
        <v>0</v>
      </c>
      <c r="M1607">
        <v>5463</v>
      </c>
      <c r="N1607">
        <v>0</v>
      </c>
      <c r="O1607">
        <v>5463</v>
      </c>
    </row>
    <row r="1608" spans="1:15" x14ac:dyDescent="0.3">
      <c r="A1608" t="s">
        <v>1620</v>
      </c>
      <c r="B1608" s="1">
        <v>45219</v>
      </c>
      <c r="C1608" t="s">
        <v>3613</v>
      </c>
      <c r="D1608" t="s">
        <v>4000</v>
      </c>
      <c r="E1608">
        <v>44</v>
      </c>
      <c r="F1608" t="str">
        <f t="shared" si="25"/>
        <v>36-45</v>
      </c>
      <c r="G1608" t="s">
        <v>4006</v>
      </c>
      <c r="H1608" t="s">
        <v>4008</v>
      </c>
      <c r="I1608" t="s">
        <v>4017</v>
      </c>
      <c r="J1608">
        <v>1</v>
      </c>
      <c r="K1608">
        <v>3659</v>
      </c>
      <c r="L1608">
        <v>10</v>
      </c>
      <c r="M1608">
        <v>3659</v>
      </c>
      <c r="N1608">
        <v>365.9</v>
      </c>
      <c r="O1608">
        <v>3293.1</v>
      </c>
    </row>
    <row r="1609" spans="1:15" x14ac:dyDescent="0.3">
      <c r="A1609" t="s">
        <v>1621</v>
      </c>
      <c r="B1609" s="1">
        <v>45251</v>
      </c>
      <c r="C1609" t="s">
        <v>3614</v>
      </c>
      <c r="D1609" t="s">
        <v>3999</v>
      </c>
      <c r="E1609">
        <v>37</v>
      </c>
      <c r="F1609" t="str">
        <f t="shared" si="25"/>
        <v>36-45</v>
      </c>
      <c r="G1609" t="s">
        <v>4003</v>
      </c>
      <c r="H1609" t="s">
        <v>4007</v>
      </c>
      <c r="I1609" t="s">
        <v>4016</v>
      </c>
      <c r="J1609">
        <v>7</v>
      </c>
      <c r="K1609">
        <v>4234</v>
      </c>
      <c r="L1609">
        <v>10</v>
      </c>
      <c r="M1609">
        <v>29638</v>
      </c>
      <c r="N1609">
        <v>2963.8</v>
      </c>
      <c r="O1609">
        <v>26674.2</v>
      </c>
    </row>
    <row r="1610" spans="1:15" x14ac:dyDescent="0.3">
      <c r="A1610" t="s">
        <v>1622</v>
      </c>
      <c r="B1610" s="1">
        <v>44943</v>
      </c>
      <c r="C1610" t="s">
        <v>3615</v>
      </c>
      <c r="D1610" t="s">
        <v>4000</v>
      </c>
      <c r="E1610">
        <v>59</v>
      </c>
      <c r="F1610" t="str">
        <f t="shared" si="25"/>
        <v>46+</v>
      </c>
      <c r="G1610" t="s">
        <v>4005</v>
      </c>
      <c r="H1610" t="s">
        <v>4009</v>
      </c>
      <c r="I1610" t="s">
        <v>4016</v>
      </c>
      <c r="J1610">
        <v>4</v>
      </c>
      <c r="K1610">
        <v>5918</v>
      </c>
      <c r="L1610">
        <v>10</v>
      </c>
      <c r="M1610">
        <v>23672</v>
      </c>
      <c r="N1610">
        <v>2367.1999999999998</v>
      </c>
      <c r="O1610">
        <v>21304.799999999999</v>
      </c>
    </row>
    <row r="1611" spans="1:15" x14ac:dyDescent="0.3">
      <c r="A1611" t="s">
        <v>1623</v>
      </c>
      <c r="B1611" s="1">
        <v>45067</v>
      </c>
      <c r="C1611" t="s">
        <v>3616</v>
      </c>
      <c r="D1611" t="s">
        <v>4000</v>
      </c>
      <c r="E1611">
        <v>47</v>
      </c>
      <c r="F1611" t="str">
        <f t="shared" si="25"/>
        <v>46+</v>
      </c>
      <c r="G1611" t="s">
        <v>4001</v>
      </c>
      <c r="H1611" t="s">
        <v>4010</v>
      </c>
      <c r="I1611" t="s">
        <v>4015</v>
      </c>
      <c r="J1611">
        <v>2</v>
      </c>
      <c r="K1611">
        <v>3439</v>
      </c>
      <c r="L1611">
        <v>15</v>
      </c>
      <c r="M1611">
        <v>6878</v>
      </c>
      <c r="N1611">
        <v>1031.7</v>
      </c>
      <c r="O1611">
        <v>5846.3</v>
      </c>
    </row>
    <row r="1612" spans="1:15" x14ac:dyDescent="0.3">
      <c r="A1612" t="s">
        <v>1624</v>
      </c>
      <c r="B1612" s="1">
        <v>44603</v>
      </c>
      <c r="C1612" t="s">
        <v>3617</v>
      </c>
      <c r="D1612" t="s">
        <v>3999</v>
      </c>
      <c r="E1612">
        <v>49</v>
      </c>
      <c r="F1612" t="str">
        <f t="shared" si="25"/>
        <v>46+</v>
      </c>
      <c r="G1612" t="s">
        <v>4004</v>
      </c>
      <c r="H1612" t="s">
        <v>4007</v>
      </c>
      <c r="I1612" t="s">
        <v>4013</v>
      </c>
      <c r="J1612">
        <v>4</v>
      </c>
      <c r="K1612">
        <v>4946</v>
      </c>
      <c r="L1612">
        <v>0</v>
      </c>
      <c r="M1612">
        <v>19784</v>
      </c>
      <c r="N1612">
        <v>0</v>
      </c>
      <c r="O1612">
        <v>19784</v>
      </c>
    </row>
    <row r="1613" spans="1:15" x14ac:dyDescent="0.3">
      <c r="A1613" t="s">
        <v>1625</v>
      </c>
      <c r="B1613" s="1">
        <v>44951</v>
      </c>
      <c r="C1613" t="s">
        <v>2158</v>
      </c>
      <c r="D1613" t="s">
        <v>3999</v>
      </c>
      <c r="E1613">
        <v>25</v>
      </c>
      <c r="F1613" t="str">
        <f t="shared" si="25"/>
        <v>18-25</v>
      </c>
      <c r="G1613" t="s">
        <v>4005</v>
      </c>
      <c r="H1613" t="s">
        <v>4010</v>
      </c>
      <c r="I1613" t="s">
        <v>4017</v>
      </c>
      <c r="J1613">
        <v>1</v>
      </c>
      <c r="K1613">
        <v>4755</v>
      </c>
      <c r="L1613">
        <v>0</v>
      </c>
      <c r="M1613">
        <v>4755</v>
      </c>
      <c r="N1613">
        <v>0</v>
      </c>
      <c r="O1613">
        <v>4755</v>
      </c>
    </row>
    <row r="1614" spans="1:15" x14ac:dyDescent="0.3">
      <c r="A1614" t="s">
        <v>1626</v>
      </c>
      <c r="B1614" s="1">
        <v>44869</v>
      </c>
      <c r="C1614" t="s">
        <v>3618</v>
      </c>
      <c r="D1614" t="s">
        <v>3999</v>
      </c>
      <c r="E1614">
        <v>28</v>
      </c>
      <c r="F1614" t="str">
        <f t="shared" si="25"/>
        <v>26-35</v>
      </c>
      <c r="G1614" t="s">
        <v>4002</v>
      </c>
      <c r="H1614" t="s">
        <v>4009</v>
      </c>
      <c r="I1614" t="s">
        <v>4015</v>
      </c>
      <c r="J1614">
        <v>5</v>
      </c>
      <c r="K1614">
        <v>5094</v>
      </c>
      <c r="L1614">
        <v>0</v>
      </c>
      <c r="M1614">
        <v>25470</v>
      </c>
      <c r="N1614">
        <v>0</v>
      </c>
      <c r="O1614">
        <v>25470</v>
      </c>
    </row>
    <row r="1615" spans="1:15" x14ac:dyDescent="0.3">
      <c r="A1615" t="s">
        <v>1627</v>
      </c>
      <c r="B1615" s="1">
        <v>44786</v>
      </c>
      <c r="C1615" t="s">
        <v>3619</v>
      </c>
      <c r="D1615" t="s">
        <v>3999</v>
      </c>
      <c r="E1615">
        <v>42</v>
      </c>
      <c r="F1615" t="str">
        <f t="shared" si="25"/>
        <v>36-45</v>
      </c>
      <c r="G1615" t="s">
        <v>4003</v>
      </c>
      <c r="H1615" t="s">
        <v>4008</v>
      </c>
      <c r="I1615" t="s">
        <v>4014</v>
      </c>
      <c r="J1615">
        <v>2</v>
      </c>
      <c r="K1615">
        <v>2313</v>
      </c>
      <c r="L1615">
        <v>0</v>
      </c>
      <c r="M1615">
        <v>4626</v>
      </c>
      <c r="N1615">
        <v>0</v>
      </c>
      <c r="O1615">
        <v>4626</v>
      </c>
    </row>
    <row r="1616" spans="1:15" x14ac:dyDescent="0.3">
      <c r="A1616" t="s">
        <v>1628</v>
      </c>
      <c r="B1616" s="1">
        <v>44852</v>
      </c>
      <c r="C1616" t="s">
        <v>3620</v>
      </c>
      <c r="D1616" t="s">
        <v>3999</v>
      </c>
      <c r="E1616">
        <v>45</v>
      </c>
      <c r="F1616" t="str">
        <f t="shared" si="25"/>
        <v>36-45</v>
      </c>
      <c r="G1616" t="s">
        <v>4004</v>
      </c>
      <c r="H1616" t="s">
        <v>4011</v>
      </c>
      <c r="I1616" t="s">
        <v>4014</v>
      </c>
      <c r="J1616">
        <v>3</v>
      </c>
      <c r="K1616">
        <v>4083</v>
      </c>
      <c r="L1616">
        <v>10</v>
      </c>
      <c r="M1616">
        <v>12249</v>
      </c>
      <c r="N1616">
        <v>1224.9000000000001</v>
      </c>
      <c r="O1616">
        <v>11024.1</v>
      </c>
    </row>
    <row r="1617" spans="1:15" x14ac:dyDescent="0.3">
      <c r="A1617" t="s">
        <v>1629</v>
      </c>
      <c r="B1617" s="1">
        <v>44921</v>
      </c>
      <c r="C1617" t="s">
        <v>3621</v>
      </c>
      <c r="D1617" t="s">
        <v>3999</v>
      </c>
      <c r="E1617">
        <v>24</v>
      </c>
      <c r="F1617" t="str">
        <f t="shared" si="25"/>
        <v>18-25</v>
      </c>
      <c r="G1617" t="s">
        <v>4005</v>
      </c>
      <c r="H1617" t="s">
        <v>4008</v>
      </c>
      <c r="I1617" t="s">
        <v>4013</v>
      </c>
      <c r="J1617">
        <v>2</v>
      </c>
      <c r="K1617">
        <v>5880</v>
      </c>
      <c r="L1617">
        <v>15</v>
      </c>
      <c r="M1617">
        <v>11760</v>
      </c>
      <c r="N1617">
        <v>1764</v>
      </c>
      <c r="O1617">
        <v>9996</v>
      </c>
    </row>
    <row r="1618" spans="1:15" x14ac:dyDescent="0.3">
      <c r="A1618" t="s">
        <v>1630</v>
      </c>
      <c r="B1618" s="1">
        <v>45055</v>
      </c>
      <c r="C1618" t="s">
        <v>3622</v>
      </c>
      <c r="D1618" t="s">
        <v>4000</v>
      </c>
      <c r="E1618">
        <v>37</v>
      </c>
      <c r="F1618" t="str">
        <f t="shared" si="25"/>
        <v>36-45</v>
      </c>
      <c r="G1618" t="s">
        <v>4003</v>
      </c>
      <c r="H1618" t="s">
        <v>4007</v>
      </c>
      <c r="I1618" t="s">
        <v>4014</v>
      </c>
      <c r="J1618">
        <v>1</v>
      </c>
      <c r="K1618">
        <v>2082</v>
      </c>
      <c r="L1618">
        <v>0</v>
      </c>
      <c r="M1618">
        <v>2082</v>
      </c>
      <c r="N1618">
        <v>0</v>
      </c>
      <c r="O1618">
        <v>2082</v>
      </c>
    </row>
    <row r="1619" spans="1:15" x14ac:dyDescent="0.3">
      <c r="A1619" t="s">
        <v>1631</v>
      </c>
      <c r="B1619" s="1">
        <v>44917</v>
      </c>
      <c r="C1619" t="s">
        <v>3623</v>
      </c>
      <c r="D1619" t="s">
        <v>4000</v>
      </c>
      <c r="E1619">
        <v>35</v>
      </c>
      <c r="F1619" t="str">
        <f t="shared" si="25"/>
        <v>26-35</v>
      </c>
      <c r="G1619" t="s">
        <v>4005</v>
      </c>
      <c r="H1619" t="s">
        <v>4010</v>
      </c>
      <c r="I1619" t="s">
        <v>4014</v>
      </c>
      <c r="J1619">
        <v>4</v>
      </c>
      <c r="K1619">
        <v>2760</v>
      </c>
      <c r="L1619">
        <v>5</v>
      </c>
      <c r="M1619">
        <v>11040</v>
      </c>
      <c r="N1619">
        <v>552</v>
      </c>
      <c r="O1619">
        <v>10488</v>
      </c>
    </row>
    <row r="1620" spans="1:15" x14ac:dyDescent="0.3">
      <c r="A1620" t="s">
        <v>1632</v>
      </c>
      <c r="B1620" s="1">
        <v>45102</v>
      </c>
      <c r="C1620" t="s">
        <v>3624</v>
      </c>
      <c r="D1620" t="s">
        <v>3999</v>
      </c>
      <c r="E1620">
        <v>33</v>
      </c>
      <c r="F1620" t="str">
        <f t="shared" si="25"/>
        <v>26-35</v>
      </c>
      <c r="G1620" t="s">
        <v>4005</v>
      </c>
      <c r="H1620" t="s">
        <v>4010</v>
      </c>
      <c r="I1620" t="s">
        <v>4016</v>
      </c>
      <c r="J1620">
        <v>3</v>
      </c>
      <c r="K1620">
        <v>4063</v>
      </c>
      <c r="L1620">
        <v>5</v>
      </c>
      <c r="M1620">
        <v>12189</v>
      </c>
      <c r="N1620">
        <v>609.45000000000005</v>
      </c>
      <c r="O1620">
        <v>11579.55</v>
      </c>
    </row>
    <row r="1621" spans="1:15" x14ac:dyDescent="0.3">
      <c r="A1621" t="s">
        <v>1633</v>
      </c>
      <c r="B1621" s="1">
        <v>44640</v>
      </c>
      <c r="C1621" t="s">
        <v>3625</v>
      </c>
      <c r="D1621" t="s">
        <v>3999</v>
      </c>
      <c r="E1621">
        <v>35</v>
      </c>
      <c r="F1621" t="str">
        <f t="shared" si="25"/>
        <v>26-35</v>
      </c>
      <c r="G1621" t="s">
        <v>4006</v>
      </c>
      <c r="H1621" t="s">
        <v>4008</v>
      </c>
      <c r="I1621" t="s">
        <v>4016</v>
      </c>
      <c r="J1621">
        <v>2</v>
      </c>
      <c r="K1621">
        <v>5572</v>
      </c>
      <c r="L1621">
        <v>0</v>
      </c>
      <c r="M1621">
        <v>11144</v>
      </c>
      <c r="N1621">
        <v>0</v>
      </c>
      <c r="O1621">
        <v>11144</v>
      </c>
    </row>
    <row r="1622" spans="1:15" x14ac:dyDescent="0.3">
      <c r="A1622" t="s">
        <v>1634</v>
      </c>
      <c r="B1622" s="1">
        <v>44886</v>
      </c>
      <c r="C1622" t="s">
        <v>3626</v>
      </c>
      <c r="D1622" t="s">
        <v>3999</v>
      </c>
      <c r="E1622">
        <v>34</v>
      </c>
      <c r="F1622" t="str">
        <f t="shared" si="25"/>
        <v>26-35</v>
      </c>
      <c r="G1622" t="s">
        <v>4001</v>
      </c>
      <c r="H1622" t="s">
        <v>4012</v>
      </c>
      <c r="I1622" t="s">
        <v>4013</v>
      </c>
      <c r="J1622">
        <v>1</v>
      </c>
      <c r="K1622">
        <v>7994</v>
      </c>
      <c r="L1622">
        <v>5</v>
      </c>
      <c r="M1622">
        <v>7994</v>
      </c>
      <c r="N1622">
        <v>399.7</v>
      </c>
      <c r="O1622">
        <v>7594.3</v>
      </c>
    </row>
    <row r="1623" spans="1:15" x14ac:dyDescent="0.3">
      <c r="A1623" t="s">
        <v>1635</v>
      </c>
      <c r="B1623" s="1">
        <v>45273</v>
      </c>
      <c r="C1623" t="s">
        <v>3627</v>
      </c>
      <c r="D1623" t="s">
        <v>3999</v>
      </c>
      <c r="E1623">
        <v>21</v>
      </c>
      <c r="F1623" t="str">
        <f t="shared" si="25"/>
        <v>18-25</v>
      </c>
      <c r="G1623" t="s">
        <v>4005</v>
      </c>
      <c r="H1623" t="s">
        <v>4009</v>
      </c>
      <c r="I1623" t="s">
        <v>4015</v>
      </c>
      <c r="J1623">
        <v>3</v>
      </c>
      <c r="K1623">
        <v>760</v>
      </c>
      <c r="L1623">
        <v>0</v>
      </c>
      <c r="M1623">
        <v>2280</v>
      </c>
      <c r="N1623">
        <v>0</v>
      </c>
      <c r="O1623">
        <v>2280</v>
      </c>
    </row>
    <row r="1624" spans="1:15" x14ac:dyDescent="0.3">
      <c r="A1624" t="s">
        <v>1636</v>
      </c>
      <c r="B1624" s="1">
        <v>44618</v>
      </c>
      <c r="C1624" t="s">
        <v>3628</v>
      </c>
      <c r="D1624" t="s">
        <v>4000</v>
      </c>
      <c r="E1624">
        <v>63</v>
      </c>
      <c r="F1624" t="str">
        <f t="shared" si="25"/>
        <v>46+</v>
      </c>
      <c r="G1624" t="s">
        <v>4001</v>
      </c>
      <c r="H1624" t="s">
        <v>4011</v>
      </c>
      <c r="I1624" t="s">
        <v>4015</v>
      </c>
      <c r="J1624">
        <v>2</v>
      </c>
      <c r="K1624">
        <v>4553</v>
      </c>
      <c r="L1624">
        <v>0</v>
      </c>
      <c r="M1624">
        <v>9106</v>
      </c>
      <c r="N1624">
        <v>0</v>
      </c>
      <c r="O1624">
        <v>9106</v>
      </c>
    </row>
    <row r="1625" spans="1:15" x14ac:dyDescent="0.3">
      <c r="A1625" t="s">
        <v>1637</v>
      </c>
      <c r="B1625" s="1">
        <v>44946</v>
      </c>
      <c r="C1625" t="s">
        <v>3629</v>
      </c>
      <c r="D1625" t="s">
        <v>4000</v>
      </c>
      <c r="E1625">
        <v>41</v>
      </c>
      <c r="F1625" t="str">
        <f t="shared" si="25"/>
        <v>36-45</v>
      </c>
      <c r="G1625" t="s">
        <v>4004</v>
      </c>
      <c r="H1625" t="s">
        <v>4008</v>
      </c>
      <c r="I1625" t="s">
        <v>4013</v>
      </c>
      <c r="J1625">
        <v>7</v>
      </c>
      <c r="K1625">
        <v>1681</v>
      </c>
      <c r="L1625">
        <v>0</v>
      </c>
      <c r="M1625">
        <v>11767</v>
      </c>
      <c r="N1625">
        <v>0</v>
      </c>
      <c r="O1625">
        <v>11767</v>
      </c>
    </row>
    <row r="1626" spans="1:15" x14ac:dyDescent="0.3">
      <c r="A1626" t="s">
        <v>1638</v>
      </c>
      <c r="B1626" s="1">
        <v>44971</v>
      </c>
      <c r="C1626" t="s">
        <v>3630</v>
      </c>
      <c r="D1626" t="s">
        <v>3999</v>
      </c>
      <c r="E1626">
        <v>24</v>
      </c>
      <c r="F1626" t="str">
        <f t="shared" si="25"/>
        <v>18-25</v>
      </c>
      <c r="G1626" t="s">
        <v>4003</v>
      </c>
      <c r="H1626" t="s">
        <v>4008</v>
      </c>
      <c r="I1626" t="s">
        <v>4014</v>
      </c>
      <c r="J1626">
        <v>6</v>
      </c>
      <c r="K1626">
        <v>7476</v>
      </c>
      <c r="L1626">
        <v>5</v>
      </c>
      <c r="M1626">
        <v>44856</v>
      </c>
      <c r="N1626">
        <v>2242.8000000000002</v>
      </c>
      <c r="O1626">
        <v>42613.2</v>
      </c>
    </row>
    <row r="1627" spans="1:15" x14ac:dyDescent="0.3">
      <c r="A1627" t="s">
        <v>1639</v>
      </c>
      <c r="B1627" s="1">
        <v>44628</v>
      </c>
      <c r="C1627" t="s">
        <v>3631</v>
      </c>
      <c r="D1627" t="s">
        <v>4000</v>
      </c>
      <c r="E1627">
        <v>49</v>
      </c>
      <c r="F1627" t="str">
        <f t="shared" si="25"/>
        <v>46+</v>
      </c>
      <c r="G1627" t="s">
        <v>4005</v>
      </c>
      <c r="H1627" t="s">
        <v>4007</v>
      </c>
      <c r="I1627" t="s">
        <v>4013</v>
      </c>
      <c r="J1627">
        <v>4</v>
      </c>
      <c r="K1627">
        <v>3241</v>
      </c>
      <c r="L1627">
        <v>5</v>
      </c>
      <c r="M1627">
        <v>12964</v>
      </c>
      <c r="N1627">
        <v>648.20000000000005</v>
      </c>
      <c r="O1627">
        <v>12315.8</v>
      </c>
    </row>
    <row r="1628" spans="1:15" x14ac:dyDescent="0.3">
      <c r="A1628" t="s">
        <v>1640</v>
      </c>
      <c r="B1628" s="1">
        <v>44771</v>
      </c>
      <c r="C1628" t="s">
        <v>3632</v>
      </c>
      <c r="D1628" t="s">
        <v>4000</v>
      </c>
      <c r="E1628">
        <v>44</v>
      </c>
      <c r="F1628" t="str">
        <f t="shared" si="25"/>
        <v>36-45</v>
      </c>
      <c r="G1628" t="s">
        <v>4005</v>
      </c>
      <c r="H1628" t="s">
        <v>4010</v>
      </c>
      <c r="I1628" t="s">
        <v>4013</v>
      </c>
      <c r="J1628">
        <v>1</v>
      </c>
      <c r="K1628">
        <v>3556</v>
      </c>
      <c r="L1628">
        <v>0</v>
      </c>
      <c r="M1628">
        <v>3556</v>
      </c>
      <c r="N1628">
        <v>0</v>
      </c>
      <c r="O1628">
        <v>3556</v>
      </c>
    </row>
    <row r="1629" spans="1:15" x14ac:dyDescent="0.3">
      <c r="A1629" t="s">
        <v>1641</v>
      </c>
      <c r="B1629" s="1">
        <v>45166</v>
      </c>
      <c r="C1629" t="s">
        <v>3633</v>
      </c>
      <c r="D1629" t="s">
        <v>3999</v>
      </c>
      <c r="E1629">
        <v>20</v>
      </c>
      <c r="F1629" t="str">
        <f t="shared" si="25"/>
        <v>18-25</v>
      </c>
      <c r="G1629" t="s">
        <v>4005</v>
      </c>
      <c r="H1629" t="s">
        <v>4010</v>
      </c>
      <c r="I1629" t="s">
        <v>4017</v>
      </c>
      <c r="J1629">
        <v>4</v>
      </c>
      <c r="K1629">
        <v>990</v>
      </c>
      <c r="L1629">
        <v>10</v>
      </c>
      <c r="M1629">
        <v>3960</v>
      </c>
      <c r="N1629">
        <v>396</v>
      </c>
      <c r="O1629">
        <v>3564</v>
      </c>
    </row>
    <row r="1630" spans="1:15" x14ac:dyDescent="0.3">
      <c r="A1630" t="s">
        <v>1642</v>
      </c>
      <c r="B1630" s="1">
        <v>44899</v>
      </c>
      <c r="C1630" t="s">
        <v>3634</v>
      </c>
      <c r="D1630" t="s">
        <v>4000</v>
      </c>
      <c r="E1630">
        <v>30</v>
      </c>
      <c r="F1630" t="str">
        <f t="shared" si="25"/>
        <v>26-35</v>
      </c>
      <c r="G1630" t="s">
        <v>4005</v>
      </c>
      <c r="H1630" t="s">
        <v>4008</v>
      </c>
      <c r="I1630" t="s">
        <v>4013</v>
      </c>
      <c r="J1630">
        <v>6</v>
      </c>
      <c r="K1630">
        <v>906</v>
      </c>
      <c r="L1630">
        <v>5</v>
      </c>
      <c r="M1630">
        <v>5436</v>
      </c>
      <c r="N1630">
        <v>271.8</v>
      </c>
      <c r="O1630">
        <v>5164.2</v>
      </c>
    </row>
    <row r="1631" spans="1:15" x14ac:dyDescent="0.3">
      <c r="A1631" t="s">
        <v>1643</v>
      </c>
      <c r="B1631" s="1">
        <v>44716</v>
      </c>
      <c r="C1631" t="s">
        <v>3635</v>
      </c>
      <c r="D1631" t="s">
        <v>3999</v>
      </c>
      <c r="E1631">
        <v>20</v>
      </c>
      <c r="F1631" t="str">
        <f t="shared" si="25"/>
        <v>18-25</v>
      </c>
      <c r="G1631" t="s">
        <v>4004</v>
      </c>
      <c r="H1631" t="s">
        <v>4011</v>
      </c>
      <c r="I1631" t="s">
        <v>4013</v>
      </c>
      <c r="J1631">
        <v>2</v>
      </c>
      <c r="K1631">
        <v>6874</v>
      </c>
      <c r="L1631">
        <v>0</v>
      </c>
      <c r="M1631">
        <v>13748</v>
      </c>
      <c r="N1631">
        <v>0</v>
      </c>
      <c r="O1631">
        <v>13748</v>
      </c>
    </row>
    <row r="1632" spans="1:15" x14ac:dyDescent="0.3">
      <c r="A1632" t="s">
        <v>1644</v>
      </c>
      <c r="B1632" s="1">
        <v>44972</v>
      </c>
      <c r="C1632" t="s">
        <v>3636</v>
      </c>
      <c r="D1632" t="s">
        <v>4000</v>
      </c>
      <c r="E1632">
        <v>25</v>
      </c>
      <c r="F1632" t="str">
        <f t="shared" si="25"/>
        <v>18-25</v>
      </c>
      <c r="G1632" t="s">
        <v>4004</v>
      </c>
      <c r="H1632" t="s">
        <v>4007</v>
      </c>
      <c r="I1632" t="s">
        <v>4017</v>
      </c>
      <c r="J1632">
        <v>3</v>
      </c>
      <c r="K1632">
        <v>3877</v>
      </c>
      <c r="L1632">
        <v>10</v>
      </c>
      <c r="M1632">
        <v>11631</v>
      </c>
      <c r="N1632">
        <v>1163.0999999999999</v>
      </c>
      <c r="O1632">
        <v>10467.9</v>
      </c>
    </row>
    <row r="1633" spans="1:15" x14ac:dyDescent="0.3">
      <c r="A1633" t="s">
        <v>1645</v>
      </c>
      <c r="B1633" s="1">
        <v>45284</v>
      </c>
      <c r="C1633" t="s">
        <v>3637</v>
      </c>
      <c r="D1633" t="s">
        <v>3999</v>
      </c>
      <c r="E1633">
        <v>19</v>
      </c>
      <c r="F1633" t="str">
        <f t="shared" si="25"/>
        <v>18-25</v>
      </c>
      <c r="G1633" t="s">
        <v>4004</v>
      </c>
      <c r="H1633" t="s">
        <v>4008</v>
      </c>
      <c r="I1633" t="s">
        <v>4014</v>
      </c>
      <c r="J1633">
        <v>4</v>
      </c>
      <c r="K1633">
        <v>7322</v>
      </c>
      <c r="L1633">
        <v>0</v>
      </c>
      <c r="M1633">
        <v>29288</v>
      </c>
      <c r="N1633">
        <v>0</v>
      </c>
      <c r="O1633">
        <v>29288</v>
      </c>
    </row>
    <row r="1634" spans="1:15" x14ac:dyDescent="0.3">
      <c r="A1634" t="s">
        <v>1646</v>
      </c>
      <c r="B1634" s="1">
        <v>44665</v>
      </c>
      <c r="C1634" t="s">
        <v>3638</v>
      </c>
      <c r="D1634" t="s">
        <v>3999</v>
      </c>
      <c r="E1634">
        <v>19</v>
      </c>
      <c r="F1634" t="str">
        <f t="shared" si="25"/>
        <v>18-25</v>
      </c>
      <c r="G1634" t="s">
        <v>4002</v>
      </c>
      <c r="H1634" t="s">
        <v>4010</v>
      </c>
      <c r="I1634" t="s">
        <v>4014</v>
      </c>
      <c r="J1634">
        <v>3</v>
      </c>
      <c r="K1634">
        <v>4530</v>
      </c>
      <c r="L1634">
        <v>0</v>
      </c>
      <c r="M1634">
        <v>13590</v>
      </c>
      <c r="N1634">
        <v>0</v>
      </c>
      <c r="O1634">
        <v>13590</v>
      </c>
    </row>
    <row r="1635" spans="1:15" x14ac:dyDescent="0.3">
      <c r="A1635" t="s">
        <v>1647</v>
      </c>
      <c r="B1635" s="1">
        <v>45134</v>
      </c>
      <c r="C1635" t="s">
        <v>3639</v>
      </c>
      <c r="D1635" t="s">
        <v>4000</v>
      </c>
      <c r="E1635">
        <v>46</v>
      </c>
      <c r="F1635" t="str">
        <f t="shared" si="25"/>
        <v>46+</v>
      </c>
      <c r="G1635" t="s">
        <v>4004</v>
      </c>
      <c r="H1635" t="s">
        <v>4007</v>
      </c>
      <c r="I1635" t="s">
        <v>4015</v>
      </c>
      <c r="J1635">
        <v>4</v>
      </c>
      <c r="K1635">
        <v>1002</v>
      </c>
      <c r="L1635">
        <v>0</v>
      </c>
      <c r="M1635">
        <v>4008</v>
      </c>
      <c r="N1635">
        <v>0</v>
      </c>
      <c r="O1635">
        <v>4008</v>
      </c>
    </row>
    <row r="1636" spans="1:15" x14ac:dyDescent="0.3">
      <c r="A1636" t="s">
        <v>1648</v>
      </c>
      <c r="B1636" s="1">
        <v>44690</v>
      </c>
      <c r="C1636" t="s">
        <v>3640</v>
      </c>
      <c r="D1636" t="s">
        <v>4000</v>
      </c>
      <c r="E1636">
        <v>57</v>
      </c>
      <c r="F1636" t="str">
        <f t="shared" si="25"/>
        <v>46+</v>
      </c>
      <c r="G1636" t="s">
        <v>4001</v>
      </c>
      <c r="H1636" t="s">
        <v>4012</v>
      </c>
      <c r="I1636" t="s">
        <v>4016</v>
      </c>
      <c r="J1636">
        <v>1</v>
      </c>
      <c r="K1636">
        <v>6697</v>
      </c>
      <c r="L1636">
        <v>0</v>
      </c>
      <c r="M1636">
        <v>6697</v>
      </c>
      <c r="N1636">
        <v>0</v>
      </c>
      <c r="O1636">
        <v>6697</v>
      </c>
    </row>
    <row r="1637" spans="1:15" x14ac:dyDescent="0.3">
      <c r="A1637" t="s">
        <v>1649</v>
      </c>
      <c r="B1637" s="1">
        <v>45156</v>
      </c>
      <c r="C1637" t="s">
        <v>3641</v>
      </c>
      <c r="D1637" t="s">
        <v>4000</v>
      </c>
      <c r="E1637">
        <v>56</v>
      </c>
      <c r="F1637" t="str">
        <f t="shared" si="25"/>
        <v>46+</v>
      </c>
      <c r="G1637" t="s">
        <v>4002</v>
      </c>
      <c r="H1637" t="s">
        <v>4012</v>
      </c>
      <c r="I1637" t="s">
        <v>4015</v>
      </c>
      <c r="J1637">
        <v>6</v>
      </c>
      <c r="K1637">
        <v>4776</v>
      </c>
      <c r="L1637">
        <v>5</v>
      </c>
      <c r="M1637">
        <v>28656</v>
      </c>
      <c r="N1637">
        <v>1432.8</v>
      </c>
      <c r="O1637">
        <v>27223.200000000001</v>
      </c>
    </row>
    <row r="1638" spans="1:15" x14ac:dyDescent="0.3">
      <c r="A1638" t="s">
        <v>1650</v>
      </c>
      <c r="B1638" s="1">
        <v>44706</v>
      </c>
      <c r="C1638" t="s">
        <v>3642</v>
      </c>
      <c r="D1638" t="s">
        <v>3999</v>
      </c>
      <c r="E1638">
        <v>64</v>
      </c>
      <c r="F1638" t="str">
        <f t="shared" si="25"/>
        <v>46+</v>
      </c>
      <c r="G1638" t="s">
        <v>4001</v>
      </c>
      <c r="H1638" t="s">
        <v>4008</v>
      </c>
      <c r="I1638" t="s">
        <v>4014</v>
      </c>
      <c r="J1638">
        <v>1</v>
      </c>
      <c r="K1638">
        <v>486</v>
      </c>
      <c r="L1638">
        <v>15</v>
      </c>
      <c r="M1638">
        <v>486</v>
      </c>
      <c r="N1638">
        <v>72.900000000000006</v>
      </c>
      <c r="O1638">
        <v>413.1</v>
      </c>
    </row>
    <row r="1639" spans="1:15" x14ac:dyDescent="0.3">
      <c r="A1639" t="s">
        <v>1651</v>
      </c>
      <c r="B1639" s="1">
        <v>45136</v>
      </c>
      <c r="C1639" t="s">
        <v>3643</v>
      </c>
      <c r="D1639" t="s">
        <v>3999</v>
      </c>
      <c r="E1639">
        <v>19</v>
      </c>
      <c r="F1639" t="str">
        <f t="shared" si="25"/>
        <v>18-25</v>
      </c>
      <c r="G1639" t="s">
        <v>4001</v>
      </c>
      <c r="H1639" t="s">
        <v>4007</v>
      </c>
      <c r="I1639" t="s">
        <v>4015</v>
      </c>
      <c r="J1639">
        <v>3</v>
      </c>
      <c r="K1639">
        <v>3552</v>
      </c>
      <c r="L1639">
        <v>5</v>
      </c>
      <c r="M1639">
        <v>10656</v>
      </c>
      <c r="N1639">
        <v>532.79999999999995</v>
      </c>
      <c r="O1639">
        <v>10123.200000000001</v>
      </c>
    </row>
    <row r="1640" spans="1:15" x14ac:dyDescent="0.3">
      <c r="A1640" t="s">
        <v>1652</v>
      </c>
      <c r="B1640" s="1">
        <v>44696</v>
      </c>
      <c r="C1640" t="s">
        <v>3644</v>
      </c>
      <c r="D1640" t="s">
        <v>4000</v>
      </c>
      <c r="E1640">
        <v>26</v>
      </c>
      <c r="F1640" t="str">
        <f t="shared" si="25"/>
        <v>26-35</v>
      </c>
      <c r="G1640" t="s">
        <v>4001</v>
      </c>
      <c r="H1640" t="s">
        <v>4011</v>
      </c>
      <c r="I1640" t="s">
        <v>4013</v>
      </c>
      <c r="J1640">
        <v>3</v>
      </c>
      <c r="K1640">
        <v>3225</v>
      </c>
      <c r="L1640">
        <v>0</v>
      </c>
      <c r="M1640">
        <v>9675</v>
      </c>
      <c r="N1640">
        <v>0</v>
      </c>
      <c r="O1640">
        <v>9675</v>
      </c>
    </row>
    <row r="1641" spans="1:15" x14ac:dyDescent="0.3">
      <c r="A1641" t="s">
        <v>1653</v>
      </c>
      <c r="B1641" s="1">
        <v>44811</v>
      </c>
      <c r="C1641" t="s">
        <v>3645</v>
      </c>
      <c r="D1641" t="s">
        <v>4000</v>
      </c>
      <c r="E1641">
        <v>24</v>
      </c>
      <c r="F1641" t="str">
        <f t="shared" si="25"/>
        <v>18-25</v>
      </c>
      <c r="G1641" t="s">
        <v>4004</v>
      </c>
      <c r="H1641" t="s">
        <v>4012</v>
      </c>
      <c r="I1641" t="s">
        <v>4015</v>
      </c>
      <c r="J1641">
        <v>4</v>
      </c>
      <c r="K1641">
        <v>1583</v>
      </c>
      <c r="L1641">
        <v>10</v>
      </c>
      <c r="M1641">
        <v>6332</v>
      </c>
      <c r="N1641">
        <v>633.20000000000005</v>
      </c>
      <c r="O1641">
        <v>5698.8</v>
      </c>
    </row>
    <row r="1642" spans="1:15" x14ac:dyDescent="0.3">
      <c r="A1642" t="s">
        <v>1654</v>
      </c>
      <c r="B1642" s="1">
        <v>44610</v>
      </c>
      <c r="C1642" t="s">
        <v>3646</v>
      </c>
      <c r="D1642" t="s">
        <v>4000</v>
      </c>
      <c r="E1642">
        <v>35</v>
      </c>
      <c r="F1642" t="str">
        <f t="shared" si="25"/>
        <v>26-35</v>
      </c>
      <c r="G1642" t="s">
        <v>4004</v>
      </c>
      <c r="H1642" t="s">
        <v>4010</v>
      </c>
      <c r="I1642" t="s">
        <v>4013</v>
      </c>
      <c r="J1642">
        <v>4</v>
      </c>
      <c r="K1642">
        <v>4547</v>
      </c>
      <c r="L1642">
        <v>10</v>
      </c>
      <c r="M1642">
        <v>18188</v>
      </c>
      <c r="N1642">
        <v>1818.8</v>
      </c>
      <c r="O1642">
        <v>16369.2</v>
      </c>
    </row>
    <row r="1643" spans="1:15" x14ac:dyDescent="0.3">
      <c r="A1643" t="s">
        <v>1655</v>
      </c>
      <c r="B1643" s="1">
        <v>45008</v>
      </c>
      <c r="C1643" t="s">
        <v>3647</v>
      </c>
      <c r="D1643" t="s">
        <v>4000</v>
      </c>
      <c r="E1643">
        <v>44</v>
      </c>
      <c r="F1643" t="str">
        <f t="shared" si="25"/>
        <v>36-45</v>
      </c>
      <c r="G1643" t="s">
        <v>4005</v>
      </c>
      <c r="H1643" t="s">
        <v>4008</v>
      </c>
      <c r="I1643" t="s">
        <v>4014</v>
      </c>
      <c r="J1643">
        <v>1</v>
      </c>
      <c r="K1643">
        <v>4553</v>
      </c>
      <c r="L1643">
        <v>5</v>
      </c>
      <c r="M1643">
        <v>4553</v>
      </c>
      <c r="N1643">
        <v>227.65</v>
      </c>
      <c r="O1643">
        <v>4325.3500000000004</v>
      </c>
    </row>
    <row r="1644" spans="1:15" x14ac:dyDescent="0.3">
      <c r="A1644" t="s">
        <v>1656</v>
      </c>
      <c r="B1644" s="1">
        <v>44848</v>
      </c>
      <c r="C1644" t="s">
        <v>3648</v>
      </c>
      <c r="D1644" t="s">
        <v>3999</v>
      </c>
      <c r="E1644">
        <v>48</v>
      </c>
      <c r="F1644" t="str">
        <f t="shared" si="25"/>
        <v>46+</v>
      </c>
      <c r="G1644" t="s">
        <v>4001</v>
      </c>
      <c r="H1644" t="s">
        <v>4007</v>
      </c>
      <c r="I1644" t="s">
        <v>4013</v>
      </c>
      <c r="J1644">
        <v>3</v>
      </c>
      <c r="K1644">
        <v>2352</v>
      </c>
      <c r="L1644">
        <v>10</v>
      </c>
      <c r="M1644">
        <v>7056</v>
      </c>
      <c r="N1644">
        <v>705.6</v>
      </c>
      <c r="O1644">
        <v>6350.4</v>
      </c>
    </row>
    <row r="1645" spans="1:15" x14ac:dyDescent="0.3">
      <c r="A1645" t="s">
        <v>1657</v>
      </c>
      <c r="B1645" s="1">
        <v>44837</v>
      </c>
      <c r="C1645" t="s">
        <v>3649</v>
      </c>
      <c r="D1645" t="s">
        <v>4000</v>
      </c>
      <c r="E1645">
        <v>51</v>
      </c>
      <c r="F1645" t="str">
        <f t="shared" si="25"/>
        <v>46+</v>
      </c>
      <c r="G1645" t="s">
        <v>4006</v>
      </c>
      <c r="H1645" t="s">
        <v>4008</v>
      </c>
      <c r="I1645" t="s">
        <v>4016</v>
      </c>
      <c r="J1645">
        <v>5</v>
      </c>
      <c r="K1645">
        <v>3197</v>
      </c>
      <c r="L1645">
        <v>0</v>
      </c>
      <c r="M1645">
        <v>15985</v>
      </c>
      <c r="N1645">
        <v>0</v>
      </c>
      <c r="O1645">
        <v>15985</v>
      </c>
    </row>
    <row r="1646" spans="1:15" x14ac:dyDescent="0.3">
      <c r="A1646" t="s">
        <v>1658</v>
      </c>
      <c r="B1646" s="1">
        <v>44663</v>
      </c>
      <c r="C1646" t="s">
        <v>3650</v>
      </c>
      <c r="D1646" t="s">
        <v>3999</v>
      </c>
      <c r="E1646">
        <v>27</v>
      </c>
      <c r="F1646" t="str">
        <f t="shared" si="25"/>
        <v>26-35</v>
      </c>
      <c r="G1646" t="s">
        <v>4001</v>
      </c>
      <c r="H1646" t="s">
        <v>4008</v>
      </c>
      <c r="I1646" t="s">
        <v>4013</v>
      </c>
      <c r="J1646">
        <v>3</v>
      </c>
      <c r="K1646">
        <v>4447</v>
      </c>
      <c r="L1646">
        <v>20</v>
      </c>
      <c r="M1646">
        <v>13341</v>
      </c>
      <c r="N1646">
        <v>2668.2</v>
      </c>
      <c r="O1646">
        <v>10672.8</v>
      </c>
    </row>
    <row r="1647" spans="1:15" x14ac:dyDescent="0.3">
      <c r="A1647" t="s">
        <v>1659</v>
      </c>
      <c r="B1647" s="1">
        <v>45128</v>
      </c>
      <c r="C1647" t="s">
        <v>3651</v>
      </c>
      <c r="D1647" t="s">
        <v>4000</v>
      </c>
      <c r="E1647">
        <v>37</v>
      </c>
      <c r="F1647" t="str">
        <f t="shared" si="25"/>
        <v>36-45</v>
      </c>
      <c r="G1647" t="s">
        <v>4002</v>
      </c>
      <c r="H1647" t="s">
        <v>4007</v>
      </c>
      <c r="I1647" t="s">
        <v>4013</v>
      </c>
      <c r="J1647">
        <v>4</v>
      </c>
      <c r="K1647">
        <v>1164</v>
      </c>
      <c r="L1647">
        <v>15</v>
      </c>
      <c r="M1647">
        <v>4656</v>
      </c>
      <c r="N1647">
        <v>698.4</v>
      </c>
      <c r="O1647">
        <v>3957.6</v>
      </c>
    </row>
    <row r="1648" spans="1:15" x14ac:dyDescent="0.3">
      <c r="A1648" t="s">
        <v>1660</v>
      </c>
      <c r="B1648" s="1">
        <v>44604</v>
      </c>
      <c r="C1648" t="s">
        <v>3652</v>
      </c>
      <c r="D1648" t="s">
        <v>3999</v>
      </c>
      <c r="E1648">
        <v>39</v>
      </c>
      <c r="F1648" t="str">
        <f t="shared" si="25"/>
        <v>36-45</v>
      </c>
      <c r="G1648" t="s">
        <v>4002</v>
      </c>
      <c r="H1648" t="s">
        <v>4012</v>
      </c>
      <c r="I1648" t="s">
        <v>4017</v>
      </c>
      <c r="J1648">
        <v>5</v>
      </c>
      <c r="K1648">
        <v>2089</v>
      </c>
      <c r="L1648">
        <v>0</v>
      </c>
      <c r="M1648">
        <v>10445</v>
      </c>
      <c r="N1648">
        <v>0</v>
      </c>
      <c r="O1648">
        <v>10445</v>
      </c>
    </row>
    <row r="1649" spans="1:15" x14ac:dyDescent="0.3">
      <c r="A1649" t="s">
        <v>1661</v>
      </c>
      <c r="B1649" s="1">
        <v>45038</v>
      </c>
      <c r="C1649" t="s">
        <v>3653</v>
      </c>
      <c r="D1649" t="s">
        <v>4000</v>
      </c>
      <c r="E1649">
        <v>44</v>
      </c>
      <c r="F1649" t="str">
        <f t="shared" si="25"/>
        <v>36-45</v>
      </c>
      <c r="G1649" t="s">
        <v>4003</v>
      </c>
      <c r="H1649" t="s">
        <v>4008</v>
      </c>
      <c r="I1649" t="s">
        <v>4015</v>
      </c>
      <c r="J1649">
        <v>7</v>
      </c>
      <c r="K1649">
        <v>1613</v>
      </c>
      <c r="L1649">
        <v>0</v>
      </c>
      <c r="M1649">
        <v>11291</v>
      </c>
      <c r="N1649">
        <v>0</v>
      </c>
      <c r="O1649">
        <v>11291</v>
      </c>
    </row>
    <row r="1650" spans="1:15" x14ac:dyDescent="0.3">
      <c r="A1650" t="s">
        <v>1662</v>
      </c>
      <c r="B1650" s="1">
        <v>45133</v>
      </c>
      <c r="C1650" t="s">
        <v>3654</v>
      </c>
      <c r="D1650" t="s">
        <v>4000</v>
      </c>
      <c r="E1650">
        <v>56</v>
      </c>
      <c r="F1650" t="str">
        <f t="shared" si="25"/>
        <v>46+</v>
      </c>
      <c r="G1650" t="s">
        <v>4002</v>
      </c>
      <c r="H1650" t="s">
        <v>4009</v>
      </c>
      <c r="I1650" t="s">
        <v>4014</v>
      </c>
      <c r="J1650">
        <v>6</v>
      </c>
      <c r="K1650">
        <v>2697</v>
      </c>
      <c r="L1650">
        <v>5</v>
      </c>
      <c r="M1650">
        <v>16182</v>
      </c>
      <c r="N1650">
        <v>809.1</v>
      </c>
      <c r="O1650">
        <v>15372.9</v>
      </c>
    </row>
    <row r="1651" spans="1:15" x14ac:dyDescent="0.3">
      <c r="A1651" t="s">
        <v>1663</v>
      </c>
      <c r="B1651" s="1">
        <v>44893</v>
      </c>
      <c r="C1651" t="s">
        <v>3655</v>
      </c>
      <c r="D1651" t="s">
        <v>4000</v>
      </c>
      <c r="E1651">
        <v>56</v>
      </c>
      <c r="F1651" t="str">
        <f t="shared" si="25"/>
        <v>46+</v>
      </c>
      <c r="G1651" t="s">
        <v>4004</v>
      </c>
      <c r="H1651" t="s">
        <v>4007</v>
      </c>
      <c r="I1651" t="s">
        <v>4013</v>
      </c>
      <c r="J1651">
        <v>6</v>
      </c>
      <c r="K1651">
        <v>5998</v>
      </c>
      <c r="L1651">
        <v>20</v>
      </c>
      <c r="M1651">
        <v>35988</v>
      </c>
      <c r="N1651">
        <v>7197.6</v>
      </c>
      <c r="O1651">
        <v>28790.400000000001</v>
      </c>
    </row>
    <row r="1652" spans="1:15" x14ac:dyDescent="0.3">
      <c r="A1652" t="s">
        <v>1664</v>
      </c>
      <c r="B1652" s="1">
        <v>44913</v>
      </c>
      <c r="C1652" t="s">
        <v>3656</v>
      </c>
      <c r="D1652" t="s">
        <v>3999</v>
      </c>
      <c r="E1652">
        <v>22</v>
      </c>
      <c r="F1652" t="str">
        <f t="shared" si="25"/>
        <v>18-25</v>
      </c>
      <c r="G1652" t="s">
        <v>4001</v>
      </c>
      <c r="H1652" t="s">
        <v>4008</v>
      </c>
      <c r="I1652" t="s">
        <v>4014</v>
      </c>
      <c r="J1652">
        <v>6</v>
      </c>
      <c r="K1652">
        <v>6358</v>
      </c>
      <c r="L1652">
        <v>0</v>
      </c>
      <c r="M1652">
        <v>38148</v>
      </c>
      <c r="N1652">
        <v>0</v>
      </c>
      <c r="O1652">
        <v>38148</v>
      </c>
    </row>
    <row r="1653" spans="1:15" x14ac:dyDescent="0.3">
      <c r="A1653" t="s">
        <v>1665</v>
      </c>
      <c r="B1653" s="1">
        <v>44856</v>
      </c>
      <c r="C1653" t="s">
        <v>3657</v>
      </c>
      <c r="D1653" t="s">
        <v>4000</v>
      </c>
      <c r="E1653">
        <v>46</v>
      </c>
      <c r="F1653" t="str">
        <f t="shared" si="25"/>
        <v>46+</v>
      </c>
      <c r="G1653" t="s">
        <v>4002</v>
      </c>
      <c r="H1653" t="s">
        <v>4007</v>
      </c>
      <c r="I1653" t="s">
        <v>4016</v>
      </c>
      <c r="J1653">
        <v>7</v>
      </c>
      <c r="K1653">
        <v>4607</v>
      </c>
      <c r="L1653">
        <v>15</v>
      </c>
      <c r="M1653">
        <v>32249</v>
      </c>
      <c r="N1653">
        <v>4837.3500000000004</v>
      </c>
      <c r="O1653">
        <v>27411.65</v>
      </c>
    </row>
    <row r="1654" spans="1:15" x14ac:dyDescent="0.3">
      <c r="A1654" t="s">
        <v>1666</v>
      </c>
      <c r="B1654" s="1">
        <v>44843</v>
      </c>
      <c r="C1654" t="s">
        <v>3658</v>
      </c>
      <c r="D1654" t="s">
        <v>4000</v>
      </c>
      <c r="E1654">
        <v>61</v>
      </c>
      <c r="F1654" t="str">
        <f t="shared" si="25"/>
        <v>46+</v>
      </c>
      <c r="G1654" t="s">
        <v>4002</v>
      </c>
      <c r="H1654" t="s">
        <v>4011</v>
      </c>
      <c r="I1654" t="s">
        <v>4013</v>
      </c>
      <c r="J1654">
        <v>2</v>
      </c>
      <c r="K1654">
        <v>7905</v>
      </c>
      <c r="L1654">
        <v>10</v>
      </c>
      <c r="M1654">
        <v>15810</v>
      </c>
      <c r="N1654">
        <v>1581</v>
      </c>
      <c r="O1654">
        <v>14229</v>
      </c>
    </row>
    <row r="1655" spans="1:15" x14ac:dyDescent="0.3">
      <c r="A1655" t="s">
        <v>1667</v>
      </c>
      <c r="B1655" s="1">
        <v>44725</v>
      </c>
      <c r="C1655" t="s">
        <v>3659</v>
      </c>
      <c r="D1655" t="s">
        <v>4000</v>
      </c>
      <c r="E1655">
        <v>45</v>
      </c>
      <c r="F1655" t="str">
        <f t="shared" si="25"/>
        <v>36-45</v>
      </c>
      <c r="G1655" t="s">
        <v>4003</v>
      </c>
      <c r="H1655" t="s">
        <v>4009</v>
      </c>
      <c r="I1655" t="s">
        <v>4015</v>
      </c>
      <c r="J1655">
        <v>7</v>
      </c>
      <c r="K1655">
        <v>6312</v>
      </c>
      <c r="L1655">
        <v>5</v>
      </c>
      <c r="M1655">
        <v>44184</v>
      </c>
      <c r="N1655">
        <v>2209.1999999999998</v>
      </c>
      <c r="O1655">
        <v>41974.8</v>
      </c>
    </row>
    <row r="1656" spans="1:15" x14ac:dyDescent="0.3">
      <c r="A1656" t="s">
        <v>1668</v>
      </c>
      <c r="B1656" s="1">
        <v>44584</v>
      </c>
      <c r="C1656" t="s">
        <v>3660</v>
      </c>
      <c r="D1656" t="s">
        <v>3999</v>
      </c>
      <c r="E1656">
        <v>32</v>
      </c>
      <c r="F1656" t="str">
        <f t="shared" si="25"/>
        <v>26-35</v>
      </c>
      <c r="G1656" t="s">
        <v>4006</v>
      </c>
      <c r="H1656" t="s">
        <v>4008</v>
      </c>
      <c r="I1656" t="s">
        <v>4014</v>
      </c>
      <c r="J1656">
        <v>5</v>
      </c>
      <c r="K1656">
        <v>3369</v>
      </c>
      <c r="L1656">
        <v>0</v>
      </c>
      <c r="M1656">
        <v>16845</v>
      </c>
      <c r="N1656">
        <v>0</v>
      </c>
      <c r="O1656">
        <v>16845</v>
      </c>
    </row>
    <row r="1657" spans="1:15" x14ac:dyDescent="0.3">
      <c r="A1657" t="s">
        <v>1669</v>
      </c>
      <c r="B1657" s="1">
        <v>44579</v>
      </c>
      <c r="C1657" t="s">
        <v>3661</v>
      </c>
      <c r="D1657" t="s">
        <v>3999</v>
      </c>
      <c r="E1657">
        <v>29</v>
      </c>
      <c r="F1657" t="str">
        <f t="shared" si="25"/>
        <v>26-35</v>
      </c>
      <c r="G1657" t="s">
        <v>4004</v>
      </c>
      <c r="H1657" t="s">
        <v>4009</v>
      </c>
      <c r="I1657" t="s">
        <v>4014</v>
      </c>
      <c r="J1657">
        <v>5</v>
      </c>
      <c r="K1657">
        <v>6833</v>
      </c>
      <c r="L1657">
        <v>20</v>
      </c>
      <c r="M1657">
        <v>34165</v>
      </c>
      <c r="N1657">
        <v>6833</v>
      </c>
      <c r="O1657">
        <v>27332</v>
      </c>
    </row>
    <row r="1658" spans="1:15" x14ac:dyDescent="0.3">
      <c r="A1658" t="s">
        <v>1670</v>
      </c>
      <c r="B1658" s="1">
        <v>44949</v>
      </c>
      <c r="C1658" t="s">
        <v>3662</v>
      </c>
      <c r="D1658" t="s">
        <v>4000</v>
      </c>
      <c r="E1658">
        <v>61</v>
      </c>
      <c r="F1658" t="str">
        <f t="shared" si="25"/>
        <v>46+</v>
      </c>
      <c r="G1658" t="s">
        <v>4003</v>
      </c>
      <c r="H1658" t="s">
        <v>4010</v>
      </c>
      <c r="I1658" t="s">
        <v>4014</v>
      </c>
      <c r="J1658">
        <v>3</v>
      </c>
      <c r="K1658">
        <v>2261</v>
      </c>
      <c r="L1658">
        <v>10</v>
      </c>
      <c r="M1658">
        <v>6783</v>
      </c>
      <c r="N1658">
        <v>678.3</v>
      </c>
      <c r="O1658">
        <v>6104.7</v>
      </c>
    </row>
    <row r="1659" spans="1:15" x14ac:dyDescent="0.3">
      <c r="A1659" t="s">
        <v>1671</v>
      </c>
      <c r="B1659" s="1">
        <v>44587</v>
      </c>
      <c r="C1659" t="s">
        <v>3663</v>
      </c>
      <c r="D1659" t="s">
        <v>3999</v>
      </c>
      <c r="E1659">
        <v>19</v>
      </c>
      <c r="F1659" t="str">
        <f t="shared" si="25"/>
        <v>18-25</v>
      </c>
      <c r="G1659" t="s">
        <v>4003</v>
      </c>
      <c r="H1659" t="s">
        <v>4010</v>
      </c>
      <c r="I1659" t="s">
        <v>4013</v>
      </c>
      <c r="J1659">
        <v>1</v>
      </c>
      <c r="K1659">
        <v>7276</v>
      </c>
      <c r="L1659">
        <v>0</v>
      </c>
      <c r="M1659">
        <v>7276</v>
      </c>
      <c r="N1659">
        <v>0</v>
      </c>
      <c r="O1659">
        <v>7276</v>
      </c>
    </row>
    <row r="1660" spans="1:15" x14ac:dyDescent="0.3">
      <c r="A1660" t="s">
        <v>1672</v>
      </c>
      <c r="B1660" s="1">
        <v>44696</v>
      </c>
      <c r="C1660" t="s">
        <v>3664</v>
      </c>
      <c r="D1660" t="s">
        <v>3999</v>
      </c>
      <c r="E1660">
        <v>20</v>
      </c>
      <c r="F1660" t="str">
        <f t="shared" si="25"/>
        <v>18-25</v>
      </c>
      <c r="G1660" t="s">
        <v>4003</v>
      </c>
      <c r="H1660" t="s">
        <v>4010</v>
      </c>
      <c r="I1660" t="s">
        <v>4014</v>
      </c>
      <c r="J1660">
        <v>5</v>
      </c>
      <c r="K1660">
        <v>7393</v>
      </c>
      <c r="L1660">
        <v>5</v>
      </c>
      <c r="M1660">
        <v>36965</v>
      </c>
      <c r="N1660">
        <v>1848.25</v>
      </c>
      <c r="O1660">
        <v>35116.75</v>
      </c>
    </row>
    <row r="1661" spans="1:15" x14ac:dyDescent="0.3">
      <c r="A1661" t="s">
        <v>1673</v>
      </c>
      <c r="B1661" s="1">
        <v>44888</v>
      </c>
      <c r="C1661" t="s">
        <v>3665</v>
      </c>
      <c r="D1661" t="s">
        <v>4000</v>
      </c>
      <c r="E1661">
        <v>57</v>
      </c>
      <c r="F1661" t="str">
        <f t="shared" si="25"/>
        <v>46+</v>
      </c>
      <c r="G1661" t="s">
        <v>4005</v>
      </c>
      <c r="H1661" t="s">
        <v>4008</v>
      </c>
      <c r="I1661" t="s">
        <v>4017</v>
      </c>
      <c r="J1661">
        <v>4</v>
      </c>
      <c r="K1661">
        <v>5600</v>
      </c>
      <c r="L1661">
        <v>5</v>
      </c>
      <c r="M1661">
        <v>22400</v>
      </c>
      <c r="N1661">
        <v>1120</v>
      </c>
      <c r="O1661">
        <v>21280</v>
      </c>
    </row>
    <row r="1662" spans="1:15" x14ac:dyDescent="0.3">
      <c r="A1662" t="s">
        <v>1674</v>
      </c>
      <c r="B1662" s="1">
        <v>45000</v>
      </c>
      <c r="C1662" t="s">
        <v>3666</v>
      </c>
      <c r="D1662" t="s">
        <v>4000</v>
      </c>
      <c r="E1662">
        <v>62</v>
      </c>
      <c r="F1662" t="str">
        <f t="shared" si="25"/>
        <v>46+</v>
      </c>
      <c r="G1662" t="s">
        <v>4001</v>
      </c>
      <c r="H1662" t="s">
        <v>4009</v>
      </c>
      <c r="I1662" t="s">
        <v>4013</v>
      </c>
      <c r="J1662">
        <v>7</v>
      </c>
      <c r="K1662">
        <v>5073</v>
      </c>
      <c r="L1662">
        <v>15</v>
      </c>
      <c r="M1662">
        <v>35511</v>
      </c>
      <c r="N1662">
        <v>5326.65</v>
      </c>
      <c r="O1662">
        <v>30184.35</v>
      </c>
    </row>
    <row r="1663" spans="1:15" x14ac:dyDescent="0.3">
      <c r="A1663" t="s">
        <v>1675</v>
      </c>
      <c r="B1663" s="1">
        <v>44894</v>
      </c>
      <c r="C1663" t="s">
        <v>3667</v>
      </c>
      <c r="D1663" t="s">
        <v>3999</v>
      </c>
      <c r="E1663">
        <v>29</v>
      </c>
      <c r="F1663" t="str">
        <f t="shared" si="25"/>
        <v>26-35</v>
      </c>
      <c r="G1663" t="s">
        <v>4001</v>
      </c>
      <c r="H1663" t="s">
        <v>4009</v>
      </c>
      <c r="I1663" t="s">
        <v>4014</v>
      </c>
      <c r="J1663">
        <v>4</v>
      </c>
      <c r="K1663">
        <v>7592</v>
      </c>
      <c r="L1663">
        <v>5</v>
      </c>
      <c r="M1663">
        <v>30368</v>
      </c>
      <c r="N1663">
        <v>1518.4</v>
      </c>
      <c r="O1663">
        <v>28849.599999999999</v>
      </c>
    </row>
    <row r="1664" spans="1:15" x14ac:dyDescent="0.3">
      <c r="A1664" t="s">
        <v>1676</v>
      </c>
      <c r="B1664" s="1">
        <v>45167</v>
      </c>
      <c r="C1664" t="s">
        <v>3668</v>
      </c>
      <c r="D1664" t="s">
        <v>3999</v>
      </c>
      <c r="E1664">
        <v>38</v>
      </c>
      <c r="F1664" t="str">
        <f t="shared" si="25"/>
        <v>36-45</v>
      </c>
      <c r="G1664" t="s">
        <v>4001</v>
      </c>
      <c r="H1664" t="s">
        <v>4008</v>
      </c>
      <c r="I1664" t="s">
        <v>4015</v>
      </c>
      <c r="J1664">
        <v>6</v>
      </c>
      <c r="K1664">
        <v>1576</v>
      </c>
      <c r="L1664">
        <v>10</v>
      </c>
      <c r="M1664">
        <v>9456</v>
      </c>
      <c r="N1664">
        <v>945.6</v>
      </c>
      <c r="O1664">
        <v>8510.4</v>
      </c>
    </row>
    <row r="1665" spans="1:15" x14ac:dyDescent="0.3">
      <c r="A1665" t="s">
        <v>1677</v>
      </c>
      <c r="B1665" s="1">
        <v>44808</v>
      </c>
      <c r="C1665" t="s">
        <v>3669</v>
      </c>
      <c r="D1665" t="s">
        <v>3999</v>
      </c>
      <c r="E1665">
        <v>57</v>
      </c>
      <c r="F1665" t="str">
        <f t="shared" si="25"/>
        <v>46+</v>
      </c>
      <c r="G1665" t="s">
        <v>4004</v>
      </c>
      <c r="H1665" t="s">
        <v>4009</v>
      </c>
      <c r="I1665" t="s">
        <v>4015</v>
      </c>
      <c r="J1665">
        <v>4</v>
      </c>
      <c r="K1665">
        <v>439</v>
      </c>
      <c r="L1665">
        <v>5</v>
      </c>
      <c r="M1665">
        <v>1756</v>
      </c>
      <c r="N1665">
        <v>87.8</v>
      </c>
      <c r="O1665">
        <v>1668.2</v>
      </c>
    </row>
    <row r="1666" spans="1:15" x14ac:dyDescent="0.3">
      <c r="A1666" t="s">
        <v>1678</v>
      </c>
      <c r="B1666" s="1">
        <v>45186</v>
      </c>
      <c r="C1666" t="s">
        <v>3670</v>
      </c>
      <c r="D1666" t="s">
        <v>3999</v>
      </c>
      <c r="E1666">
        <v>52</v>
      </c>
      <c r="F1666" t="str">
        <f t="shared" ref="F1666:F1729" si="26">IF(E1666&lt;=25,"18-25",IF(E1666&lt;=35,"26-35",IF(E1666&lt;=45,"36-45","46+")))</f>
        <v>46+</v>
      </c>
      <c r="G1666" t="s">
        <v>4002</v>
      </c>
      <c r="H1666" t="s">
        <v>4008</v>
      </c>
      <c r="I1666" t="s">
        <v>4013</v>
      </c>
      <c r="J1666">
        <v>7</v>
      </c>
      <c r="K1666">
        <v>1426</v>
      </c>
      <c r="L1666">
        <v>20</v>
      </c>
      <c r="M1666">
        <v>9982</v>
      </c>
      <c r="N1666">
        <v>1996.4</v>
      </c>
      <c r="O1666">
        <v>7985.6</v>
      </c>
    </row>
    <row r="1667" spans="1:15" x14ac:dyDescent="0.3">
      <c r="A1667" t="s">
        <v>1679</v>
      </c>
      <c r="B1667" s="1">
        <v>45263</v>
      </c>
      <c r="C1667" t="s">
        <v>3671</v>
      </c>
      <c r="D1667" t="s">
        <v>4000</v>
      </c>
      <c r="E1667">
        <v>56</v>
      </c>
      <c r="F1667" t="str">
        <f t="shared" si="26"/>
        <v>46+</v>
      </c>
      <c r="G1667" t="s">
        <v>4002</v>
      </c>
      <c r="H1667" t="s">
        <v>4012</v>
      </c>
      <c r="I1667" t="s">
        <v>4017</v>
      </c>
      <c r="J1667">
        <v>5</v>
      </c>
      <c r="K1667">
        <v>7542</v>
      </c>
      <c r="L1667">
        <v>5</v>
      </c>
      <c r="M1667">
        <v>37710</v>
      </c>
      <c r="N1667">
        <v>1885.5</v>
      </c>
      <c r="O1667">
        <v>35824.5</v>
      </c>
    </row>
    <row r="1668" spans="1:15" x14ac:dyDescent="0.3">
      <c r="A1668" t="s">
        <v>1680</v>
      </c>
      <c r="B1668" s="1">
        <v>44764</v>
      </c>
      <c r="C1668" t="s">
        <v>3672</v>
      </c>
      <c r="D1668" t="s">
        <v>4000</v>
      </c>
      <c r="E1668">
        <v>54</v>
      </c>
      <c r="F1668" t="str">
        <f t="shared" si="26"/>
        <v>46+</v>
      </c>
      <c r="G1668" t="s">
        <v>4005</v>
      </c>
      <c r="H1668" t="s">
        <v>4010</v>
      </c>
      <c r="I1668" t="s">
        <v>4013</v>
      </c>
      <c r="J1668">
        <v>1</v>
      </c>
      <c r="K1668">
        <v>5073</v>
      </c>
      <c r="L1668">
        <v>0</v>
      </c>
      <c r="M1668">
        <v>5073</v>
      </c>
      <c r="N1668">
        <v>0</v>
      </c>
      <c r="O1668">
        <v>5073</v>
      </c>
    </row>
    <row r="1669" spans="1:15" x14ac:dyDescent="0.3">
      <c r="A1669" t="s">
        <v>1681</v>
      </c>
      <c r="B1669" s="1">
        <v>45155</v>
      </c>
      <c r="C1669" t="s">
        <v>3673</v>
      </c>
      <c r="D1669" t="s">
        <v>4000</v>
      </c>
      <c r="E1669">
        <v>29</v>
      </c>
      <c r="F1669" t="str">
        <f t="shared" si="26"/>
        <v>26-35</v>
      </c>
      <c r="G1669" t="s">
        <v>4003</v>
      </c>
      <c r="H1669" t="s">
        <v>4010</v>
      </c>
      <c r="I1669" t="s">
        <v>4016</v>
      </c>
      <c r="J1669">
        <v>5</v>
      </c>
      <c r="K1669">
        <v>3095</v>
      </c>
      <c r="L1669">
        <v>5</v>
      </c>
      <c r="M1669">
        <v>15475</v>
      </c>
      <c r="N1669">
        <v>773.75</v>
      </c>
      <c r="O1669">
        <v>14701.25</v>
      </c>
    </row>
    <row r="1670" spans="1:15" x14ac:dyDescent="0.3">
      <c r="A1670" t="s">
        <v>1682</v>
      </c>
      <c r="B1670" s="1">
        <v>44849</v>
      </c>
      <c r="C1670" t="s">
        <v>3674</v>
      </c>
      <c r="D1670" t="s">
        <v>4000</v>
      </c>
      <c r="E1670">
        <v>54</v>
      </c>
      <c r="F1670" t="str">
        <f t="shared" si="26"/>
        <v>46+</v>
      </c>
      <c r="G1670" t="s">
        <v>4004</v>
      </c>
      <c r="H1670" t="s">
        <v>4012</v>
      </c>
      <c r="I1670" t="s">
        <v>4015</v>
      </c>
      <c r="J1670">
        <v>5</v>
      </c>
      <c r="K1670">
        <v>7884</v>
      </c>
      <c r="L1670">
        <v>20</v>
      </c>
      <c r="M1670">
        <v>39420</v>
      </c>
      <c r="N1670">
        <v>7884</v>
      </c>
      <c r="O1670">
        <v>31536</v>
      </c>
    </row>
    <row r="1671" spans="1:15" x14ac:dyDescent="0.3">
      <c r="A1671" t="s">
        <v>1683</v>
      </c>
      <c r="B1671" s="1">
        <v>44875</v>
      </c>
      <c r="C1671" t="s">
        <v>3675</v>
      </c>
      <c r="D1671" t="s">
        <v>3999</v>
      </c>
      <c r="E1671">
        <v>23</v>
      </c>
      <c r="F1671" t="str">
        <f t="shared" si="26"/>
        <v>18-25</v>
      </c>
      <c r="G1671" t="s">
        <v>4001</v>
      </c>
      <c r="H1671" t="s">
        <v>4012</v>
      </c>
      <c r="I1671" t="s">
        <v>4013</v>
      </c>
      <c r="J1671">
        <v>6</v>
      </c>
      <c r="K1671">
        <v>6872</v>
      </c>
      <c r="L1671">
        <v>15</v>
      </c>
      <c r="M1671">
        <v>41232</v>
      </c>
      <c r="N1671">
        <v>6184.8</v>
      </c>
      <c r="O1671">
        <v>35047.199999999997</v>
      </c>
    </row>
    <row r="1672" spans="1:15" x14ac:dyDescent="0.3">
      <c r="A1672" t="s">
        <v>1684</v>
      </c>
      <c r="B1672" s="1">
        <v>44932</v>
      </c>
      <c r="C1672" t="s">
        <v>3676</v>
      </c>
      <c r="D1672" t="s">
        <v>3999</v>
      </c>
      <c r="E1672">
        <v>40</v>
      </c>
      <c r="F1672" t="str">
        <f t="shared" si="26"/>
        <v>36-45</v>
      </c>
      <c r="G1672" t="s">
        <v>4005</v>
      </c>
      <c r="H1672" t="s">
        <v>4008</v>
      </c>
      <c r="I1672" t="s">
        <v>4015</v>
      </c>
      <c r="J1672">
        <v>5</v>
      </c>
      <c r="K1672">
        <v>4156</v>
      </c>
      <c r="L1672">
        <v>10</v>
      </c>
      <c r="M1672">
        <v>20780</v>
      </c>
      <c r="N1672">
        <v>2078</v>
      </c>
      <c r="O1672">
        <v>18702</v>
      </c>
    </row>
    <row r="1673" spans="1:15" x14ac:dyDescent="0.3">
      <c r="A1673" t="s">
        <v>1685</v>
      </c>
      <c r="B1673" s="1">
        <v>44959</v>
      </c>
      <c r="C1673" t="s">
        <v>3677</v>
      </c>
      <c r="D1673" t="s">
        <v>4000</v>
      </c>
      <c r="E1673">
        <v>46</v>
      </c>
      <c r="F1673" t="str">
        <f t="shared" si="26"/>
        <v>46+</v>
      </c>
      <c r="G1673" t="s">
        <v>4005</v>
      </c>
      <c r="H1673" t="s">
        <v>4010</v>
      </c>
      <c r="I1673" t="s">
        <v>4016</v>
      </c>
      <c r="J1673">
        <v>3</v>
      </c>
      <c r="K1673">
        <v>2133</v>
      </c>
      <c r="L1673">
        <v>10</v>
      </c>
      <c r="M1673">
        <v>6399</v>
      </c>
      <c r="N1673">
        <v>639.9</v>
      </c>
      <c r="O1673">
        <v>5759.1</v>
      </c>
    </row>
    <row r="1674" spans="1:15" x14ac:dyDescent="0.3">
      <c r="A1674" t="s">
        <v>1686</v>
      </c>
      <c r="B1674" s="1">
        <v>44827</v>
      </c>
      <c r="C1674" t="s">
        <v>3678</v>
      </c>
      <c r="D1674" t="s">
        <v>3999</v>
      </c>
      <c r="E1674">
        <v>25</v>
      </c>
      <c r="F1674" t="str">
        <f t="shared" si="26"/>
        <v>18-25</v>
      </c>
      <c r="G1674" t="s">
        <v>4002</v>
      </c>
      <c r="H1674" t="s">
        <v>4011</v>
      </c>
      <c r="I1674" t="s">
        <v>4015</v>
      </c>
      <c r="J1674">
        <v>6</v>
      </c>
      <c r="K1674">
        <v>3721</v>
      </c>
      <c r="L1674">
        <v>10</v>
      </c>
      <c r="M1674">
        <v>22326</v>
      </c>
      <c r="N1674">
        <v>2232.6</v>
      </c>
      <c r="O1674">
        <v>20093.400000000001</v>
      </c>
    </row>
    <row r="1675" spans="1:15" x14ac:dyDescent="0.3">
      <c r="A1675" t="s">
        <v>1687</v>
      </c>
      <c r="B1675" s="1">
        <v>44834</v>
      </c>
      <c r="C1675" t="s">
        <v>3679</v>
      </c>
      <c r="D1675" t="s">
        <v>4000</v>
      </c>
      <c r="E1675">
        <v>38</v>
      </c>
      <c r="F1675" t="str">
        <f t="shared" si="26"/>
        <v>36-45</v>
      </c>
      <c r="G1675" t="s">
        <v>4003</v>
      </c>
      <c r="H1675" t="s">
        <v>4007</v>
      </c>
      <c r="I1675" t="s">
        <v>4013</v>
      </c>
      <c r="J1675">
        <v>3</v>
      </c>
      <c r="K1675">
        <v>6495</v>
      </c>
      <c r="L1675">
        <v>10</v>
      </c>
      <c r="M1675">
        <v>19485</v>
      </c>
      <c r="N1675">
        <v>1948.5</v>
      </c>
      <c r="O1675">
        <v>17536.5</v>
      </c>
    </row>
    <row r="1676" spans="1:15" x14ac:dyDescent="0.3">
      <c r="A1676" t="s">
        <v>1688</v>
      </c>
      <c r="B1676" s="1">
        <v>45185</v>
      </c>
      <c r="C1676" t="s">
        <v>3680</v>
      </c>
      <c r="D1676" t="s">
        <v>4000</v>
      </c>
      <c r="E1676">
        <v>48</v>
      </c>
      <c r="F1676" t="str">
        <f t="shared" si="26"/>
        <v>46+</v>
      </c>
      <c r="G1676" t="s">
        <v>4001</v>
      </c>
      <c r="H1676" t="s">
        <v>4008</v>
      </c>
      <c r="I1676" t="s">
        <v>4014</v>
      </c>
      <c r="J1676">
        <v>4</v>
      </c>
      <c r="K1676">
        <v>5828</v>
      </c>
      <c r="L1676">
        <v>10</v>
      </c>
      <c r="M1676">
        <v>23312</v>
      </c>
      <c r="N1676">
        <v>2331.1999999999998</v>
      </c>
      <c r="O1676">
        <v>20980.799999999999</v>
      </c>
    </row>
    <row r="1677" spans="1:15" x14ac:dyDescent="0.3">
      <c r="A1677" t="s">
        <v>1689</v>
      </c>
      <c r="B1677" s="1">
        <v>44763</v>
      </c>
      <c r="C1677" t="s">
        <v>3681</v>
      </c>
      <c r="D1677" t="s">
        <v>4000</v>
      </c>
      <c r="E1677">
        <v>18</v>
      </c>
      <c r="F1677" t="str">
        <f t="shared" si="26"/>
        <v>18-25</v>
      </c>
      <c r="G1677" t="s">
        <v>4006</v>
      </c>
      <c r="H1677" t="s">
        <v>4011</v>
      </c>
      <c r="I1677" t="s">
        <v>4014</v>
      </c>
      <c r="J1677">
        <v>7</v>
      </c>
      <c r="K1677">
        <v>1750</v>
      </c>
      <c r="L1677">
        <v>10</v>
      </c>
      <c r="M1677">
        <v>12250</v>
      </c>
      <c r="N1677">
        <v>1225</v>
      </c>
      <c r="O1677">
        <v>11025</v>
      </c>
    </row>
    <row r="1678" spans="1:15" x14ac:dyDescent="0.3">
      <c r="A1678" t="s">
        <v>1690</v>
      </c>
      <c r="B1678" s="1">
        <v>45285</v>
      </c>
      <c r="C1678" t="s">
        <v>3682</v>
      </c>
      <c r="D1678" t="s">
        <v>3999</v>
      </c>
      <c r="E1678">
        <v>60</v>
      </c>
      <c r="F1678" t="str">
        <f t="shared" si="26"/>
        <v>46+</v>
      </c>
      <c r="G1678" t="s">
        <v>4003</v>
      </c>
      <c r="H1678" t="s">
        <v>4007</v>
      </c>
      <c r="I1678" t="s">
        <v>4013</v>
      </c>
      <c r="J1678">
        <v>1</v>
      </c>
      <c r="K1678">
        <v>4665</v>
      </c>
      <c r="L1678">
        <v>5</v>
      </c>
      <c r="M1678">
        <v>4665</v>
      </c>
      <c r="N1678">
        <v>233.25</v>
      </c>
      <c r="O1678">
        <v>4431.75</v>
      </c>
    </row>
    <row r="1679" spans="1:15" x14ac:dyDescent="0.3">
      <c r="A1679" t="s">
        <v>1691</v>
      </c>
      <c r="B1679" s="1">
        <v>44639</v>
      </c>
      <c r="C1679" t="s">
        <v>3683</v>
      </c>
      <c r="D1679" t="s">
        <v>3999</v>
      </c>
      <c r="E1679">
        <v>60</v>
      </c>
      <c r="F1679" t="str">
        <f t="shared" si="26"/>
        <v>46+</v>
      </c>
      <c r="G1679" t="s">
        <v>4003</v>
      </c>
      <c r="H1679" t="s">
        <v>4009</v>
      </c>
      <c r="I1679" t="s">
        <v>4015</v>
      </c>
      <c r="J1679">
        <v>1</v>
      </c>
      <c r="K1679">
        <v>2188</v>
      </c>
      <c r="L1679">
        <v>15</v>
      </c>
      <c r="M1679">
        <v>2188</v>
      </c>
      <c r="N1679">
        <v>328.2</v>
      </c>
      <c r="O1679">
        <v>1859.8</v>
      </c>
    </row>
    <row r="1680" spans="1:15" x14ac:dyDescent="0.3">
      <c r="A1680" t="s">
        <v>1692</v>
      </c>
      <c r="B1680" s="1">
        <v>44784</v>
      </c>
      <c r="C1680" t="s">
        <v>3684</v>
      </c>
      <c r="D1680" t="s">
        <v>4000</v>
      </c>
      <c r="E1680">
        <v>61</v>
      </c>
      <c r="F1680" t="str">
        <f t="shared" si="26"/>
        <v>46+</v>
      </c>
      <c r="G1680" t="s">
        <v>4004</v>
      </c>
      <c r="H1680" t="s">
        <v>4012</v>
      </c>
      <c r="I1680" t="s">
        <v>4017</v>
      </c>
      <c r="J1680">
        <v>7</v>
      </c>
      <c r="K1680">
        <v>4086</v>
      </c>
      <c r="L1680">
        <v>10</v>
      </c>
      <c r="M1680">
        <v>28602</v>
      </c>
      <c r="N1680">
        <v>2860.2</v>
      </c>
      <c r="O1680">
        <v>25741.8</v>
      </c>
    </row>
    <row r="1681" spans="1:15" x14ac:dyDescent="0.3">
      <c r="A1681" t="s">
        <v>1693</v>
      </c>
      <c r="B1681" s="1">
        <v>45219</v>
      </c>
      <c r="C1681" t="s">
        <v>3685</v>
      </c>
      <c r="D1681" t="s">
        <v>4000</v>
      </c>
      <c r="E1681">
        <v>47</v>
      </c>
      <c r="F1681" t="str">
        <f t="shared" si="26"/>
        <v>46+</v>
      </c>
      <c r="G1681" t="s">
        <v>4002</v>
      </c>
      <c r="H1681" t="s">
        <v>4010</v>
      </c>
      <c r="I1681" t="s">
        <v>4016</v>
      </c>
      <c r="J1681">
        <v>5</v>
      </c>
      <c r="K1681">
        <v>7934</v>
      </c>
      <c r="L1681">
        <v>0</v>
      </c>
      <c r="M1681">
        <v>39670</v>
      </c>
      <c r="N1681">
        <v>0</v>
      </c>
      <c r="O1681">
        <v>39670</v>
      </c>
    </row>
    <row r="1682" spans="1:15" x14ac:dyDescent="0.3">
      <c r="A1682" t="s">
        <v>1694</v>
      </c>
      <c r="B1682" s="1">
        <v>44828</v>
      </c>
      <c r="C1682" t="s">
        <v>3686</v>
      </c>
      <c r="D1682" t="s">
        <v>3999</v>
      </c>
      <c r="E1682">
        <v>50</v>
      </c>
      <c r="F1682" t="str">
        <f t="shared" si="26"/>
        <v>46+</v>
      </c>
      <c r="G1682" t="s">
        <v>4003</v>
      </c>
      <c r="H1682" t="s">
        <v>4009</v>
      </c>
      <c r="I1682" t="s">
        <v>4016</v>
      </c>
      <c r="J1682">
        <v>1</v>
      </c>
      <c r="K1682">
        <v>185</v>
      </c>
      <c r="L1682">
        <v>0</v>
      </c>
      <c r="M1682">
        <v>185</v>
      </c>
      <c r="N1682">
        <v>0</v>
      </c>
      <c r="O1682">
        <v>185</v>
      </c>
    </row>
    <row r="1683" spans="1:15" x14ac:dyDescent="0.3">
      <c r="A1683" t="s">
        <v>1695</v>
      </c>
      <c r="B1683" s="1">
        <v>44690</v>
      </c>
      <c r="C1683" t="s">
        <v>3687</v>
      </c>
      <c r="D1683" t="s">
        <v>4000</v>
      </c>
      <c r="E1683">
        <v>18</v>
      </c>
      <c r="F1683" t="str">
        <f t="shared" si="26"/>
        <v>18-25</v>
      </c>
      <c r="G1683" t="s">
        <v>4006</v>
      </c>
      <c r="H1683" t="s">
        <v>4007</v>
      </c>
      <c r="I1683" t="s">
        <v>4016</v>
      </c>
      <c r="J1683">
        <v>7</v>
      </c>
      <c r="K1683">
        <v>7070</v>
      </c>
      <c r="L1683">
        <v>10</v>
      </c>
      <c r="M1683">
        <v>49490</v>
      </c>
      <c r="N1683">
        <v>4949</v>
      </c>
      <c r="O1683">
        <v>44541</v>
      </c>
    </row>
    <row r="1684" spans="1:15" x14ac:dyDescent="0.3">
      <c r="A1684" t="s">
        <v>1696</v>
      </c>
      <c r="B1684" s="1">
        <v>44954</v>
      </c>
      <c r="C1684" t="s">
        <v>3688</v>
      </c>
      <c r="D1684" t="s">
        <v>3999</v>
      </c>
      <c r="E1684">
        <v>52</v>
      </c>
      <c r="F1684" t="str">
        <f t="shared" si="26"/>
        <v>46+</v>
      </c>
      <c r="G1684" t="s">
        <v>4002</v>
      </c>
      <c r="H1684" t="s">
        <v>4007</v>
      </c>
      <c r="I1684" t="s">
        <v>4013</v>
      </c>
      <c r="J1684">
        <v>7</v>
      </c>
      <c r="K1684">
        <v>6314</v>
      </c>
      <c r="L1684">
        <v>15</v>
      </c>
      <c r="M1684">
        <v>44198</v>
      </c>
      <c r="N1684">
        <v>6629.7</v>
      </c>
      <c r="O1684">
        <v>37568.300000000003</v>
      </c>
    </row>
    <row r="1685" spans="1:15" x14ac:dyDescent="0.3">
      <c r="A1685" t="s">
        <v>1697</v>
      </c>
      <c r="B1685" s="1">
        <v>44851</v>
      </c>
      <c r="C1685" t="s">
        <v>3689</v>
      </c>
      <c r="D1685" t="s">
        <v>3999</v>
      </c>
      <c r="E1685">
        <v>55</v>
      </c>
      <c r="F1685" t="str">
        <f t="shared" si="26"/>
        <v>46+</v>
      </c>
      <c r="G1685" t="s">
        <v>4003</v>
      </c>
      <c r="H1685" t="s">
        <v>4009</v>
      </c>
      <c r="I1685" t="s">
        <v>4015</v>
      </c>
      <c r="J1685">
        <v>2</v>
      </c>
      <c r="K1685">
        <v>3486</v>
      </c>
      <c r="L1685">
        <v>5</v>
      </c>
      <c r="M1685">
        <v>6972</v>
      </c>
      <c r="N1685">
        <v>348.6</v>
      </c>
      <c r="O1685">
        <v>6623.4</v>
      </c>
    </row>
    <row r="1686" spans="1:15" x14ac:dyDescent="0.3">
      <c r="A1686" t="s">
        <v>1698</v>
      </c>
      <c r="B1686" s="1">
        <v>44908</v>
      </c>
      <c r="C1686" t="s">
        <v>3690</v>
      </c>
      <c r="D1686" t="s">
        <v>4000</v>
      </c>
      <c r="E1686">
        <v>54</v>
      </c>
      <c r="F1686" t="str">
        <f t="shared" si="26"/>
        <v>46+</v>
      </c>
      <c r="G1686" t="s">
        <v>4004</v>
      </c>
      <c r="H1686" t="s">
        <v>4012</v>
      </c>
      <c r="I1686" t="s">
        <v>4015</v>
      </c>
      <c r="J1686">
        <v>5</v>
      </c>
      <c r="K1686">
        <v>1472</v>
      </c>
      <c r="L1686">
        <v>5</v>
      </c>
      <c r="M1686">
        <v>7360</v>
      </c>
      <c r="N1686">
        <v>368</v>
      </c>
      <c r="O1686">
        <v>6992</v>
      </c>
    </row>
    <row r="1687" spans="1:15" x14ac:dyDescent="0.3">
      <c r="A1687" t="s">
        <v>1699</v>
      </c>
      <c r="B1687" s="1">
        <v>44667</v>
      </c>
      <c r="C1687" t="s">
        <v>3691</v>
      </c>
      <c r="D1687" t="s">
        <v>4000</v>
      </c>
      <c r="E1687">
        <v>43</v>
      </c>
      <c r="F1687" t="str">
        <f t="shared" si="26"/>
        <v>36-45</v>
      </c>
      <c r="G1687" t="s">
        <v>4005</v>
      </c>
      <c r="H1687" t="s">
        <v>4007</v>
      </c>
      <c r="I1687" t="s">
        <v>4016</v>
      </c>
      <c r="J1687">
        <v>7</v>
      </c>
      <c r="K1687">
        <v>7887</v>
      </c>
      <c r="L1687">
        <v>5</v>
      </c>
      <c r="M1687">
        <v>55209</v>
      </c>
      <c r="N1687">
        <v>2760.45</v>
      </c>
      <c r="O1687">
        <v>52448.55</v>
      </c>
    </row>
    <row r="1688" spans="1:15" x14ac:dyDescent="0.3">
      <c r="A1688" t="s">
        <v>1700</v>
      </c>
      <c r="B1688" s="1">
        <v>44922</v>
      </c>
      <c r="C1688" t="s">
        <v>3692</v>
      </c>
      <c r="D1688" t="s">
        <v>4000</v>
      </c>
      <c r="E1688">
        <v>64</v>
      </c>
      <c r="F1688" t="str">
        <f t="shared" si="26"/>
        <v>46+</v>
      </c>
      <c r="G1688" t="s">
        <v>4004</v>
      </c>
      <c r="H1688" t="s">
        <v>4007</v>
      </c>
      <c r="I1688" t="s">
        <v>4017</v>
      </c>
      <c r="J1688">
        <v>2</v>
      </c>
      <c r="K1688">
        <v>7983</v>
      </c>
      <c r="L1688">
        <v>10</v>
      </c>
      <c r="M1688">
        <v>15966</v>
      </c>
      <c r="N1688">
        <v>1596.6</v>
      </c>
      <c r="O1688">
        <v>14369.4</v>
      </c>
    </row>
    <row r="1689" spans="1:15" x14ac:dyDescent="0.3">
      <c r="A1689" t="s">
        <v>1701</v>
      </c>
      <c r="B1689" s="1">
        <v>44919</v>
      </c>
      <c r="C1689" t="s">
        <v>3693</v>
      </c>
      <c r="D1689" t="s">
        <v>4000</v>
      </c>
      <c r="E1689">
        <v>55</v>
      </c>
      <c r="F1689" t="str">
        <f t="shared" si="26"/>
        <v>46+</v>
      </c>
      <c r="G1689" t="s">
        <v>4003</v>
      </c>
      <c r="H1689" t="s">
        <v>4007</v>
      </c>
      <c r="I1689" t="s">
        <v>4015</v>
      </c>
      <c r="J1689">
        <v>2</v>
      </c>
      <c r="K1689">
        <v>973</v>
      </c>
      <c r="L1689">
        <v>10</v>
      </c>
      <c r="M1689">
        <v>1946</v>
      </c>
      <c r="N1689">
        <v>194.6</v>
      </c>
      <c r="O1689">
        <v>1751.4</v>
      </c>
    </row>
    <row r="1690" spans="1:15" x14ac:dyDescent="0.3">
      <c r="A1690" t="s">
        <v>1702</v>
      </c>
      <c r="B1690" s="1">
        <v>44964</v>
      </c>
      <c r="C1690" t="s">
        <v>3694</v>
      </c>
      <c r="D1690" t="s">
        <v>4000</v>
      </c>
      <c r="E1690">
        <v>58</v>
      </c>
      <c r="F1690" t="str">
        <f t="shared" si="26"/>
        <v>46+</v>
      </c>
      <c r="G1690" t="s">
        <v>4005</v>
      </c>
      <c r="H1690" t="s">
        <v>4009</v>
      </c>
      <c r="I1690" t="s">
        <v>4013</v>
      </c>
      <c r="J1690">
        <v>7</v>
      </c>
      <c r="K1690">
        <v>7143</v>
      </c>
      <c r="L1690">
        <v>10</v>
      </c>
      <c r="M1690">
        <v>50001</v>
      </c>
      <c r="N1690">
        <v>5000.1000000000004</v>
      </c>
      <c r="O1690">
        <v>45000.9</v>
      </c>
    </row>
    <row r="1691" spans="1:15" x14ac:dyDescent="0.3">
      <c r="A1691" t="s">
        <v>1703</v>
      </c>
      <c r="B1691" s="1">
        <v>44581</v>
      </c>
      <c r="C1691" t="s">
        <v>3695</v>
      </c>
      <c r="D1691" t="s">
        <v>3999</v>
      </c>
      <c r="E1691">
        <v>27</v>
      </c>
      <c r="F1691" t="str">
        <f t="shared" si="26"/>
        <v>26-35</v>
      </c>
      <c r="G1691" t="s">
        <v>4001</v>
      </c>
      <c r="H1691" t="s">
        <v>4010</v>
      </c>
      <c r="I1691" t="s">
        <v>4016</v>
      </c>
      <c r="J1691">
        <v>1</v>
      </c>
      <c r="K1691">
        <v>7803</v>
      </c>
      <c r="L1691">
        <v>10</v>
      </c>
      <c r="M1691">
        <v>7803</v>
      </c>
      <c r="N1691">
        <v>780.3</v>
      </c>
      <c r="O1691">
        <v>7022.7</v>
      </c>
    </row>
    <row r="1692" spans="1:15" x14ac:dyDescent="0.3">
      <c r="A1692" t="s">
        <v>1704</v>
      </c>
      <c r="B1692" s="1">
        <v>45117</v>
      </c>
      <c r="C1692" t="s">
        <v>3696</v>
      </c>
      <c r="D1692" t="s">
        <v>3999</v>
      </c>
      <c r="E1692">
        <v>34</v>
      </c>
      <c r="F1692" t="str">
        <f t="shared" si="26"/>
        <v>26-35</v>
      </c>
      <c r="G1692" t="s">
        <v>4002</v>
      </c>
      <c r="H1692" t="s">
        <v>4009</v>
      </c>
      <c r="I1692" t="s">
        <v>4016</v>
      </c>
      <c r="J1692">
        <v>6</v>
      </c>
      <c r="K1692">
        <v>811</v>
      </c>
      <c r="L1692">
        <v>15</v>
      </c>
      <c r="M1692">
        <v>4866</v>
      </c>
      <c r="N1692">
        <v>729.9</v>
      </c>
      <c r="O1692">
        <v>4136.1000000000004</v>
      </c>
    </row>
    <row r="1693" spans="1:15" x14ac:dyDescent="0.3">
      <c r="A1693" t="s">
        <v>1705</v>
      </c>
      <c r="B1693" s="1">
        <v>44726</v>
      </c>
      <c r="C1693" t="s">
        <v>3697</v>
      </c>
      <c r="D1693" t="s">
        <v>4000</v>
      </c>
      <c r="E1693">
        <v>64</v>
      </c>
      <c r="F1693" t="str">
        <f t="shared" si="26"/>
        <v>46+</v>
      </c>
      <c r="G1693" t="s">
        <v>4002</v>
      </c>
      <c r="H1693" t="s">
        <v>4007</v>
      </c>
      <c r="I1693" t="s">
        <v>4016</v>
      </c>
      <c r="J1693">
        <v>6</v>
      </c>
      <c r="K1693">
        <v>3021</v>
      </c>
      <c r="L1693">
        <v>15</v>
      </c>
      <c r="M1693">
        <v>18126</v>
      </c>
      <c r="N1693">
        <v>2718.9</v>
      </c>
      <c r="O1693">
        <v>15407.1</v>
      </c>
    </row>
    <row r="1694" spans="1:15" x14ac:dyDescent="0.3">
      <c r="A1694" t="s">
        <v>1706</v>
      </c>
      <c r="B1694" s="1">
        <v>45169</v>
      </c>
      <c r="C1694" t="s">
        <v>3698</v>
      </c>
      <c r="D1694" t="s">
        <v>4000</v>
      </c>
      <c r="E1694">
        <v>52</v>
      </c>
      <c r="F1694" t="str">
        <f t="shared" si="26"/>
        <v>46+</v>
      </c>
      <c r="G1694" t="s">
        <v>4005</v>
      </c>
      <c r="H1694" t="s">
        <v>4011</v>
      </c>
      <c r="I1694" t="s">
        <v>4015</v>
      </c>
      <c r="J1694">
        <v>2</v>
      </c>
      <c r="K1694">
        <v>6685</v>
      </c>
      <c r="L1694">
        <v>0</v>
      </c>
      <c r="M1694">
        <v>13370</v>
      </c>
      <c r="N1694">
        <v>0</v>
      </c>
      <c r="O1694">
        <v>13370</v>
      </c>
    </row>
    <row r="1695" spans="1:15" x14ac:dyDescent="0.3">
      <c r="A1695" t="s">
        <v>1707</v>
      </c>
      <c r="B1695" s="1">
        <v>44873</v>
      </c>
      <c r="C1695" t="s">
        <v>3699</v>
      </c>
      <c r="D1695" t="s">
        <v>4000</v>
      </c>
      <c r="E1695">
        <v>62</v>
      </c>
      <c r="F1695" t="str">
        <f t="shared" si="26"/>
        <v>46+</v>
      </c>
      <c r="G1695" t="s">
        <v>4002</v>
      </c>
      <c r="H1695" t="s">
        <v>4007</v>
      </c>
      <c r="I1695" t="s">
        <v>4015</v>
      </c>
      <c r="J1695">
        <v>1</v>
      </c>
      <c r="K1695">
        <v>364</v>
      </c>
      <c r="L1695">
        <v>10</v>
      </c>
      <c r="M1695">
        <v>364</v>
      </c>
      <c r="N1695">
        <v>36.4</v>
      </c>
      <c r="O1695">
        <v>327.60000000000002</v>
      </c>
    </row>
    <row r="1696" spans="1:15" x14ac:dyDescent="0.3">
      <c r="A1696" t="s">
        <v>1708</v>
      </c>
      <c r="B1696" s="1">
        <v>44626</v>
      </c>
      <c r="C1696" t="s">
        <v>3700</v>
      </c>
      <c r="D1696" t="s">
        <v>3999</v>
      </c>
      <c r="E1696">
        <v>57</v>
      </c>
      <c r="F1696" t="str">
        <f t="shared" si="26"/>
        <v>46+</v>
      </c>
      <c r="G1696" t="s">
        <v>4001</v>
      </c>
      <c r="H1696" t="s">
        <v>4008</v>
      </c>
      <c r="I1696" t="s">
        <v>4014</v>
      </c>
      <c r="J1696">
        <v>7</v>
      </c>
      <c r="K1696">
        <v>2747</v>
      </c>
      <c r="L1696">
        <v>20</v>
      </c>
      <c r="M1696">
        <v>19229</v>
      </c>
      <c r="N1696">
        <v>3845.8</v>
      </c>
      <c r="O1696">
        <v>15383.2</v>
      </c>
    </row>
    <row r="1697" spans="1:15" x14ac:dyDescent="0.3">
      <c r="A1697" t="s">
        <v>1709</v>
      </c>
      <c r="B1697" s="1">
        <v>44663</v>
      </c>
      <c r="C1697" t="s">
        <v>3701</v>
      </c>
      <c r="D1697" t="s">
        <v>4000</v>
      </c>
      <c r="E1697">
        <v>46</v>
      </c>
      <c r="F1697" t="str">
        <f t="shared" si="26"/>
        <v>46+</v>
      </c>
      <c r="G1697" t="s">
        <v>4002</v>
      </c>
      <c r="H1697" t="s">
        <v>4011</v>
      </c>
      <c r="I1697" t="s">
        <v>4017</v>
      </c>
      <c r="J1697">
        <v>6</v>
      </c>
      <c r="K1697">
        <v>6129</v>
      </c>
      <c r="L1697">
        <v>15</v>
      </c>
      <c r="M1697">
        <v>36774</v>
      </c>
      <c r="N1697">
        <v>5516.1</v>
      </c>
      <c r="O1697">
        <v>31257.9</v>
      </c>
    </row>
    <row r="1698" spans="1:15" x14ac:dyDescent="0.3">
      <c r="A1698" t="s">
        <v>1710</v>
      </c>
      <c r="B1698" s="1">
        <v>45089</v>
      </c>
      <c r="C1698" t="s">
        <v>3702</v>
      </c>
      <c r="D1698" t="s">
        <v>4000</v>
      </c>
      <c r="E1698">
        <v>58</v>
      </c>
      <c r="F1698" t="str">
        <f t="shared" si="26"/>
        <v>46+</v>
      </c>
      <c r="G1698" t="s">
        <v>4001</v>
      </c>
      <c r="H1698" t="s">
        <v>4011</v>
      </c>
      <c r="I1698" t="s">
        <v>4015</v>
      </c>
      <c r="J1698">
        <v>5</v>
      </c>
      <c r="K1698">
        <v>2870</v>
      </c>
      <c r="L1698">
        <v>0</v>
      </c>
      <c r="M1698">
        <v>14350</v>
      </c>
      <c r="N1698">
        <v>0</v>
      </c>
      <c r="O1698">
        <v>14350</v>
      </c>
    </row>
    <row r="1699" spans="1:15" x14ac:dyDescent="0.3">
      <c r="A1699" t="s">
        <v>1711</v>
      </c>
      <c r="B1699" s="1">
        <v>44792</v>
      </c>
      <c r="C1699" t="s">
        <v>3703</v>
      </c>
      <c r="D1699" t="s">
        <v>4000</v>
      </c>
      <c r="E1699">
        <v>58</v>
      </c>
      <c r="F1699" t="str">
        <f t="shared" si="26"/>
        <v>46+</v>
      </c>
      <c r="G1699" t="s">
        <v>4005</v>
      </c>
      <c r="H1699" t="s">
        <v>4008</v>
      </c>
      <c r="I1699" t="s">
        <v>4014</v>
      </c>
      <c r="J1699">
        <v>3</v>
      </c>
      <c r="K1699">
        <v>1499</v>
      </c>
      <c r="L1699">
        <v>0</v>
      </c>
      <c r="M1699">
        <v>4497</v>
      </c>
      <c r="N1699">
        <v>0</v>
      </c>
      <c r="O1699">
        <v>4497</v>
      </c>
    </row>
    <row r="1700" spans="1:15" x14ac:dyDescent="0.3">
      <c r="A1700" t="s">
        <v>1712</v>
      </c>
      <c r="B1700" s="1">
        <v>44916</v>
      </c>
      <c r="C1700" t="s">
        <v>3704</v>
      </c>
      <c r="D1700" t="s">
        <v>4000</v>
      </c>
      <c r="E1700">
        <v>44</v>
      </c>
      <c r="F1700" t="str">
        <f t="shared" si="26"/>
        <v>36-45</v>
      </c>
      <c r="G1700" t="s">
        <v>4006</v>
      </c>
      <c r="H1700" t="s">
        <v>4008</v>
      </c>
      <c r="I1700" t="s">
        <v>4017</v>
      </c>
      <c r="J1700">
        <v>7</v>
      </c>
      <c r="K1700">
        <v>5101</v>
      </c>
      <c r="L1700">
        <v>15</v>
      </c>
      <c r="M1700">
        <v>35707</v>
      </c>
      <c r="N1700">
        <v>5356.05</v>
      </c>
      <c r="O1700">
        <v>30350.95</v>
      </c>
    </row>
    <row r="1701" spans="1:15" x14ac:dyDescent="0.3">
      <c r="A1701" t="s">
        <v>1713</v>
      </c>
      <c r="B1701" s="1">
        <v>45207</v>
      </c>
      <c r="C1701" t="s">
        <v>3705</v>
      </c>
      <c r="D1701" t="s">
        <v>3999</v>
      </c>
      <c r="E1701">
        <v>64</v>
      </c>
      <c r="F1701" t="str">
        <f t="shared" si="26"/>
        <v>46+</v>
      </c>
      <c r="G1701" t="s">
        <v>4005</v>
      </c>
      <c r="H1701" t="s">
        <v>4008</v>
      </c>
      <c r="I1701" t="s">
        <v>4014</v>
      </c>
      <c r="J1701">
        <v>5</v>
      </c>
      <c r="K1701">
        <v>2754</v>
      </c>
      <c r="L1701">
        <v>15</v>
      </c>
      <c r="M1701">
        <v>13770</v>
      </c>
      <c r="N1701">
        <v>2065.5</v>
      </c>
      <c r="O1701">
        <v>11704.5</v>
      </c>
    </row>
    <row r="1702" spans="1:15" x14ac:dyDescent="0.3">
      <c r="A1702" t="s">
        <v>1714</v>
      </c>
      <c r="B1702" s="1">
        <v>45242</v>
      </c>
      <c r="C1702" t="s">
        <v>3706</v>
      </c>
      <c r="D1702" t="s">
        <v>4000</v>
      </c>
      <c r="E1702">
        <v>50</v>
      </c>
      <c r="F1702" t="str">
        <f t="shared" si="26"/>
        <v>46+</v>
      </c>
      <c r="G1702" t="s">
        <v>4005</v>
      </c>
      <c r="H1702" t="s">
        <v>4007</v>
      </c>
      <c r="I1702" t="s">
        <v>4015</v>
      </c>
      <c r="J1702">
        <v>5</v>
      </c>
      <c r="K1702">
        <v>6901</v>
      </c>
      <c r="L1702">
        <v>0</v>
      </c>
      <c r="M1702">
        <v>34505</v>
      </c>
      <c r="N1702">
        <v>0</v>
      </c>
      <c r="O1702">
        <v>34505</v>
      </c>
    </row>
    <row r="1703" spans="1:15" x14ac:dyDescent="0.3">
      <c r="A1703" t="s">
        <v>1715</v>
      </c>
      <c r="B1703" s="1">
        <v>44602</v>
      </c>
      <c r="C1703" t="s">
        <v>3707</v>
      </c>
      <c r="D1703" t="s">
        <v>3999</v>
      </c>
      <c r="E1703">
        <v>50</v>
      </c>
      <c r="F1703" t="str">
        <f t="shared" si="26"/>
        <v>46+</v>
      </c>
      <c r="G1703" t="s">
        <v>4004</v>
      </c>
      <c r="H1703" t="s">
        <v>4007</v>
      </c>
      <c r="I1703" t="s">
        <v>4014</v>
      </c>
      <c r="J1703">
        <v>2</v>
      </c>
      <c r="K1703">
        <v>6714</v>
      </c>
      <c r="L1703">
        <v>5</v>
      </c>
      <c r="M1703">
        <v>13428</v>
      </c>
      <c r="N1703">
        <v>671.4</v>
      </c>
      <c r="O1703">
        <v>12756.6</v>
      </c>
    </row>
    <row r="1704" spans="1:15" x14ac:dyDescent="0.3">
      <c r="A1704" t="s">
        <v>1716</v>
      </c>
      <c r="B1704" s="1">
        <v>45183</v>
      </c>
      <c r="C1704" t="s">
        <v>3708</v>
      </c>
      <c r="D1704" t="s">
        <v>4000</v>
      </c>
      <c r="E1704">
        <v>50</v>
      </c>
      <c r="F1704" t="str">
        <f t="shared" si="26"/>
        <v>46+</v>
      </c>
      <c r="G1704" t="s">
        <v>4004</v>
      </c>
      <c r="H1704" t="s">
        <v>4007</v>
      </c>
      <c r="I1704" t="s">
        <v>4017</v>
      </c>
      <c r="J1704">
        <v>1</v>
      </c>
      <c r="K1704">
        <v>1204</v>
      </c>
      <c r="L1704">
        <v>0</v>
      </c>
      <c r="M1704">
        <v>1204</v>
      </c>
      <c r="N1704">
        <v>0</v>
      </c>
      <c r="O1704">
        <v>1204</v>
      </c>
    </row>
    <row r="1705" spans="1:15" x14ac:dyDescent="0.3">
      <c r="A1705" t="s">
        <v>1717</v>
      </c>
      <c r="B1705" s="1">
        <v>45212</v>
      </c>
      <c r="C1705" t="s">
        <v>3709</v>
      </c>
      <c r="D1705" t="s">
        <v>3999</v>
      </c>
      <c r="E1705">
        <v>53</v>
      </c>
      <c r="F1705" t="str">
        <f t="shared" si="26"/>
        <v>46+</v>
      </c>
      <c r="G1705" t="s">
        <v>4005</v>
      </c>
      <c r="H1705" t="s">
        <v>4009</v>
      </c>
      <c r="I1705" t="s">
        <v>4014</v>
      </c>
      <c r="J1705">
        <v>1</v>
      </c>
      <c r="K1705">
        <v>4377</v>
      </c>
      <c r="L1705">
        <v>0</v>
      </c>
      <c r="M1705">
        <v>4377</v>
      </c>
      <c r="N1705">
        <v>0</v>
      </c>
      <c r="O1705">
        <v>4377</v>
      </c>
    </row>
    <row r="1706" spans="1:15" x14ac:dyDescent="0.3">
      <c r="A1706" t="s">
        <v>1718</v>
      </c>
      <c r="B1706" s="1">
        <v>45167</v>
      </c>
      <c r="C1706" t="s">
        <v>3710</v>
      </c>
      <c r="D1706" t="s">
        <v>3999</v>
      </c>
      <c r="E1706">
        <v>36</v>
      </c>
      <c r="F1706" t="str">
        <f t="shared" si="26"/>
        <v>36-45</v>
      </c>
      <c r="G1706" t="s">
        <v>4002</v>
      </c>
      <c r="H1706" t="s">
        <v>4007</v>
      </c>
      <c r="I1706" t="s">
        <v>4017</v>
      </c>
      <c r="J1706">
        <v>7</v>
      </c>
      <c r="K1706">
        <v>6819</v>
      </c>
      <c r="L1706">
        <v>0</v>
      </c>
      <c r="M1706">
        <v>47733</v>
      </c>
      <c r="N1706">
        <v>0</v>
      </c>
      <c r="O1706">
        <v>47733</v>
      </c>
    </row>
    <row r="1707" spans="1:15" x14ac:dyDescent="0.3">
      <c r="A1707" t="s">
        <v>1719</v>
      </c>
      <c r="B1707" s="1">
        <v>44671</v>
      </c>
      <c r="C1707" t="s">
        <v>3711</v>
      </c>
      <c r="D1707" t="s">
        <v>4000</v>
      </c>
      <c r="E1707">
        <v>63</v>
      </c>
      <c r="F1707" t="str">
        <f t="shared" si="26"/>
        <v>46+</v>
      </c>
      <c r="G1707" t="s">
        <v>4002</v>
      </c>
      <c r="H1707" t="s">
        <v>4007</v>
      </c>
      <c r="I1707" t="s">
        <v>4014</v>
      </c>
      <c r="J1707">
        <v>1</v>
      </c>
      <c r="K1707">
        <v>1383</v>
      </c>
      <c r="L1707">
        <v>0</v>
      </c>
      <c r="M1707">
        <v>1383</v>
      </c>
      <c r="N1707">
        <v>0</v>
      </c>
      <c r="O1707">
        <v>1383</v>
      </c>
    </row>
    <row r="1708" spans="1:15" x14ac:dyDescent="0.3">
      <c r="A1708" t="s">
        <v>1720</v>
      </c>
      <c r="B1708" s="1">
        <v>45232</v>
      </c>
      <c r="C1708" t="s">
        <v>3712</v>
      </c>
      <c r="D1708" t="s">
        <v>4000</v>
      </c>
      <c r="E1708">
        <v>63</v>
      </c>
      <c r="F1708" t="str">
        <f t="shared" si="26"/>
        <v>46+</v>
      </c>
      <c r="G1708" t="s">
        <v>4002</v>
      </c>
      <c r="H1708" t="s">
        <v>4012</v>
      </c>
      <c r="I1708" t="s">
        <v>4017</v>
      </c>
      <c r="J1708">
        <v>3</v>
      </c>
      <c r="K1708">
        <v>4382</v>
      </c>
      <c r="L1708">
        <v>0</v>
      </c>
      <c r="M1708">
        <v>13146</v>
      </c>
      <c r="N1708">
        <v>0</v>
      </c>
      <c r="O1708">
        <v>13146</v>
      </c>
    </row>
    <row r="1709" spans="1:15" x14ac:dyDescent="0.3">
      <c r="A1709" t="s">
        <v>1721</v>
      </c>
      <c r="B1709" s="1">
        <v>44892</v>
      </c>
      <c r="C1709" t="s">
        <v>3713</v>
      </c>
      <c r="D1709" t="s">
        <v>4000</v>
      </c>
      <c r="E1709">
        <v>39</v>
      </c>
      <c r="F1709" t="str">
        <f t="shared" si="26"/>
        <v>36-45</v>
      </c>
      <c r="G1709" t="s">
        <v>4003</v>
      </c>
      <c r="H1709" t="s">
        <v>4008</v>
      </c>
      <c r="I1709" t="s">
        <v>4014</v>
      </c>
      <c r="J1709">
        <v>3</v>
      </c>
      <c r="K1709">
        <v>4492</v>
      </c>
      <c r="L1709">
        <v>10</v>
      </c>
      <c r="M1709">
        <v>13476</v>
      </c>
      <c r="N1709">
        <v>1347.6</v>
      </c>
      <c r="O1709">
        <v>12128.4</v>
      </c>
    </row>
    <row r="1710" spans="1:15" x14ac:dyDescent="0.3">
      <c r="A1710" t="s">
        <v>1722</v>
      </c>
      <c r="B1710" s="1">
        <v>45077</v>
      </c>
      <c r="C1710" t="s">
        <v>3714</v>
      </c>
      <c r="D1710" t="s">
        <v>3999</v>
      </c>
      <c r="E1710">
        <v>31</v>
      </c>
      <c r="F1710" t="str">
        <f t="shared" si="26"/>
        <v>26-35</v>
      </c>
      <c r="G1710" t="s">
        <v>4003</v>
      </c>
      <c r="H1710" t="s">
        <v>4009</v>
      </c>
      <c r="I1710" t="s">
        <v>4015</v>
      </c>
      <c r="J1710">
        <v>2</v>
      </c>
      <c r="K1710">
        <v>941</v>
      </c>
      <c r="L1710">
        <v>10</v>
      </c>
      <c r="M1710">
        <v>1882</v>
      </c>
      <c r="N1710">
        <v>188.2</v>
      </c>
      <c r="O1710">
        <v>1693.8</v>
      </c>
    </row>
    <row r="1711" spans="1:15" x14ac:dyDescent="0.3">
      <c r="A1711" t="s">
        <v>1723</v>
      </c>
      <c r="B1711" s="1">
        <v>44991</v>
      </c>
      <c r="C1711" t="s">
        <v>3715</v>
      </c>
      <c r="D1711" t="s">
        <v>3999</v>
      </c>
      <c r="E1711">
        <v>39</v>
      </c>
      <c r="F1711" t="str">
        <f t="shared" si="26"/>
        <v>36-45</v>
      </c>
      <c r="G1711" t="s">
        <v>4001</v>
      </c>
      <c r="H1711" t="s">
        <v>4010</v>
      </c>
      <c r="I1711" t="s">
        <v>4016</v>
      </c>
      <c r="J1711">
        <v>1</v>
      </c>
      <c r="K1711">
        <v>2703</v>
      </c>
      <c r="L1711">
        <v>5</v>
      </c>
      <c r="M1711">
        <v>2703</v>
      </c>
      <c r="N1711">
        <v>135.15</v>
      </c>
      <c r="O1711">
        <v>2567.85</v>
      </c>
    </row>
    <row r="1712" spans="1:15" x14ac:dyDescent="0.3">
      <c r="A1712" t="s">
        <v>1724</v>
      </c>
      <c r="B1712" s="1">
        <v>44997</v>
      </c>
      <c r="C1712" t="s">
        <v>3716</v>
      </c>
      <c r="D1712" t="s">
        <v>4000</v>
      </c>
      <c r="E1712">
        <v>18</v>
      </c>
      <c r="F1712" t="str">
        <f t="shared" si="26"/>
        <v>18-25</v>
      </c>
      <c r="G1712" t="s">
        <v>4003</v>
      </c>
      <c r="H1712" t="s">
        <v>4009</v>
      </c>
      <c r="I1712" t="s">
        <v>4013</v>
      </c>
      <c r="J1712">
        <v>7</v>
      </c>
      <c r="K1712">
        <v>1049</v>
      </c>
      <c r="L1712">
        <v>10</v>
      </c>
      <c r="M1712">
        <v>7343</v>
      </c>
      <c r="N1712">
        <v>734.3</v>
      </c>
      <c r="O1712">
        <v>6608.7</v>
      </c>
    </row>
    <row r="1713" spans="1:15" x14ac:dyDescent="0.3">
      <c r="A1713" t="s">
        <v>1725</v>
      </c>
      <c r="B1713" s="1">
        <v>45119</v>
      </c>
      <c r="C1713" t="s">
        <v>3717</v>
      </c>
      <c r="D1713" t="s">
        <v>4000</v>
      </c>
      <c r="E1713">
        <v>36</v>
      </c>
      <c r="F1713" t="str">
        <f t="shared" si="26"/>
        <v>36-45</v>
      </c>
      <c r="G1713" t="s">
        <v>4005</v>
      </c>
      <c r="H1713" t="s">
        <v>4008</v>
      </c>
      <c r="I1713" t="s">
        <v>4013</v>
      </c>
      <c r="J1713">
        <v>6</v>
      </c>
      <c r="K1713">
        <v>849</v>
      </c>
      <c r="L1713">
        <v>5</v>
      </c>
      <c r="M1713">
        <v>5094</v>
      </c>
      <c r="N1713">
        <v>254.7</v>
      </c>
      <c r="O1713">
        <v>4839.3</v>
      </c>
    </row>
    <row r="1714" spans="1:15" x14ac:dyDescent="0.3">
      <c r="A1714" t="s">
        <v>1726</v>
      </c>
      <c r="B1714" s="1">
        <v>44972</v>
      </c>
      <c r="C1714" t="s">
        <v>2048</v>
      </c>
      <c r="D1714" t="s">
        <v>3999</v>
      </c>
      <c r="E1714">
        <v>41</v>
      </c>
      <c r="F1714" t="str">
        <f t="shared" si="26"/>
        <v>36-45</v>
      </c>
      <c r="G1714" t="s">
        <v>4003</v>
      </c>
      <c r="H1714" t="s">
        <v>4010</v>
      </c>
      <c r="I1714" t="s">
        <v>4015</v>
      </c>
      <c r="J1714">
        <v>3</v>
      </c>
      <c r="K1714">
        <v>5067</v>
      </c>
      <c r="L1714">
        <v>0</v>
      </c>
      <c r="M1714">
        <v>15201</v>
      </c>
      <c r="N1714">
        <v>0</v>
      </c>
      <c r="O1714">
        <v>15201</v>
      </c>
    </row>
    <row r="1715" spans="1:15" x14ac:dyDescent="0.3">
      <c r="A1715" t="s">
        <v>1727</v>
      </c>
      <c r="B1715" s="1">
        <v>45015</v>
      </c>
      <c r="C1715" t="s">
        <v>3718</v>
      </c>
      <c r="D1715" t="s">
        <v>4000</v>
      </c>
      <c r="E1715">
        <v>20</v>
      </c>
      <c r="F1715" t="str">
        <f t="shared" si="26"/>
        <v>18-25</v>
      </c>
      <c r="G1715" t="s">
        <v>4006</v>
      </c>
      <c r="H1715" t="s">
        <v>4008</v>
      </c>
      <c r="I1715" t="s">
        <v>4014</v>
      </c>
      <c r="J1715">
        <v>1</v>
      </c>
      <c r="K1715">
        <v>3714</v>
      </c>
      <c r="L1715">
        <v>0</v>
      </c>
      <c r="M1715">
        <v>3714</v>
      </c>
      <c r="N1715">
        <v>0</v>
      </c>
      <c r="O1715">
        <v>3714</v>
      </c>
    </row>
    <row r="1716" spans="1:15" x14ac:dyDescent="0.3">
      <c r="A1716" t="s">
        <v>1728</v>
      </c>
      <c r="B1716" s="1">
        <v>45187</v>
      </c>
      <c r="C1716" t="s">
        <v>3719</v>
      </c>
      <c r="D1716" t="s">
        <v>4000</v>
      </c>
      <c r="E1716">
        <v>21</v>
      </c>
      <c r="F1716" t="str">
        <f t="shared" si="26"/>
        <v>18-25</v>
      </c>
      <c r="G1716" t="s">
        <v>4001</v>
      </c>
      <c r="H1716" t="s">
        <v>4010</v>
      </c>
      <c r="I1716" t="s">
        <v>4013</v>
      </c>
      <c r="J1716">
        <v>4</v>
      </c>
      <c r="K1716">
        <v>4039</v>
      </c>
      <c r="L1716">
        <v>0</v>
      </c>
      <c r="M1716">
        <v>16156</v>
      </c>
      <c r="N1716">
        <v>0</v>
      </c>
      <c r="O1716">
        <v>16156</v>
      </c>
    </row>
    <row r="1717" spans="1:15" x14ac:dyDescent="0.3">
      <c r="A1717" t="s">
        <v>1729</v>
      </c>
      <c r="B1717" s="1">
        <v>44624</v>
      </c>
      <c r="C1717" t="s">
        <v>3720</v>
      </c>
      <c r="D1717" t="s">
        <v>3999</v>
      </c>
      <c r="E1717">
        <v>51</v>
      </c>
      <c r="F1717" t="str">
        <f t="shared" si="26"/>
        <v>46+</v>
      </c>
      <c r="G1717" t="s">
        <v>4006</v>
      </c>
      <c r="H1717" t="s">
        <v>4008</v>
      </c>
      <c r="I1717" t="s">
        <v>4014</v>
      </c>
      <c r="J1717">
        <v>3</v>
      </c>
      <c r="K1717">
        <v>713</v>
      </c>
      <c r="L1717">
        <v>5</v>
      </c>
      <c r="M1717">
        <v>2139</v>
      </c>
      <c r="N1717">
        <v>106.95</v>
      </c>
      <c r="O1717">
        <v>2032.05</v>
      </c>
    </row>
    <row r="1718" spans="1:15" x14ac:dyDescent="0.3">
      <c r="A1718" t="s">
        <v>1730</v>
      </c>
      <c r="B1718" s="1">
        <v>45230</v>
      </c>
      <c r="C1718" t="s">
        <v>3721</v>
      </c>
      <c r="D1718" t="s">
        <v>4000</v>
      </c>
      <c r="E1718">
        <v>50</v>
      </c>
      <c r="F1718" t="str">
        <f t="shared" si="26"/>
        <v>46+</v>
      </c>
      <c r="G1718" t="s">
        <v>4005</v>
      </c>
      <c r="H1718" t="s">
        <v>4008</v>
      </c>
      <c r="I1718" t="s">
        <v>4016</v>
      </c>
      <c r="J1718">
        <v>2</v>
      </c>
      <c r="K1718">
        <v>5720</v>
      </c>
      <c r="L1718">
        <v>5</v>
      </c>
      <c r="M1718">
        <v>11440</v>
      </c>
      <c r="N1718">
        <v>572</v>
      </c>
      <c r="O1718">
        <v>10868</v>
      </c>
    </row>
    <row r="1719" spans="1:15" x14ac:dyDescent="0.3">
      <c r="A1719" t="s">
        <v>1731</v>
      </c>
      <c r="B1719" s="1">
        <v>45014</v>
      </c>
      <c r="C1719" t="s">
        <v>3722</v>
      </c>
      <c r="D1719" t="s">
        <v>3999</v>
      </c>
      <c r="E1719">
        <v>27</v>
      </c>
      <c r="F1719" t="str">
        <f t="shared" si="26"/>
        <v>26-35</v>
      </c>
      <c r="G1719" t="s">
        <v>4002</v>
      </c>
      <c r="H1719" t="s">
        <v>4008</v>
      </c>
      <c r="I1719" t="s">
        <v>4014</v>
      </c>
      <c r="J1719">
        <v>7</v>
      </c>
      <c r="K1719">
        <v>4149</v>
      </c>
      <c r="L1719">
        <v>5</v>
      </c>
      <c r="M1719">
        <v>29043</v>
      </c>
      <c r="N1719">
        <v>1452.15</v>
      </c>
      <c r="O1719">
        <v>27590.85</v>
      </c>
    </row>
    <row r="1720" spans="1:15" x14ac:dyDescent="0.3">
      <c r="A1720" t="s">
        <v>1732</v>
      </c>
      <c r="B1720" s="1">
        <v>45067</v>
      </c>
      <c r="C1720" t="s">
        <v>3723</v>
      </c>
      <c r="D1720" t="s">
        <v>4000</v>
      </c>
      <c r="E1720">
        <v>61</v>
      </c>
      <c r="F1720" t="str">
        <f t="shared" si="26"/>
        <v>46+</v>
      </c>
      <c r="G1720" t="s">
        <v>4001</v>
      </c>
      <c r="H1720" t="s">
        <v>4007</v>
      </c>
      <c r="I1720" t="s">
        <v>4014</v>
      </c>
      <c r="J1720">
        <v>5</v>
      </c>
      <c r="K1720">
        <v>7621</v>
      </c>
      <c r="L1720">
        <v>15</v>
      </c>
      <c r="M1720">
        <v>38105</v>
      </c>
      <c r="N1720">
        <v>5715.75</v>
      </c>
      <c r="O1720">
        <v>32389.25</v>
      </c>
    </row>
    <row r="1721" spans="1:15" x14ac:dyDescent="0.3">
      <c r="A1721" t="s">
        <v>1733</v>
      </c>
      <c r="B1721" s="1">
        <v>44984</v>
      </c>
      <c r="C1721" t="s">
        <v>3724</v>
      </c>
      <c r="D1721" t="s">
        <v>4000</v>
      </c>
      <c r="E1721">
        <v>47</v>
      </c>
      <c r="F1721" t="str">
        <f t="shared" si="26"/>
        <v>46+</v>
      </c>
      <c r="G1721" t="s">
        <v>4001</v>
      </c>
      <c r="H1721" t="s">
        <v>4011</v>
      </c>
      <c r="I1721" t="s">
        <v>4016</v>
      </c>
      <c r="J1721">
        <v>1</v>
      </c>
      <c r="K1721">
        <v>7658</v>
      </c>
      <c r="L1721">
        <v>0</v>
      </c>
      <c r="M1721">
        <v>7658</v>
      </c>
      <c r="N1721">
        <v>0</v>
      </c>
      <c r="O1721">
        <v>7658</v>
      </c>
    </row>
    <row r="1722" spans="1:15" x14ac:dyDescent="0.3">
      <c r="A1722" t="s">
        <v>1734</v>
      </c>
      <c r="B1722" s="1">
        <v>44643</v>
      </c>
      <c r="C1722" t="s">
        <v>3725</v>
      </c>
      <c r="D1722" t="s">
        <v>3999</v>
      </c>
      <c r="E1722">
        <v>48</v>
      </c>
      <c r="F1722" t="str">
        <f t="shared" si="26"/>
        <v>46+</v>
      </c>
      <c r="G1722" t="s">
        <v>4006</v>
      </c>
      <c r="H1722" t="s">
        <v>4010</v>
      </c>
      <c r="I1722" t="s">
        <v>4013</v>
      </c>
      <c r="J1722">
        <v>6</v>
      </c>
      <c r="K1722">
        <v>5388</v>
      </c>
      <c r="L1722">
        <v>0</v>
      </c>
      <c r="M1722">
        <v>32328</v>
      </c>
      <c r="N1722">
        <v>0</v>
      </c>
      <c r="O1722">
        <v>32328</v>
      </c>
    </row>
    <row r="1723" spans="1:15" x14ac:dyDescent="0.3">
      <c r="A1723" t="s">
        <v>1735</v>
      </c>
      <c r="B1723" s="1">
        <v>45268</v>
      </c>
      <c r="C1723" t="s">
        <v>3726</v>
      </c>
      <c r="D1723" t="s">
        <v>3999</v>
      </c>
      <c r="E1723">
        <v>26</v>
      </c>
      <c r="F1723" t="str">
        <f t="shared" si="26"/>
        <v>26-35</v>
      </c>
      <c r="G1723" t="s">
        <v>4004</v>
      </c>
      <c r="H1723" t="s">
        <v>4008</v>
      </c>
      <c r="I1723" t="s">
        <v>4017</v>
      </c>
      <c r="J1723">
        <v>1</v>
      </c>
      <c r="K1723">
        <v>2343</v>
      </c>
      <c r="L1723">
        <v>10</v>
      </c>
      <c r="M1723">
        <v>2343</v>
      </c>
      <c r="N1723">
        <v>234.3</v>
      </c>
      <c r="O1723">
        <v>2108.6999999999998</v>
      </c>
    </row>
    <row r="1724" spans="1:15" x14ac:dyDescent="0.3">
      <c r="A1724" t="s">
        <v>1736</v>
      </c>
      <c r="B1724" s="1">
        <v>44755</v>
      </c>
      <c r="C1724" t="s">
        <v>3727</v>
      </c>
      <c r="D1724" t="s">
        <v>4000</v>
      </c>
      <c r="E1724">
        <v>32</v>
      </c>
      <c r="F1724" t="str">
        <f t="shared" si="26"/>
        <v>26-35</v>
      </c>
      <c r="G1724" t="s">
        <v>4003</v>
      </c>
      <c r="H1724" t="s">
        <v>4009</v>
      </c>
      <c r="I1724" t="s">
        <v>4014</v>
      </c>
      <c r="J1724">
        <v>7</v>
      </c>
      <c r="K1724">
        <v>3962</v>
      </c>
      <c r="L1724">
        <v>0</v>
      </c>
      <c r="M1724">
        <v>27734</v>
      </c>
      <c r="N1724">
        <v>0</v>
      </c>
      <c r="O1724">
        <v>27734</v>
      </c>
    </row>
    <row r="1725" spans="1:15" x14ac:dyDescent="0.3">
      <c r="A1725" t="s">
        <v>1737</v>
      </c>
      <c r="B1725" s="1">
        <v>44986</v>
      </c>
      <c r="C1725" t="s">
        <v>3728</v>
      </c>
      <c r="D1725" t="s">
        <v>4000</v>
      </c>
      <c r="E1725">
        <v>61</v>
      </c>
      <c r="F1725" t="str">
        <f t="shared" si="26"/>
        <v>46+</v>
      </c>
      <c r="G1725" t="s">
        <v>4005</v>
      </c>
      <c r="H1725" t="s">
        <v>4009</v>
      </c>
      <c r="I1725" t="s">
        <v>4016</v>
      </c>
      <c r="J1725">
        <v>7</v>
      </c>
      <c r="K1725">
        <v>3174</v>
      </c>
      <c r="L1725">
        <v>10</v>
      </c>
      <c r="M1725">
        <v>22218</v>
      </c>
      <c r="N1725">
        <v>2221.8000000000002</v>
      </c>
      <c r="O1725">
        <v>19996.2</v>
      </c>
    </row>
    <row r="1726" spans="1:15" x14ac:dyDescent="0.3">
      <c r="A1726" t="s">
        <v>1738</v>
      </c>
      <c r="B1726" s="1">
        <v>44563</v>
      </c>
      <c r="C1726" t="s">
        <v>3729</v>
      </c>
      <c r="D1726" t="s">
        <v>4000</v>
      </c>
      <c r="E1726">
        <v>41</v>
      </c>
      <c r="F1726" t="str">
        <f t="shared" si="26"/>
        <v>36-45</v>
      </c>
      <c r="G1726" t="s">
        <v>4005</v>
      </c>
      <c r="H1726" t="s">
        <v>4008</v>
      </c>
      <c r="I1726" t="s">
        <v>4017</v>
      </c>
      <c r="J1726">
        <v>7</v>
      </c>
      <c r="K1726">
        <v>537</v>
      </c>
      <c r="L1726">
        <v>15</v>
      </c>
      <c r="M1726">
        <v>3759</v>
      </c>
      <c r="N1726">
        <v>563.85</v>
      </c>
      <c r="O1726">
        <v>3195.15</v>
      </c>
    </row>
    <row r="1727" spans="1:15" x14ac:dyDescent="0.3">
      <c r="A1727" t="s">
        <v>1739</v>
      </c>
      <c r="B1727" s="1">
        <v>45070</v>
      </c>
      <c r="C1727" t="s">
        <v>3730</v>
      </c>
      <c r="D1727" t="s">
        <v>3999</v>
      </c>
      <c r="E1727">
        <v>52</v>
      </c>
      <c r="F1727" t="str">
        <f t="shared" si="26"/>
        <v>46+</v>
      </c>
      <c r="G1727" t="s">
        <v>4006</v>
      </c>
      <c r="H1727" t="s">
        <v>4009</v>
      </c>
      <c r="I1727" t="s">
        <v>4014</v>
      </c>
      <c r="J1727">
        <v>3</v>
      </c>
      <c r="K1727">
        <v>3774</v>
      </c>
      <c r="L1727">
        <v>5</v>
      </c>
      <c r="M1727">
        <v>11322</v>
      </c>
      <c r="N1727">
        <v>566.1</v>
      </c>
      <c r="O1727">
        <v>10755.9</v>
      </c>
    </row>
    <row r="1728" spans="1:15" x14ac:dyDescent="0.3">
      <c r="A1728" t="s">
        <v>1740</v>
      </c>
      <c r="B1728" s="1">
        <v>44694</v>
      </c>
      <c r="C1728" t="s">
        <v>3731</v>
      </c>
      <c r="D1728" t="s">
        <v>3999</v>
      </c>
      <c r="E1728">
        <v>32</v>
      </c>
      <c r="F1728" t="str">
        <f t="shared" si="26"/>
        <v>26-35</v>
      </c>
      <c r="G1728" t="s">
        <v>4005</v>
      </c>
      <c r="H1728" t="s">
        <v>4009</v>
      </c>
      <c r="I1728" t="s">
        <v>4014</v>
      </c>
      <c r="J1728">
        <v>2</v>
      </c>
      <c r="K1728">
        <v>474</v>
      </c>
      <c r="L1728">
        <v>0</v>
      </c>
      <c r="M1728">
        <v>948</v>
      </c>
      <c r="N1728">
        <v>0</v>
      </c>
      <c r="O1728">
        <v>948</v>
      </c>
    </row>
    <row r="1729" spans="1:15" x14ac:dyDescent="0.3">
      <c r="A1729" t="s">
        <v>1741</v>
      </c>
      <c r="B1729" s="1">
        <v>44789</v>
      </c>
      <c r="C1729" t="s">
        <v>3732</v>
      </c>
      <c r="D1729" t="s">
        <v>3999</v>
      </c>
      <c r="E1729">
        <v>28</v>
      </c>
      <c r="F1729" t="str">
        <f t="shared" si="26"/>
        <v>26-35</v>
      </c>
      <c r="G1729" t="s">
        <v>4003</v>
      </c>
      <c r="H1729" t="s">
        <v>4007</v>
      </c>
      <c r="I1729" t="s">
        <v>4017</v>
      </c>
      <c r="J1729">
        <v>2</v>
      </c>
      <c r="K1729">
        <v>671</v>
      </c>
      <c r="L1729">
        <v>15</v>
      </c>
      <c r="M1729">
        <v>1342</v>
      </c>
      <c r="N1729">
        <v>201.3</v>
      </c>
      <c r="O1729">
        <v>1140.7</v>
      </c>
    </row>
    <row r="1730" spans="1:15" x14ac:dyDescent="0.3">
      <c r="A1730" t="s">
        <v>1742</v>
      </c>
      <c r="B1730" s="1">
        <v>44838</v>
      </c>
      <c r="C1730" t="s">
        <v>3733</v>
      </c>
      <c r="D1730" t="s">
        <v>3999</v>
      </c>
      <c r="E1730">
        <v>38</v>
      </c>
      <c r="F1730" t="str">
        <f t="shared" ref="F1730:F1793" si="27">IF(E1730&lt;=25,"18-25",IF(E1730&lt;=35,"26-35",IF(E1730&lt;=45,"36-45","46+")))</f>
        <v>36-45</v>
      </c>
      <c r="G1730" t="s">
        <v>4005</v>
      </c>
      <c r="H1730" t="s">
        <v>4009</v>
      </c>
      <c r="I1730" t="s">
        <v>4017</v>
      </c>
      <c r="J1730">
        <v>2</v>
      </c>
      <c r="K1730">
        <v>4902</v>
      </c>
      <c r="L1730">
        <v>15</v>
      </c>
      <c r="M1730">
        <v>9804</v>
      </c>
      <c r="N1730">
        <v>1470.6</v>
      </c>
      <c r="O1730">
        <v>8333.4</v>
      </c>
    </row>
    <row r="1731" spans="1:15" x14ac:dyDescent="0.3">
      <c r="A1731" t="s">
        <v>1743</v>
      </c>
      <c r="B1731" s="1">
        <v>44785</v>
      </c>
      <c r="C1731" t="s">
        <v>3734</v>
      </c>
      <c r="D1731" t="s">
        <v>3999</v>
      </c>
      <c r="E1731">
        <v>59</v>
      </c>
      <c r="F1731" t="str">
        <f t="shared" si="27"/>
        <v>46+</v>
      </c>
      <c r="G1731" t="s">
        <v>4003</v>
      </c>
      <c r="H1731" t="s">
        <v>4012</v>
      </c>
      <c r="I1731" t="s">
        <v>4015</v>
      </c>
      <c r="J1731">
        <v>1</v>
      </c>
      <c r="K1731">
        <v>249</v>
      </c>
      <c r="L1731">
        <v>0</v>
      </c>
      <c r="M1731">
        <v>249</v>
      </c>
      <c r="N1731">
        <v>0</v>
      </c>
      <c r="O1731">
        <v>249</v>
      </c>
    </row>
    <row r="1732" spans="1:15" x14ac:dyDescent="0.3">
      <c r="A1732" t="s">
        <v>1744</v>
      </c>
      <c r="B1732" s="1">
        <v>45162</v>
      </c>
      <c r="C1732" t="s">
        <v>3735</v>
      </c>
      <c r="D1732" t="s">
        <v>4000</v>
      </c>
      <c r="E1732">
        <v>28</v>
      </c>
      <c r="F1732" t="str">
        <f t="shared" si="27"/>
        <v>26-35</v>
      </c>
      <c r="G1732" t="s">
        <v>4005</v>
      </c>
      <c r="H1732" t="s">
        <v>4012</v>
      </c>
      <c r="I1732" t="s">
        <v>4013</v>
      </c>
      <c r="J1732">
        <v>2</v>
      </c>
      <c r="K1732">
        <v>5347</v>
      </c>
      <c r="L1732">
        <v>5</v>
      </c>
      <c r="M1732">
        <v>10694</v>
      </c>
      <c r="N1732">
        <v>534.70000000000005</v>
      </c>
      <c r="O1732">
        <v>10159.299999999999</v>
      </c>
    </row>
    <row r="1733" spans="1:15" x14ac:dyDescent="0.3">
      <c r="A1733" t="s">
        <v>1745</v>
      </c>
      <c r="B1733" s="1">
        <v>44627</v>
      </c>
      <c r="C1733" t="s">
        <v>3736</v>
      </c>
      <c r="D1733" t="s">
        <v>3999</v>
      </c>
      <c r="E1733">
        <v>53</v>
      </c>
      <c r="F1733" t="str">
        <f t="shared" si="27"/>
        <v>46+</v>
      </c>
      <c r="G1733" t="s">
        <v>4004</v>
      </c>
      <c r="H1733" t="s">
        <v>4009</v>
      </c>
      <c r="I1733" t="s">
        <v>4017</v>
      </c>
      <c r="J1733">
        <v>7</v>
      </c>
      <c r="K1733">
        <v>6456</v>
      </c>
      <c r="L1733">
        <v>0</v>
      </c>
      <c r="M1733">
        <v>45192</v>
      </c>
      <c r="N1733">
        <v>0</v>
      </c>
      <c r="O1733">
        <v>45192</v>
      </c>
    </row>
    <row r="1734" spans="1:15" x14ac:dyDescent="0.3">
      <c r="A1734" t="s">
        <v>1746</v>
      </c>
      <c r="B1734" s="1">
        <v>44868</v>
      </c>
      <c r="C1734" t="s">
        <v>3737</v>
      </c>
      <c r="D1734" t="s">
        <v>3999</v>
      </c>
      <c r="E1734">
        <v>30</v>
      </c>
      <c r="F1734" t="str">
        <f t="shared" si="27"/>
        <v>26-35</v>
      </c>
      <c r="G1734" t="s">
        <v>4005</v>
      </c>
      <c r="H1734" t="s">
        <v>4008</v>
      </c>
      <c r="I1734" t="s">
        <v>4017</v>
      </c>
      <c r="J1734">
        <v>7</v>
      </c>
      <c r="K1734">
        <v>6917</v>
      </c>
      <c r="L1734">
        <v>0</v>
      </c>
      <c r="M1734">
        <v>48419</v>
      </c>
      <c r="N1734">
        <v>0</v>
      </c>
      <c r="O1734">
        <v>48419</v>
      </c>
    </row>
    <row r="1735" spans="1:15" x14ac:dyDescent="0.3">
      <c r="A1735" t="s">
        <v>1747</v>
      </c>
      <c r="B1735" s="1">
        <v>45035</v>
      </c>
      <c r="C1735" t="s">
        <v>3738</v>
      </c>
      <c r="D1735" t="s">
        <v>3999</v>
      </c>
      <c r="E1735">
        <v>45</v>
      </c>
      <c r="F1735" t="str">
        <f t="shared" si="27"/>
        <v>36-45</v>
      </c>
      <c r="G1735" t="s">
        <v>4001</v>
      </c>
      <c r="H1735" t="s">
        <v>4007</v>
      </c>
      <c r="I1735" t="s">
        <v>4013</v>
      </c>
      <c r="J1735">
        <v>1</v>
      </c>
      <c r="K1735">
        <v>1158</v>
      </c>
      <c r="L1735">
        <v>0</v>
      </c>
      <c r="M1735">
        <v>1158</v>
      </c>
      <c r="N1735">
        <v>0</v>
      </c>
      <c r="O1735">
        <v>1158</v>
      </c>
    </row>
    <row r="1736" spans="1:15" x14ac:dyDescent="0.3">
      <c r="A1736" t="s">
        <v>1748</v>
      </c>
      <c r="B1736" s="1">
        <v>45208</v>
      </c>
      <c r="C1736" t="s">
        <v>3739</v>
      </c>
      <c r="D1736" t="s">
        <v>3999</v>
      </c>
      <c r="E1736">
        <v>40</v>
      </c>
      <c r="F1736" t="str">
        <f t="shared" si="27"/>
        <v>36-45</v>
      </c>
      <c r="G1736" t="s">
        <v>4003</v>
      </c>
      <c r="H1736" t="s">
        <v>4010</v>
      </c>
      <c r="I1736" t="s">
        <v>4013</v>
      </c>
      <c r="J1736">
        <v>3</v>
      </c>
      <c r="K1736">
        <v>436</v>
      </c>
      <c r="L1736">
        <v>0</v>
      </c>
      <c r="M1736">
        <v>1308</v>
      </c>
      <c r="N1736">
        <v>0</v>
      </c>
      <c r="O1736">
        <v>1308</v>
      </c>
    </row>
    <row r="1737" spans="1:15" x14ac:dyDescent="0.3">
      <c r="A1737" t="s">
        <v>1749</v>
      </c>
      <c r="B1737" s="1">
        <v>45120</v>
      </c>
      <c r="C1737" t="s">
        <v>3740</v>
      </c>
      <c r="D1737" t="s">
        <v>3999</v>
      </c>
      <c r="E1737">
        <v>56</v>
      </c>
      <c r="F1737" t="str">
        <f t="shared" si="27"/>
        <v>46+</v>
      </c>
      <c r="G1737" t="s">
        <v>4004</v>
      </c>
      <c r="H1737" t="s">
        <v>4008</v>
      </c>
      <c r="I1737" t="s">
        <v>4016</v>
      </c>
      <c r="J1737">
        <v>2</v>
      </c>
      <c r="K1737">
        <v>406</v>
      </c>
      <c r="L1737">
        <v>5</v>
      </c>
      <c r="M1737">
        <v>812</v>
      </c>
      <c r="N1737">
        <v>40.6</v>
      </c>
      <c r="O1737">
        <v>771.4</v>
      </c>
    </row>
    <row r="1738" spans="1:15" x14ac:dyDescent="0.3">
      <c r="A1738" t="s">
        <v>1750</v>
      </c>
      <c r="B1738" s="1">
        <v>45179</v>
      </c>
      <c r="C1738" t="s">
        <v>3741</v>
      </c>
      <c r="D1738" t="s">
        <v>4000</v>
      </c>
      <c r="E1738">
        <v>19</v>
      </c>
      <c r="F1738" t="str">
        <f t="shared" si="27"/>
        <v>18-25</v>
      </c>
      <c r="G1738" t="s">
        <v>4002</v>
      </c>
      <c r="H1738" t="s">
        <v>4009</v>
      </c>
      <c r="I1738" t="s">
        <v>4015</v>
      </c>
      <c r="J1738">
        <v>1</v>
      </c>
      <c r="K1738">
        <v>817</v>
      </c>
      <c r="L1738">
        <v>0</v>
      </c>
      <c r="M1738">
        <v>817</v>
      </c>
      <c r="N1738">
        <v>0</v>
      </c>
      <c r="O1738">
        <v>817</v>
      </c>
    </row>
    <row r="1739" spans="1:15" x14ac:dyDescent="0.3">
      <c r="A1739" t="s">
        <v>1751</v>
      </c>
      <c r="B1739" s="1">
        <v>44566</v>
      </c>
      <c r="C1739" t="s">
        <v>3742</v>
      </c>
      <c r="D1739" t="s">
        <v>3999</v>
      </c>
      <c r="E1739">
        <v>42</v>
      </c>
      <c r="F1739" t="str">
        <f t="shared" si="27"/>
        <v>36-45</v>
      </c>
      <c r="G1739" t="s">
        <v>4006</v>
      </c>
      <c r="H1739" t="s">
        <v>4007</v>
      </c>
      <c r="I1739" t="s">
        <v>4014</v>
      </c>
      <c r="J1739">
        <v>7</v>
      </c>
      <c r="K1739">
        <v>3573</v>
      </c>
      <c r="L1739">
        <v>0</v>
      </c>
      <c r="M1739">
        <v>25011</v>
      </c>
      <c r="N1739">
        <v>0</v>
      </c>
      <c r="O1739">
        <v>25011</v>
      </c>
    </row>
    <row r="1740" spans="1:15" x14ac:dyDescent="0.3">
      <c r="A1740" t="s">
        <v>1752</v>
      </c>
      <c r="B1740" s="1">
        <v>44882</v>
      </c>
      <c r="C1740" t="s">
        <v>3743</v>
      </c>
      <c r="D1740" t="s">
        <v>4000</v>
      </c>
      <c r="E1740">
        <v>19</v>
      </c>
      <c r="F1740" t="str">
        <f t="shared" si="27"/>
        <v>18-25</v>
      </c>
      <c r="G1740" t="s">
        <v>4006</v>
      </c>
      <c r="H1740" t="s">
        <v>4007</v>
      </c>
      <c r="I1740" t="s">
        <v>4013</v>
      </c>
      <c r="J1740">
        <v>5</v>
      </c>
      <c r="K1740">
        <v>2591</v>
      </c>
      <c r="L1740">
        <v>10</v>
      </c>
      <c r="M1740">
        <v>12955</v>
      </c>
      <c r="N1740">
        <v>1295.5</v>
      </c>
      <c r="O1740">
        <v>11659.5</v>
      </c>
    </row>
    <row r="1741" spans="1:15" x14ac:dyDescent="0.3">
      <c r="A1741" t="s">
        <v>1753</v>
      </c>
      <c r="B1741" s="1">
        <v>45104</v>
      </c>
      <c r="C1741" t="s">
        <v>3744</v>
      </c>
      <c r="D1741" t="s">
        <v>4000</v>
      </c>
      <c r="E1741">
        <v>28</v>
      </c>
      <c r="F1741" t="str">
        <f t="shared" si="27"/>
        <v>26-35</v>
      </c>
      <c r="G1741" t="s">
        <v>4002</v>
      </c>
      <c r="H1741" t="s">
        <v>4010</v>
      </c>
      <c r="I1741" t="s">
        <v>4016</v>
      </c>
      <c r="J1741">
        <v>5</v>
      </c>
      <c r="K1741">
        <v>908</v>
      </c>
      <c r="L1741">
        <v>0</v>
      </c>
      <c r="M1741">
        <v>4540</v>
      </c>
      <c r="N1741">
        <v>0</v>
      </c>
      <c r="O1741">
        <v>4540</v>
      </c>
    </row>
    <row r="1742" spans="1:15" x14ac:dyDescent="0.3">
      <c r="A1742" t="s">
        <v>1754</v>
      </c>
      <c r="B1742" s="1">
        <v>44932</v>
      </c>
      <c r="C1742" t="s">
        <v>3745</v>
      </c>
      <c r="D1742" t="s">
        <v>3999</v>
      </c>
      <c r="E1742">
        <v>53</v>
      </c>
      <c r="F1742" t="str">
        <f t="shared" si="27"/>
        <v>46+</v>
      </c>
      <c r="G1742" t="s">
        <v>4004</v>
      </c>
      <c r="H1742" t="s">
        <v>4010</v>
      </c>
      <c r="I1742" t="s">
        <v>4014</v>
      </c>
      <c r="J1742">
        <v>5</v>
      </c>
      <c r="K1742">
        <v>2624</v>
      </c>
      <c r="L1742">
        <v>0</v>
      </c>
      <c r="M1742">
        <v>13120</v>
      </c>
      <c r="N1742">
        <v>0</v>
      </c>
      <c r="O1742">
        <v>13120</v>
      </c>
    </row>
    <row r="1743" spans="1:15" x14ac:dyDescent="0.3">
      <c r="A1743" t="s">
        <v>1755</v>
      </c>
      <c r="B1743" s="1">
        <v>45092</v>
      </c>
      <c r="C1743" t="s">
        <v>3746</v>
      </c>
      <c r="D1743" t="s">
        <v>4000</v>
      </c>
      <c r="E1743">
        <v>25</v>
      </c>
      <c r="F1743" t="str">
        <f t="shared" si="27"/>
        <v>18-25</v>
      </c>
      <c r="G1743" t="s">
        <v>4001</v>
      </c>
      <c r="H1743" t="s">
        <v>4009</v>
      </c>
      <c r="I1743" t="s">
        <v>4015</v>
      </c>
      <c r="J1743">
        <v>1</v>
      </c>
      <c r="K1743">
        <v>5488</v>
      </c>
      <c r="L1743">
        <v>5</v>
      </c>
      <c r="M1743">
        <v>5488</v>
      </c>
      <c r="N1743">
        <v>274.39999999999998</v>
      </c>
      <c r="O1743">
        <v>5213.6000000000004</v>
      </c>
    </row>
    <row r="1744" spans="1:15" x14ac:dyDescent="0.3">
      <c r="A1744" t="s">
        <v>1756</v>
      </c>
      <c r="B1744" s="1">
        <v>44946</v>
      </c>
      <c r="C1744" t="s">
        <v>3747</v>
      </c>
      <c r="D1744" t="s">
        <v>4000</v>
      </c>
      <c r="E1744">
        <v>25</v>
      </c>
      <c r="F1744" t="str">
        <f t="shared" si="27"/>
        <v>18-25</v>
      </c>
      <c r="G1744" t="s">
        <v>4004</v>
      </c>
      <c r="H1744" t="s">
        <v>4009</v>
      </c>
      <c r="I1744" t="s">
        <v>4016</v>
      </c>
      <c r="J1744">
        <v>3</v>
      </c>
      <c r="K1744">
        <v>5809</v>
      </c>
      <c r="L1744">
        <v>15</v>
      </c>
      <c r="M1744">
        <v>17427</v>
      </c>
      <c r="N1744">
        <v>2614.0500000000002</v>
      </c>
      <c r="O1744">
        <v>14812.95</v>
      </c>
    </row>
    <row r="1745" spans="1:15" x14ac:dyDescent="0.3">
      <c r="A1745" t="s">
        <v>1757</v>
      </c>
      <c r="B1745" s="1">
        <v>44678</v>
      </c>
      <c r="C1745" t="s">
        <v>3748</v>
      </c>
      <c r="D1745" t="s">
        <v>4000</v>
      </c>
      <c r="E1745">
        <v>26</v>
      </c>
      <c r="F1745" t="str">
        <f t="shared" si="27"/>
        <v>26-35</v>
      </c>
      <c r="G1745" t="s">
        <v>4006</v>
      </c>
      <c r="H1745" t="s">
        <v>4011</v>
      </c>
      <c r="I1745" t="s">
        <v>4016</v>
      </c>
      <c r="J1745">
        <v>5</v>
      </c>
      <c r="K1745">
        <v>6358</v>
      </c>
      <c r="L1745">
        <v>5</v>
      </c>
      <c r="M1745">
        <v>31790</v>
      </c>
      <c r="N1745">
        <v>1589.5</v>
      </c>
      <c r="O1745">
        <v>30200.5</v>
      </c>
    </row>
    <row r="1746" spans="1:15" x14ac:dyDescent="0.3">
      <c r="A1746" t="s">
        <v>1758</v>
      </c>
      <c r="B1746" s="1">
        <v>44646</v>
      </c>
      <c r="C1746" t="s">
        <v>3749</v>
      </c>
      <c r="D1746" t="s">
        <v>4000</v>
      </c>
      <c r="E1746">
        <v>31</v>
      </c>
      <c r="F1746" t="str">
        <f t="shared" si="27"/>
        <v>26-35</v>
      </c>
      <c r="G1746" t="s">
        <v>4005</v>
      </c>
      <c r="H1746" t="s">
        <v>4007</v>
      </c>
      <c r="I1746" t="s">
        <v>4013</v>
      </c>
      <c r="J1746">
        <v>2</v>
      </c>
      <c r="K1746">
        <v>6283</v>
      </c>
      <c r="L1746">
        <v>0</v>
      </c>
      <c r="M1746">
        <v>12566</v>
      </c>
      <c r="N1746">
        <v>0</v>
      </c>
      <c r="O1746">
        <v>12566</v>
      </c>
    </row>
    <row r="1747" spans="1:15" x14ac:dyDescent="0.3">
      <c r="A1747" t="s">
        <v>1759</v>
      </c>
      <c r="B1747" s="1">
        <v>44729</v>
      </c>
      <c r="C1747" t="s">
        <v>3750</v>
      </c>
      <c r="D1747" t="s">
        <v>4000</v>
      </c>
      <c r="E1747">
        <v>42</v>
      </c>
      <c r="F1747" t="str">
        <f t="shared" si="27"/>
        <v>36-45</v>
      </c>
      <c r="G1747" t="s">
        <v>4005</v>
      </c>
      <c r="H1747" t="s">
        <v>4007</v>
      </c>
      <c r="I1747" t="s">
        <v>4014</v>
      </c>
      <c r="J1747">
        <v>5</v>
      </c>
      <c r="K1747">
        <v>7216</v>
      </c>
      <c r="L1747">
        <v>5</v>
      </c>
      <c r="M1747">
        <v>36080</v>
      </c>
      <c r="N1747">
        <v>1804</v>
      </c>
      <c r="O1747">
        <v>34276</v>
      </c>
    </row>
    <row r="1748" spans="1:15" x14ac:dyDescent="0.3">
      <c r="A1748" t="s">
        <v>1760</v>
      </c>
      <c r="B1748" s="1">
        <v>44909</v>
      </c>
      <c r="C1748" t="s">
        <v>3751</v>
      </c>
      <c r="D1748" t="s">
        <v>4000</v>
      </c>
      <c r="E1748">
        <v>19</v>
      </c>
      <c r="F1748" t="str">
        <f t="shared" si="27"/>
        <v>18-25</v>
      </c>
      <c r="G1748" t="s">
        <v>4002</v>
      </c>
      <c r="H1748" t="s">
        <v>4008</v>
      </c>
      <c r="I1748" t="s">
        <v>4016</v>
      </c>
      <c r="J1748">
        <v>1</v>
      </c>
      <c r="K1748">
        <v>3593</v>
      </c>
      <c r="L1748">
        <v>20</v>
      </c>
      <c r="M1748">
        <v>3593</v>
      </c>
      <c r="N1748">
        <v>718.6</v>
      </c>
      <c r="O1748">
        <v>2874.4</v>
      </c>
    </row>
    <row r="1749" spans="1:15" x14ac:dyDescent="0.3">
      <c r="A1749" t="s">
        <v>1761</v>
      </c>
      <c r="B1749" s="1">
        <v>45204</v>
      </c>
      <c r="C1749" t="s">
        <v>3752</v>
      </c>
      <c r="D1749" t="s">
        <v>3999</v>
      </c>
      <c r="E1749">
        <v>30</v>
      </c>
      <c r="F1749" t="str">
        <f t="shared" si="27"/>
        <v>26-35</v>
      </c>
      <c r="G1749" t="s">
        <v>4005</v>
      </c>
      <c r="H1749" t="s">
        <v>4011</v>
      </c>
      <c r="I1749" t="s">
        <v>4016</v>
      </c>
      <c r="J1749">
        <v>5</v>
      </c>
      <c r="K1749">
        <v>329</v>
      </c>
      <c r="L1749">
        <v>5</v>
      </c>
      <c r="M1749">
        <v>1645</v>
      </c>
      <c r="N1749">
        <v>82.25</v>
      </c>
      <c r="O1749">
        <v>1562.75</v>
      </c>
    </row>
    <row r="1750" spans="1:15" x14ac:dyDescent="0.3">
      <c r="A1750" t="s">
        <v>1762</v>
      </c>
      <c r="B1750" s="1">
        <v>45104</v>
      </c>
      <c r="C1750" t="s">
        <v>3753</v>
      </c>
      <c r="D1750" t="s">
        <v>4000</v>
      </c>
      <c r="E1750">
        <v>21</v>
      </c>
      <c r="F1750" t="str">
        <f t="shared" si="27"/>
        <v>18-25</v>
      </c>
      <c r="G1750" t="s">
        <v>4006</v>
      </c>
      <c r="H1750" t="s">
        <v>4007</v>
      </c>
      <c r="I1750" t="s">
        <v>4014</v>
      </c>
      <c r="J1750">
        <v>1</v>
      </c>
      <c r="K1750">
        <v>6304</v>
      </c>
      <c r="L1750">
        <v>0</v>
      </c>
      <c r="M1750">
        <v>6304</v>
      </c>
      <c r="N1750">
        <v>0</v>
      </c>
      <c r="O1750">
        <v>6304</v>
      </c>
    </row>
    <row r="1751" spans="1:15" x14ac:dyDescent="0.3">
      <c r="A1751" t="s">
        <v>1763</v>
      </c>
      <c r="B1751" s="1">
        <v>44597</v>
      </c>
      <c r="C1751" t="s">
        <v>3754</v>
      </c>
      <c r="D1751" t="s">
        <v>4000</v>
      </c>
      <c r="E1751">
        <v>63</v>
      </c>
      <c r="F1751" t="str">
        <f t="shared" si="27"/>
        <v>46+</v>
      </c>
      <c r="G1751" t="s">
        <v>4001</v>
      </c>
      <c r="H1751" t="s">
        <v>4009</v>
      </c>
      <c r="I1751" t="s">
        <v>4015</v>
      </c>
      <c r="J1751">
        <v>4</v>
      </c>
      <c r="K1751">
        <v>2496</v>
      </c>
      <c r="L1751">
        <v>20</v>
      </c>
      <c r="M1751">
        <v>9984</v>
      </c>
      <c r="N1751">
        <v>1996.8</v>
      </c>
      <c r="O1751">
        <v>7987.2</v>
      </c>
    </row>
    <row r="1752" spans="1:15" x14ac:dyDescent="0.3">
      <c r="A1752" t="s">
        <v>1764</v>
      </c>
      <c r="B1752" s="1">
        <v>44657</v>
      </c>
      <c r="C1752" t="s">
        <v>3755</v>
      </c>
      <c r="D1752" t="s">
        <v>3999</v>
      </c>
      <c r="E1752">
        <v>25</v>
      </c>
      <c r="F1752" t="str">
        <f t="shared" si="27"/>
        <v>18-25</v>
      </c>
      <c r="G1752" t="s">
        <v>4005</v>
      </c>
      <c r="H1752" t="s">
        <v>4007</v>
      </c>
      <c r="I1752" t="s">
        <v>4016</v>
      </c>
      <c r="J1752">
        <v>1</v>
      </c>
      <c r="K1752">
        <v>1025</v>
      </c>
      <c r="L1752">
        <v>0</v>
      </c>
      <c r="M1752">
        <v>1025</v>
      </c>
      <c r="N1752">
        <v>0</v>
      </c>
      <c r="O1752">
        <v>1025</v>
      </c>
    </row>
    <row r="1753" spans="1:15" x14ac:dyDescent="0.3">
      <c r="A1753" t="s">
        <v>1765</v>
      </c>
      <c r="B1753" s="1">
        <v>45093</v>
      </c>
      <c r="C1753" t="s">
        <v>3756</v>
      </c>
      <c r="D1753" t="s">
        <v>4000</v>
      </c>
      <c r="E1753">
        <v>52</v>
      </c>
      <c r="F1753" t="str">
        <f t="shared" si="27"/>
        <v>46+</v>
      </c>
      <c r="G1753" t="s">
        <v>4005</v>
      </c>
      <c r="H1753" t="s">
        <v>4007</v>
      </c>
      <c r="I1753" t="s">
        <v>4017</v>
      </c>
      <c r="J1753">
        <v>3</v>
      </c>
      <c r="K1753">
        <v>4800</v>
      </c>
      <c r="L1753">
        <v>0</v>
      </c>
      <c r="M1753">
        <v>14400</v>
      </c>
      <c r="N1753">
        <v>0</v>
      </c>
      <c r="O1753">
        <v>14400</v>
      </c>
    </row>
    <row r="1754" spans="1:15" x14ac:dyDescent="0.3">
      <c r="A1754" t="s">
        <v>1766</v>
      </c>
      <c r="B1754" s="1">
        <v>45203</v>
      </c>
      <c r="C1754" t="s">
        <v>3757</v>
      </c>
      <c r="D1754" t="s">
        <v>4000</v>
      </c>
      <c r="E1754">
        <v>60</v>
      </c>
      <c r="F1754" t="str">
        <f t="shared" si="27"/>
        <v>46+</v>
      </c>
      <c r="G1754" t="s">
        <v>4005</v>
      </c>
      <c r="H1754" t="s">
        <v>4009</v>
      </c>
      <c r="I1754" t="s">
        <v>4015</v>
      </c>
      <c r="J1754">
        <v>2</v>
      </c>
      <c r="K1754">
        <v>4936</v>
      </c>
      <c r="L1754">
        <v>10</v>
      </c>
      <c r="M1754">
        <v>9872</v>
      </c>
      <c r="N1754">
        <v>987.2</v>
      </c>
      <c r="O1754">
        <v>8884.7999999999993</v>
      </c>
    </row>
    <row r="1755" spans="1:15" x14ac:dyDescent="0.3">
      <c r="A1755" t="s">
        <v>1767</v>
      </c>
      <c r="B1755" s="1">
        <v>45040</v>
      </c>
      <c r="C1755" t="s">
        <v>3758</v>
      </c>
      <c r="D1755" t="s">
        <v>4000</v>
      </c>
      <c r="E1755">
        <v>19</v>
      </c>
      <c r="F1755" t="str">
        <f t="shared" si="27"/>
        <v>18-25</v>
      </c>
      <c r="G1755" t="s">
        <v>4005</v>
      </c>
      <c r="H1755" t="s">
        <v>4012</v>
      </c>
      <c r="I1755" t="s">
        <v>4014</v>
      </c>
      <c r="J1755">
        <v>6</v>
      </c>
      <c r="K1755">
        <v>5798</v>
      </c>
      <c r="L1755">
        <v>0</v>
      </c>
      <c r="M1755">
        <v>34788</v>
      </c>
      <c r="N1755">
        <v>0</v>
      </c>
      <c r="O1755">
        <v>34788</v>
      </c>
    </row>
    <row r="1756" spans="1:15" x14ac:dyDescent="0.3">
      <c r="A1756" t="s">
        <v>1768</v>
      </c>
      <c r="B1756" s="1">
        <v>44886</v>
      </c>
      <c r="C1756" t="s">
        <v>3759</v>
      </c>
      <c r="D1756" t="s">
        <v>4000</v>
      </c>
      <c r="E1756">
        <v>41</v>
      </c>
      <c r="F1756" t="str">
        <f t="shared" si="27"/>
        <v>36-45</v>
      </c>
      <c r="G1756" t="s">
        <v>4003</v>
      </c>
      <c r="H1756" t="s">
        <v>4008</v>
      </c>
      <c r="I1756" t="s">
        <v>4017</v>
      </c>
      <c r="J1756">
        <v>6</v>
      </c>
      <c r="K1756">
        <v>235</v>
      </c>
      <c r="L1756">
        <v>10</v>
      </c>
      <c r="M1756">
        <v>1410</v>
      </c>
      <c r="N1756">
        <v>141</v>
      </c>
      <c r="O1756">
        <v>1269</v>
      </c>
    </row>
    <row r="1757" spans="1:15" x14ac:dyDescent="0.3">
      <c r="A1757" t="s">
        <v>1769</v>
      </c>
      <c r="B1757" s="1">
        <v>45080</v>
      </c>
      <c r="C1757" t="s">
        <v>3760</v>
      </c>
      <c r="D1757" t="s">
        <v>3999</v>
      </c>
      <c r="E1757">
        <v>30</v>
      </c>
      <c r="F1757" t="str">
        <f t="shared" si="27"/>
        <v>26-35</v>
      </c>
      <c r="G1757" t="s">
        <v>4005</v>
      </c>
      <c r="H1757" t="s">
        <v>4007</v>
      </c>
      <c r="I1757" t="s">
        <v>4013</v>
      </c>
      <c r="J1757">
        <v>1</v>
      </c>
      <c r="K1757">
        <v>3896</v>
      </c>
      <c r="L1757">
        <v>5</v>
      </c>
      <c r="M1757">
        <v>3896</v>
      </c>
      <c r="N1757">
        <v>194.8</v>
      </c>
      <c r="O1757">
        <v>3701.2</v>
      </c>
    </row>
    <row r="1758" spans="1:15" x14ac:dyDescent="0.3">
      <c r="A1758" t="s">
        <v>1770</v>
      </c>
      <c r="B1758" s="1">
        <v>44784</v>
      </c>
      <c r="C1758" t="s">
        <v>3761</v>
      </c>
      <c r="D1758" t="s">
        <v>4000</v>
      </c>
      <c r="E1758">
        <v>46</v>
      </c>
      <c r="F1758" t="str">
        <f t="shared" si="27"/>
        <v>46+</v>
      </c>
      <c r="G1758" t="s">
        <v>4006</v>
      </c>
      <c r="H1758" t="s">
        <v>4008</v>
      </c>
      <c r="I1758" t="s">
        <v>4013</v>
      </c>
      <c r="J1758">
        <v>4</v>
      </c>
      <c r="K1758">
        <v>2037</v>
      </c>
      <c r="L1758">
        <v>0</v>
      </c>
      <c r="M1758">
        <v>8148</v>
      </c>
      <c r="N1758">
        <v>0</v>
      </c>
      <c r="O1758">
        <v>8148</v>
      </c>
    </row>
    <row r="1759" spans="1:15" x14ac:dyDescent="0.3">
      <c r="A1759" t="s">
        <v>1771</v>
      </c>
      <c r="B1759" s="1">
        <v>44717</v>
      </c>
      <c r="C1759" t="s">
        <v>3762</v>
      </c>
      <c r="D1759" t="s">
        <v>4000</v>
      </c>
      <c r="E1759">
        <v>47</v>
      </c>
      <c r="F1759" t="str">
        <f t="shared" si="27"/>
        <v>46+</v>
      </c>
      <c r="G1759" t="s">
        <v>4006</v>
      </c>
      <c r="H1759" t="s">
        <v>4010</v>
      </c>
      <c r="I1759" t="s">
        <v>4014</v>
      </c>
      <c r="J1759">
        <v>7</v>
      </c>
      <c r="K1759">
        <v>6556</v>
      </c>
      <c r="L1759">
        <v>20</v>
      </c>
      <c r="M1759">
        <v>45892</v>
      </c>
      <c r="N1759">
        <v>9178.4</v>
      </c>
      <c r="O1759">
        <v>36713.599999999999</v>
      </c>
    </row>
    <row r="1760" spans="1:15" x14ac:dyDescent="0.3">
      <c r="A1760" t="s">
        <v>1772</v>
      </c>
      <c r="B1760" s="1">
        <v>44675</v>
      </c>
      <c r="C1760" t="s">
        <v>3763</v>
      </c>
      <c r="D1760" t="s">
        <v>3999</v>
      </c>
      <c r="E1760">
        <v>60</v>
      </c>
      <c r="F1760" t="str">
        <f t="shared" si="27"/>
        <v>46+</v>
      </c>
      <c r="G1760" t="s">
        <v>4001</v>
      </c>
      <c r="H1760" t="s">
        <v>4011</v>
      </c>
      <c r="I1760" t="s">
        <v>4013</v>
      </c>
      <c r="J1760">
        <v>5</v>
      </c>
      <c r="K1760">
        <v>2204</v>
      </c>
      <c r="L1760">
        <v>0</v>
      </c>
      <c r="M1760">
        <v>11020</v>
      </c>
      <c r="N1760">
        <v>0</v>
      </c>
      <c r="O1760">
        <v>11020</v>
      </c>
    </row>
    <row r="1761" spans="1:15" x14ac:dyDescent="0.3">
      <c r="A1761" t="s">
        <v>1773</v>
      </c>
      <c r="B1761" s="1">
        <v>44910</v>
      </c>
      <c r="C1761" t="s">
        <v>3764</v>
      </c>
      <c r="D1761" t="s">
        <v>4000</v>
      </c>
      <c r="E1761">
        <v>20</v>
      </c>
      <c r="F1761" t="str">
        <f t="shared" si="27"/>
        <v>18-25</v>
      </c>
      <c r="G1761" t="s">
        <v>4004</v>
      </c>
      <c r="H1761" t="s">
        <v>4010</v>
      </c>
      <c r="I1761" t="s">
        <v>4015</v>
      </c>
      <c r="J1761">
        <v>3</v>
      </c>
      <c r="K1761">
        <v>5212</v>
      </c>
      <c r="L1761">
        <v>0</v>
      </c>
      <c r="M1761">
        <v>15636</v>
      </c>
      <c r="N1761">
        <v>0</v>
      </c>
      <c r="O1761">
        <v>15636</v>
      </c>
    </row>
    <row r="1762" spans="1:15" x14ac:dyDescent="0.3">
      <c r="A1762" t="s">
        <v>1774</v>
      </c>
      <c r="B1762" s="1">
        <v>45114</v>
      </c>
      <c r="C1762" t="s">
        <v>3765</v>
      </c>
      <c r="D1762" t="s">
        <v>4000</v>
      </c>
      <c r="E1762">
        <v>44</v>
      </c>
      <c r="F1762" t="str">
        <f t="shared" si="27"/>
        <v>36-45</v>
      </c>
      <c r="G1762" t="s">
        <v>4002</v>
      </c>
      <c r="H1762" t="s">
        <v>4009</v>
      </c>
      <c r="I1762" t="s">
        <v>4013</v>
      </c>
      <c r="J1762">
        <v>3</v>
      </c>
      <c r="K1762">
        <v>1091</v>
      </c>
      <c r="L1762">
        <v>0</v>
      </c>
      <c r="M1762">
        <v>3273</v>
      </c>
      <c r="N1762">
        <v>0</v>
      </c>
      <c r="O1762">
        <v>3273</v>
      </c>
    </row>
    <row r="1763" spans="1:15" x14ac:dyDescent="0.3">
      <c r="A1763" t="s">
        <v>1775</v>
      </c>
      <c r="B1763" s="1">
        <v>44860</v>
      </c>
      <c r="C1763" t="s">
        <v>3427</v>
      </c>
      <c r="D1763" t="s">
        <v>3999</v>
      </c>
      <c r="E1763">
        <v>28</v>
      </c>
      <c r="F1763" t="str">
        <f t="shared" si="27"/>
        <v>26-35</v>
      </c>
      <c r="G1763" t="s">
        <v>4006</v>
      </c>
      <c r="H1763" t="s">
        <v>4009</v>
      </c>
      <c r="I1763" t="s">
        <v>4015</v>
      </c>
      <c r="J1763">
        <v>1</v>
      </c>
      <c r="K1763">
        <v>191</v>
      </c>
      <c r="L1763">
        <v>0</v>
      </c>
      <c r="M1763">
        <v>191</v>
      </c>
      <c r="N1763">
        <v>0</v>
      </c>
      <c r="O1763">
        <v>191</v>
      </c>
    </row>
    <row r="1764" spans="1:15" x14ac:dyDescent="0.3">
      <c r="A1764" t="s">
        <v>1776</v>
      </c>
      <c r="B1764" s="1">
        <v>44728</v>
      </c>
      <c r="C1764" t="s">
        <v>3766</v>
      </c>
      <c r="D1764" t="s">
        <v>4000</v>
      </c>
      <c r="E1764">
        <v>62</v>
      </c>
      <c r="F1764" t="str">
        <f t="shared" si="27"/>
        <v>46+</v>
      </c>
      <c r="G1764" t="s">
        <v>4003</v>
      </c>
      <c r="H1764" t="s">
        <v>4007</v>
      </c>
      <c r="I1764" t="s">
        <v>4015</v>
      </c>
      <c r="J1764">
        <v>7</v>
      </c>
      <c r="K1764">
        <v>4255</v>
      </c>
      <c r="L1764">
        <v>15</v>
      </c>
      <c r="M1764">
        <v>29785</v>
      </c>
      <c r="N1764">
        <v>4467.75</v>
      </c>
      <c r="O1764">
        <v>25317.25</v>
      </c>
    </row>
    <row r="1765" spans="1:15" x14ac:dyDescent="0.3">
      <c r="A1765" t="s">
        <v>1777</v>
      </c>
      <c r="B1765" s="1">
        <v>45210</v>
      </c>
      <c r="C1765" t="s">
        <v>2386</v>
      </c>
      <c r="D1765" t="s">
        <v>4000</v>
      </c>
      <c r="E1765">
        <v>60</v>
      </c>
      <c r="F1765" t="str">
        <f t="shared" si="27"/>
        <v>46+</v>
      </c>
      <c r="G1765" t="s">
        <v>4003</v>
      </c>
      <c r="H1765" t="s">
        <v>4008</v>
      </c>
      <c r="I1765" t="s">
        <v>4016</v>
      </c>
      <c r="J1765">
        <v>6</v>
      </c>
      <c r="K1765">
        <v>6102</v>
      </c>
      <c r="L1765">
        <v>5</v>
      </c>
      <c r="M1765">
        <v>36612</v>
      </c>
      <c r="N1765">
        <v>1830.6</v>
      </c>
      <c r="O1765">
        <v>34781.4</v>
      </c>
    </row>
    <row r="1766" spans="1:15" x14ac:dyDescent="0.3">
      <c r="A1766" t="s">
        <v>1778</v>
      </c>
      <c r="B1766" s="1">
        <v>44636</v>
      </c>
      <c r="C1766" t="s">
        <v>3767</v>
      </c>
      <c r="D1766" t="s">
        <v>4000</v>
      </c>
      <c r="E1766">
        <v>36</v>
      </c>
      <c r="F1766" t="str">
        <f t="shared" si="27"/>
        <v>36-45</v>
      </c>
      <c r="G1766" t="s">
        <v>4002</v>
      </c>
      <c r="H1766" t="s">
        <v>4010</v>
      </c>
      <c r="I1766" t="s">
        <v>4016</v>
      </c>
      <c r="J1766">
        <v>4</v>
      </c>
      <c r="K1766">
        <v>3724</v>
      </c>
      <c r="L1766">
        <v>10</v>
      </c>
      <c r="M1766">
        <v>14896</v>
      </c>
      <c r="N1766">
        <v>1489.6</v>
      </c>
      <c r="O1766">
        <v>13406.4</v>
      </c>
    </row>
    <row r="1767" spans="1:15" x14ac:dyDescent="0.3">
      <c r="A1767" t="s">
        <v>1779</v>
      </c>
      <c r="B1767" s="1">
        <v>45168</v>
      </c>
      <c r="C1767" t="s">
        <v>3768</v>
      </c>
      <c r="D1767" t="s">
        <v>4000</v>
      </c>
      <c r="E1767">
        <v>35</v>
      </c>
      <c r="F1767" t="str">
        <f t="shared" si="27"/>
        <v>26-35</v>
      </c>
      <c r="G1767" t="s">
        <v>4002</v>
      </c>
      <c r="H1767" t="s">
        <v>4011</v>
      </c>
      <c r="I1767" t="s">
        <v>4015</v>
      </c>
      <c r="J1767">
        <v>2</v>
      </c>
      <c r="K1767">
        <v>1535</v>
      </c>
      <c r="L1767">
        <v>15</v>
      </c>
      <c r="M1767">
        <v>3070</v>
      </c>
      <c r="N1767">
        <v>460.5</v>
      </c>
      <c r="O1767">
        <v>2609.5</v>
      </c>
    </row>
    <row r="1768" spans="1:15" x14ac:dyDescent="0.3">
      <c r="A1768" t="s">
        <v>1780</v>
      </c>
      <c r="B1768" s="1">
        <v>44997</v>
      </c>
      <c r="C1768" t="s">
        <v>3337</v>
      </c>
      <c r="D1768" t="s">
        <v>3999</v>
      </c>
      <c r="E1768">
        <v>40</v>
      </c>
      <c r="F1768" t="str">
        <f t="shared" si="27"/>
        <v>36-45</v>
      </c>
      <c r="G1768" t="s">
        <v>4002</v>
      </c>
      <c r="H1768" t="s">
        <v>4009</v>
      </c>
      <c r="I1768" t="s">
        <v>4016</v>
      </c>
      <c r="J1768">
        <v>5</v>
      </c>
      <c r="K1768">
        <v>727</v>
      </c>
      <c r="L1768">
        <v>10</v>
      </c>
      <c r="M1768">
        <v>3635</v>
      </c>
      <c r="N1768">
        <v>363.5</v>
      </c>
      <c r="O1768">
        <v>3271.5</v>
      </c>
    </row>
    <row r="1769" spans="1:15" x14ac:dyDescent="0.3">
      <c r="A1769" t="s">
        <v>1781</v>
      </c>
      <c r="B1769" s="1">
        <v>45095</v>
      </c>
      <c r="C1769" t="s">
        <v>3769</v>
      </c>
      <c r="D1769" t="s">
        <v>3999</v>
      </c>
      <c r="E1769">
        <v>61</v>
      </c>
      <c r="F1769" t="str">
        <f t="shared" si="27"/>
        <v>46+</v>
      </c>
      <c r="G1769" t="s">
        <v>4003</v>
      </c>
      <c r="H1769" t="s">
        <v>4009</v>
      </c>
      <c r="I1769" t="s">
        <v>4013</v>
      </c>
      <c r="J1769">
        <v>2</v>
      </c>
      <c r="K1769">
        <v>1763</v>
      </c>
      <c r="L1769">
        <v>15</v>
      </c>
      <c r="M1769">
        <v>3526</v>
      </c>
      <c r="N1769">
        <v>528.9</v>
      </c>
      <c r="O1769">
        <v>2997.1</v>
      </c>
    </row>
    <row r="1770" spans="1:15" x14ac:dyDescent="0.3">
      <c r="A1770" t="s">
        <v>1782</v>
      </c>
      <c r="B1770" s="1">
        <v>44785</v>
      </c>
      <c r="C1770" t="s">
        <v>3770</v>
      </c>
      <c r="D1770" t="s">
        <v>4000</v>
      </c>
      <c r="E1770">
        <v>48</v>
      </c>
      <c r="F1770" t="str">
        <f t="shared" si="27"/>
        <v>46+</v>
      </c>
      <c r="G1770" t="s">
        <v>4006</v>
      </c>
      <c r="H1770" t="s">
        <v>4011</v>
      </c>
      <c r="I1770" t="s">
        <v>4013</v>
      </c>
      <c r="J1770">
        <v>3</v>
      </c>
      <c r="K1770">
        <v>4945</v>
      </c>
      <c r="L1770">
        <v>5</v>
      </c>
      <c r="M1770">
        <v>14835</v>
      </c>
      <c r="N1770">
        <v>741.75</v>
      </c>
      <c r="O1770">
        <v>14093.25</v>
      </c>
    </row>
    <row r="1771" spans="1:15" x14ac:dyDescent="0.3">
      <c r="A1771" t="s">
        <v>1783</v>
      </c>
      <c r="B1771" s="1">
        <v>44631</v>
      </c>
      <c r="C1771" t="s">
        <v>3771</v>
      </c>
      <c r="D1771" t="s">
        <v>4000</v>
      </c>
      <c r="E1771">
        <v>24</v>
      </c>
      <c r="F1771" t="str">
        <f t="shared" si="27"/>
        <v>18-25</v>
      </c>
      <c r="G1771" t="s">
        <v>4002</v>
      </c>
      <c r="H1771" t="s">
        <v>4008</v>
      </c>
      <c r="I1771" t="s">
        <v>4016</v>
      </c>
      <c r="J1771">
        <v>6</v>
      </c>
      <c r="K1771">
        <v>4397</v>
      </c>
      <c r="L1771">
        <v>15</v>
      </c>
      <c r="M1771">
        <v>26382</v>
      </c>
      <c r="N1771">
        <v>3957.3</v>
      </c>
      <c r="O1771">
        <v>22424.7</v>
      </c>
    </row>
    <row r="1772" spans="1:15" x14ac:dyDescent="0.3">
      <c r="A1772" t="s">
        <v>1784</v>
      </c>
      <c r="B1772" s="1">
        <v>45040</v>
      </c>
      <c r="C1772" t="s">
        <v>3772</v>
      </c>
      <c r="D1772" t="s">
        <v>3999</v>
      </c>
      <c r="E1772">
        <v>39</v>
      </c>
      <c r="F1772" t="str">
        <f t="shared" si="27"/>
        <v>36-45</v>
      </c>
      <c r="G1772" t="s">
        <v>4003</v>
      </c>
      <c r="H1772" t="s">
        <v>4008</v>
      </c>
      <c r="I1772" t="s">
        <v>4014</v>
      </c>
      <c r="J1772">
        <v>2</v>
      </c>
      <c r="K1772">
        <v>5060</v>
      </c>
      <c r="L1772">
        <v>0</v>
      </c>
      <c r="M1772">
        <v>10120</v>
      </c>
      <c r="N1772">
        <v>0</v>
      </c>
      <c r="O1772">
        <v>10120</v>
      </c>
    </row>
    <row r="1773" spans="1:15" x14ac:dyDescent="0.3">
      <c r="A1773" t="s">
        <v>1785</v>
      </c>
      <c r="B1773" s="1">
        <v>44991</v>
      </c>
      <c r="C1773" t="s">
        <v>3773</v>
      </c>
      <c r="D1773" t="s">
        <v>3999</v>
      </c>
      <c r="E1773">
        <v>51</v>
      </c>
      <c r="F1773" t="str">
        <f t="shared" si="27"/>
        <v>46+</v>
      </c>
      <c r="G1773" t="s">
        <v>4005</v>
      </c>
      <c r="H1773" t="s">
        <v>4007</v>
      </c>
      <c r="I1773" t="s">
        <v>4013</v>
      </c>
      <c r="J1773">
        <v>2</v>
      </c>
      <c r="K1773">
        <v>1959</v>
      </c>
      <c r="L1773">
        <v>15</v>
      </c>
      <c r="M1773">
        <v>3918</v>
      </c>
      <c r="N1773">
        <v>587.70000000000005</v>
      </c>
      <c r="O1773">
        <v>3330.3</v>
      </c>
    </row>
    <row r="1774" spans="1:15" x14ac:dyDescent="0.3">
      <c r="A1774" t="s">
        <v>1786</v>
      </c>
      <c r="B1774" s="1">
        <v>44797</v>
      </c>
      <c r="C1774" t="s">
        <v>3774</v>
      </c>
      <c r="D1774" t="s">
        <v>4000</v>
      </c>
      <c r="E1774">
        <v>29</v>
      </c>
      <c r="F1774" t="str">
        <f t="shared" si="27"/>
        <v>26-35</v>
      </c>
      <c r="G1774" t="s">
        <v>4001</v>
      </c>
      <c r="H1774" t="s">
        <v>4009</v>
      </c>
      <c r="I1774" t="s">
        <v>4016</v>
      </c>
      <c r="J1774">
        <v>6</v>
      </c>
      <c r="K1774">
        <v>4301</v>
      </c>
      <c r="L1774">
        <v>0</v>
      </c>
      <c r="M1774">
        <v>25806</v>
      </c>
      <c r="N1774">
        <v>0</v>
      </c>
      <c r="O1774">
        <v>25806</v>
      </c>
    </row>
    <row r="1775" spans="1:15" x14ac:dyDescent="0.3">
      <c r="A1775" t="s">
        <v>1787</v>
      </c>
      <c r="B1775" s="1">
        <v>44782</v>
      </c>
      <c r="C1775" t="s">
        <v>3775</v>
      </c>
      <c r="D1775" t="s">
        <v>4000</v>
      </c>
      <c r="E1775">
        <v>47</v>
      </c>
      <c r="F1775" t="str">
        <f t="shared" si="27"/>
        <v>46+</v>
      </c>
      <c r="G1775" t="s">
        <v>4006</v>
      </c>
      <c r="H1775" t="s">
        <v>4007</v>
      </c>
      <c r="I1775" t="s">
        <v>4014</v>
      </c>
      <c r="J1775">
        <v>5</v>
      </c>
      <c r="K1775">
        <v>7260</v>
      </c>
      <c r="L1775">
        <v>5</v>
      </c>
      <c r="M1775">
        <v>36300</v>
      </c>
      <c r="N1775">
        <v>1815</v>
      </c>
      <c r="O1775">
        <v>34485</v>
      </c>
    </row>
    <row r="1776" spans="1:15" x14ac:dyDescent="0.3">
      <c r="A1776" t="s">
        <v>1788</v>
      </c>
      <c r="B1776" s="1">
        <v>45002</v>
      </c>
      <c r="C1776" t="s">
        <v>3776</v>
      </c>
      <c r="D1776" t="s">
        <v>4000</v>
      </c>
      <c r="E1776">
        <v>62</v>
      </c>
      <c r="F1776" t="str">
        <f t="shared" si="27"/>
        <v>46+</v>
      </c>
      <c r="G1776" t="s">
        <v>4002</v>
      </c>
      <c r="H1776" t="s">
        <v>4008</v>
      </c>
      <c r="I1776" t="s">
        <v>4015</v>
      </c>
      <c r="J1776">
        <v>6</v>
      </c>
      <c r="K1776">
        <v>1775</v>
      </c>
      <c r="L1776">
        <v>0</v>
      </c>
      <c r="M1776">
        <v>10650</v>
      </c>
      <c r="N1776">
        <v>0</v>
      </c>
      <c r="O1776">
        <v>10650</v>
      </c>
    </row>
    <row r="1777" spans="1:15" x14ac:dyDescent="0.3">
      <c r="A1777" t="s">
        <v>1789</v>
      </c>
      <c r="B1777" s="1">
        <v>45068</v>
      </c>
      <c r="C1777" t="s">
        <v>3777</v>
      </c>
      <c r="D1777" t="s">
        <v>3999</v>
      </c>
      <c r="E1777">
        <v>56</v>
      </c>
      <c r="F1777" t="str">
        <f t="shared" si="27"/>
        <v>46+</v>
      </c>
      <c r="G1777" t="s">
        <v>4002</v>
      </c>
      <c r="H1777" t="s">
        <v>4009</v>
      </c>
      <c r="I1777" t="s">
        <v>4017</v>
      </c>
      <c r="J1777">
        <v>2</v>
      </c>
      <c r="K1777">
        <v>5423</v>
      </c>
      <c r="L1777">
        <v>0</v>
      </c>
      <c r="M1777">
        <v>10846</v>
      </c>
      <c r="N1777">
        <v>0</v>
      </c>
      <c r="O1777">
        <v>10846</v>
      </c>
    </row>
    <row r="1778" spans="1:15" x14ac:dyDescent="0.3">
      <c r="A1778" t="s">
        <v>1790</v>
      </c>
      <c r="B1778" s="1">
        <v>45103</v>
      </c>
      <c r="C1778" t="s">
        <v>3778</v>
      </c>
      <c r="D1778" t="s">
        <v>4000</v>
      </c>
      <c r="E1778">
        <v>28</v>
      </c>
      <c r="F1778" t="str">
        <f t="shared" si="27"/>
        <v>26-35</v>
      </c>
      <c r="G1778" t="s">
        <v>4005</v>
      </c>
      <c r="H1778" t="s">
        <v>4008</v>
      </c>
      <c r="I1778" t="s">
        <v>4013</v>
      </c>
      <c r="J1778">
        <v>3</v>
      </c>
      <c r="K1778">
        <v>5608</v>
      </c>
      <c r="L1778">
        <v>10</v>
      </c>
      <c r="M1778">
        <v>16824</v>
      </c>
      <c r="N1778">
        <v>1682.4</v>
      </c>
      <c r="O1778">
        <v>15141.6</v>
      </c>
    </row>
    <row r="1779" spans="1:15" x14ac:dyDescent="0.3">
      <c r="A1779" t="s">
        <v>1791</v>
      </c>
      <c r="B1779" s="1">
        <v>44878</v>
      </c>
      <c r="C1779" t="s">
        <v>3779</v>
      </c>
      <c r="D1779" t="s">
        <v>4000</v>
      </c>
      <c r="E1779">
        <v>30</v>
      </c>
      <c r="F1779" t="str">
        <f t="shared" si="27"/>
        <v>26-35</v>
      </c>
      <c r="G1779" t="s">
        <v>4006</v>
      </c>
      <c r="H1779" t="s">
        <v>4012</v>
      </c>
      <c r="I1779" t="s">
        <v>4017</v>
      </c>
      <c r="J1779">
        <v>5</v>
      </c>
      <c r="K1779">
        <v>4894</v>
      </c>
      <c r="L1779">
        <v>0</v>
      </c>
      <c r="M1779">
        <v>24470</v>
      </c>
      <c r="N1779">
        <v>0</v>
      </c>
      <c r="O1779">
        <v>24470</v>
      </c>
    </row>
    <row r="1780" spans="1:15" x14ac:dyDescent="0.3">
      <c r="A1780" t="s">
        <v>1792</v>
      </c>
      <c r="B1780" s="1">
        <v>44585</v>
      </c>
      <c r="C1780" t="s">
        <v>3780</v>
      </c>
      <c r="D1780" t="s">
        <v>4000</v>
      </c>
      <c r="E1780">
        <v>62</v>
      </c>
      <c r="F1780" t="str">
        <f t="shared" si="27"/>
        <v>46+</v>
      </c>
      <c r="G1780" t="s">
        <v>4001</v>
      </c>
      <c r="H1780" t="s">
        <v>4008</v>
      </c>
      <c r="I1780" t="s">
        <v>4016</v>
      </c>
      <c r="J1780">
        <v>1</v>
      </c>
      <c r="K1780">
        <v>369</v>
      </c>
      <c r="L1780">
        <v>0</v>
      </c>
      <c r="M1780">
        <v>369</v>
      </c>
      <c r="N1780">
        <v>0</v>
      </c>
      <c r="O1780">
        <v>369</v>
      </c>
    </row>
    <row r="1781" spans="1:15" x14ac:dyDescent="0.3">
      <c r="A1781" t="s">
        <v>1793</v>
      </c>
      <c r="B1781" s="1">
        <v>44905</v>
      </c>
      <c r="C1781" t="s">
        <v>3781</v>
      </c>
      <c r="D1781" t="s">
        <v>4000</v>
      </c>
      <c r="E1781">
        <v>43</v>
      </c>
      <c r="F1781" t="str">
        <f t="shared" si="27"/>
        <v>36-45</v>
      </c>
      <c r="G1781" t="s">
        <v>4002</v>
      </c>
      <c r="H1781" t="s">
        <v>4009</v>
      </c>
      <c r="I1781" t="s">
        <v>4013</v>
      </c>
      <c r="J1781">
        <v>4</v>
      </c>
      <c r="K1781">
        <v>1590</v>
      </c>
      <c r="L1781">
        <v>0</v>
      </c>
      <c r="M1781">
        <v>6360</v>
      </c>
      <c r="N1781">
        <v>0</v>
      </c>
      <c r="O1781">
        <v>6360</v>
      </c>
    </row>
    <row r="1782" spans="1:15" x14ac:dyDescent="0.3">
      <c r="A1782" t="s">
        <v>1794</v>
      </c>
      <c r="B1782" s="1">
        <v>44585</v>
      </c>
      <c r="C1782" t="s">
        <v>3782</v>
      </c>
      <c r="D1782" t="s">
        <v>3999</v>
      </c>
      <c r="E1782">
        <v>59</v>
      </c>
      <c r="F1782" t="str">
        <f t="shared" si="27"/>
        <v>46+</v>
      </c>
      <c r="G1782" t="s">
        <v>4002</v>
      </c>
      <c r="H1782" t="s">
        <v>4009</v>
      </c>
      <c r="I1782" t="s">
        <v>4017</v>
      </c>
      <c r="J1782">
        <v>3</v>
      </c>
      <c r="K1782">
        <v>6021</v>
      </c>
      <c r="L1782">
        <v>15</v>
      </c>
      <c r="M1782">
        <v>18063</v>
      </c>
      <c r="N1782">
        <v>2709.45</v>
      </c>
      <c r="O1782">
        <v>15353.55</v>
      </c>
    </row>
    <row r="1783" spans="1:15" x14ac:dyDescent="0.3">
      <c r="A1783" t="s">
        <v>1795</v>
      </c>
      <c r="B1783" s="1">
        <v>44987</v>
      </c>
      <c r="C1783" t="s">
        <v>3783</v>
      </c>
      <c r="D1783" t="s">
        <v>4000</v>
      </c>
      <c r="E1783">
        <v>40</v>
      </c>
      <c r="F1783" t="str">
        <f t="shared" si="27"/>
        <v>36-45</v>
      </c>
      <c r="G1783" t="s">
        <v>4002</v>
      </c>
      <c r="H1783" t="s">
        <v>4007</v>
      </c>
      <c r="I1783" t="s">
        <v>4017</v>
      </c>
      <c r="J1783">
        <v>6</v>
      </c>
      <c r="K1783">
        <v>6676</v>
      </c>
      <c r="L1783">
        <v>10</v>
      </c>
      <c r="M1783">
        <v>40056</v>
      </c>
      <c r="N1783">
        <v>4005.6</v>
      </c>
      <c r="O1783">
        <v>36050.400000000001</v>
      </c>
    </row>
    <row r="1784" spans="1:15" x14ac:dyDescent="0.3">
      <c r="A1784" t="s">
        <v>1796</v>
      </c>
      <c r="B1784" s="1">
        <v>44884</v>
      </c>
      <c r="C1784" t="s">
        <v>3784</v>
      </c>
      <c r="D1784" t="s">
        <v>4000</v>
      </c>
      <c r="E1784">
        <v>59</v>
      </c>
      <c r="F1784" t="str">
        <f t="shared" si="27"/>
        <v>46+</v>
      </c>
      <c r="G1784" t="s">
        <v>4005</v>
      </c>
      <c r="H1784" t="s">
        <v>4010</v>
      </c>
      <c r="I1784" t="s">
        <v>4013</v>
      </c>
      <c r="J1784">
        <v>3</v>
      </c>
      <c r="K1784">
        <v>1230</v>
      </c>
      <c r="L1784">
        <v>0</v>
      </c>
      <c r="M1784">
        <v>3690</v>
      </c>
      <c r="N1784">
        <v>0</v>
      </c>
      <c r="O1784">
        <v>3690</v>
      </c>
    </row>
    <row r="1785" spans="1:15" x14ac:dyDescent="0.3">
      <c r="A1785" t="s">
        <v>1797</v>
      </c>
      <c r="B1785" s="1">
        <v>44900</v>
      </c>
      <c r="C1785" t="s">
        <v>3785</v>
      </c>
      <c r="D1785" t="s">
        <v>3999</v>
      </c>
      <c r="E1785">
        <v>43</v>
      </c>
      <c r="F1785" t="str">
        <f t="shared" si="27"/>
        <v>36-45</v>
      </c>
      <c r="G1785" t="s">
        <v>4003</v>
      </c>
      <c r="H1785" t="s">
        <v>4007</v>
      </c>
      <c r="I1785" t="s">
        <v>4016</v>
      </c>
      <c r="J1785">
        <v>3</v>
      </c>
      <c r="K1785">
        <v>5351</v>
      </c>
      <c r="L1785">
        <v>0</v>
      </c>
      <c r="M1785">
        <v>16053</v>
      </c>
      <c r="N1785">
        <v>0</v>
      </c>
      <c r="O1785">
        <v>16053</v>
      </c>
    </row>
    <row r="1786" spans="1:15" x14ac:dyDescent="0.3">
      <c r="A1786" t="s">
        <v>1798</v>
      </c>
      <c r="B1786" s="1">
        <v>45215</v>
      </c>
      <c r="C1786" t="s">
        <v>3786</v>
      </c>
      <c r="D1786" t="s">
        <v>4000</v>
      </c>
      <c r="E1786">
        <v>49</v>
      </c>
      <c r="F1786" t="str">
        <f t="shared" si="27"/>
        <v>46+</v>
      </c>
      <c r="G1786" t="s">
        <v>4004</v>
      </c>
      <c r="H1786" t="s">
        <v>4010</v>
      </c>
      <c r="I1786" t="s">
        <v>4015</v>
      </c>
      <c r="J1786">
        <v>7</v>
      </c>
      <c r="K1786">
        <v>1535</v>
      </c>
      <c r="L1786">
        <v>5</v>
      </c>
      <c r="M1786">
        <v>10745</v>
      </c>
      <c r="N1786">
        <v>537.25</v>
      </c>
      <c r="O1786">
        <v>10207.75</v>
      </c>
    </row>
    <row r="1787" spans="1:15" x14ac:dyDescent="0.3">
      <c r="A1787" t="s">
        <v>1799</v>
      </c>
      <c r="B1787" s="1">
        <v>44696</v>
      </c>
      <c r="C1787" t="s">
        <v>3787</v>
      </c>
      <c r="D1787" t="s">
        <v>4000</v>
      </c>
      <c r="E1787">
        <v>54</v>
      </c>
      <c r="F1787" t="str">
        <f t="shared" si="27"/>
        <v>46+</v>
      </c>
      <c r="G1787" t="s">
        <v>4001</v>
      </c>
      <c r="H1787" t="s">
        <v>4008</v>
      </c>
      <c r="I1787" t="s">
        <v>4016</v>
      </c>
      <c r="J1787">
        <v>6</v>
      </c>
      <c r="K1787">
        <v>2854</v>
      </c>
      <c r="L1787">
        <v>5</v>
      </c>
      <c r="M1787">
        <v>17124</v>
      </c>
      <c r="N1787">
        <v>856.2</v>
      </c>
      <c r="O1787">
        <v>16267.8</v>
      </c>
    </row>
    <row r="1788" spans="1:15" x14ac:dyDescent="0.3">
      <c r="A1788" t="s">
        <v>1800</v>
      </c>
      <c r="B1788" s="1">
        <v>44698</v>
      </c>
      <c r="C1788" t="s">
        <v>3788</v>
      </c>
      <c r="D1788" t="s">
        <v>3999</v>
      </c>
      <c r="E1788">
        <v>28</v>
      </c>
      <c r="F1788" t="str">
        <f t="shared" si="27"/>
        <v>26-35</v>
      </c>
      <c r="G1788" t="s">
        <v>4004</v>
      </c>
      <c r="H1788" t="s">
        <v>4007</v>
      </c>
      <c r="I1788" t="s">
        <v>4014</v>
      </c>
      <c r="J1788">
        <v>1</v>
      </c>
      <c r="K1788">
        <v>5361</v>
      </c>
      <c r="L1788">
        <v>10</v>
      </c>
      <c r="M1788">
        <v>5361</v>
      </c>
      <c r="N1788">
        <v>536.1</v>
      </c>
      <c r="O1788">
        <v>4824.8999999999996</v>
      </c>
    </row>
    <row r="1789" spans="1:15" x14ac:dyDescent="0.3">
      <c r="A1789" t="s">
        <v>1801</v>
      </c>
      <c r="B1789" s="1">
        <v>45154</v>
      </c>
      <c r="C1789" t="s">
        <v>3789</v>
      </c>
      <c r="D1789" t="s">
        <v>3999</v>
      </c>
      <c r="E1789">
        <v>56</v>
      </c>
      <c r="F1789" t="str">
        <f t="shared" si="27"/>
        <v>46+</v>
      </c>
      <c r="G1789" t="s">
        <v>4003</v>
      </c>
      <c r="H1789" t="s">
        <v>4008</v>
      </c>
      <c r="I1789" t="s">
        <v>4017</v>
      </c>
      <c r="J1789">
        <v>6</v>
      </c>
      <c r="K1789">
        <v>3139</v>
      </c>
      <c r="L1789">
        <v>15</v>
      </c>
      <c r="M1789">
        <v>18834</v>
      </c>
      <c r="N1789">
        <v>2825.1</v>
      </c>
      <c r="O1789">
        <v>16008.9</v>
      </c>
    </row>
    <row r="1790" spans="1:15" x14ac:dyDescent="0.3">
      <c r="A1790" t="s">
        <v>1802</v>
      </c>
      <c r="B1790" s="1">
        <v>45016</v>
      </c>
      <c r="C1790" t="s">
        <v>3790</v>
      </c>
      <c r="D1790" t="s">
        <v>4000</v>
      </c>
      <c r="E1790">
        <v>63</v>
      </c>
      <c r="F1790" t="str">
        <f t="shared" si="27"/>
        <v>46+</v>
      </c>
      <c r="G1790" t="s">
        <v>4004</v>
      </c>
      <c r="H1790" t="s">
        <v>4007</v>
      </c>
      <c r="I1790" t="s">
        <v>4013</v>
      </c>
      <c r="J1790">
        <v>5</v>
      </c>
      <c r="K1790">
        <v>1470</v>
      </c>
      <c r="L1790">
        <v>10</v>
      </c>
      <c r="M1790">
        <v>7350</v>
      </c>
      <c r="N1790">
        <v>735</v>
      </c>
      <c r="O1790">
        <v>6615</v>
      </c>
    </row>
    <row r="1791" spans="1:15" x14ac:dyDescent="0.3">
      <c r="A1791" t="s">
        <v>1803</v>
      </c>
      <c r="B1791" s="1">
        <v>44941</v>
      </c>
      <c r="C1791" t="s">
        <v>3791</v>
      </c>
      <c r="D1791" t="s">
        <v>3999</v>
      </c>
      <c r="E1791">
        <v>59</v>
      </c>
      <c r="F1791" t="str">
        <f t="shared" si="27"/>
        <v>46+</v>
      </c>
      <c r="G1791" t="s">
        <v>4005</v>
      </c>
      <c r="H1791" t="s">
        <v>4009</v>
      </c>
      <c r="I1791" t="s">
        <v>4017</v>
      </c>
      <c r="J1791">
        <v>7</v>
      </c>
      <c r="K1791">
        <v>6072</v>
      </c>
      <c r="L1791">
        <v>0</v>
      </c>
      <c r="M1791">
        <v>42504</v>
      </c>
      <c r="N1791">
        <v>0</v>
      </c>
      <c r="O1791">
        <v>42504</v>
      </c>
    </row>
    <row r="1792" spans="1:15" x14ac:dyDescent="0.3">
      <c r="A1792" t="s">
        <v>1804</v>
      </c>
      <c r="B1792" s="1">
        <v>45100</v>
      </c>
      <c r="C1792" t="s">
        <v>3792</v>
      </c>
      <c r="D1792" t="s">
        <v>4000</v>
      </c>
      <c r="E1792">
        <v>46</v>
      </c>
      <c r="F1792" t="str">
        <f t="shared" si="27"/>
        <v>46+</v>
      </c>
      <c r="G1792" t="s">
        <v>4005</v>
      </c>
      <c r="H1792" t="s">
        <v>4010</v>
      </c>
      <c r="I1792" t="s">
        <v>4016</v>
      </c>
      <c r="J1792">
        <v>5</v>
      </c>
      <c r="K1792">
        <v>5186</v>
      </c>
      <c r="L1792">
        <v>0</v>
      </c>
      <c r="M1792">
        <v>25930</v>
      </c>
      <c r="N1792">
        <v>0</v>
      </c>
      <c r="O1792">
        <v>25930</v>
      </c>
    </row>
    <row r="1793" spans="1:15" x14ac:dyDescent="0.3">
      <c r="A1793" t="s">
        <v>1805</v>
      </c>
      <c r="B1793" s="1">
        <v>44879</v>
      </c>
      <c r="C1793" t="s">
        <v>3793</v>
      </c>
      <c r="D1793" t="s">
        <v>4000</v>
      </c>
      <c r="E1793">
        <v>22</v>
      </c>
      <c r="F1793" t="str">
        <f t="shared" si="27"/>
        <v>18-25</v>
      </c>
      <c r="G1793" t="s">
        <v>4001</v>
      </c>
      <c r="H1793" t="s">
        <v>4009</v>
      </c>
      <c r="I1793" t="s">
        <v>4015</v>
      </c>
      <c r="J1793">
        <v>7</v>
      </c>
      <c r="K1793">
        <v>7037</v>
      </c>
      <c r="L1793">
        <v>15</v>
      </c>
      <c r="M1793">
        <v>49259</v>
      </c>
      <c r="N1793">
        <v>7388.85</v>
      </c>
      <c r="O1793">
        <v>41870.15</v>
      </c>
    </row>
    <row r="1794" spans="1:15" x14ac:dyDescent="0.3">
      <c r="A1794" t="s">
        <v>1806</v>
      </c>
      <c r="B1794" s="1">
        <v>45150</v>
      </c>
      <c r="C1794" t="s">
        <v>3794</v>
      </c>
      <c r="D1794" t="s">
        <v>3999</v>
      </c>
      <c r="E1794">
        <v>55</v>
      </c>
      <c r="F1794" t="str">
        <f t="shared" ref="F1794:F1857" si="28">IF(E1794&lt;=25,"18-25",IF(E1794&lt;=35,"26-35",IF(E1794&lt;=45,"36-45","46+")))</f>
        <v>46+</v>
      </c>
      <c r="G1794" t="s">
        <v>4005</v>
      </c>
      <c r="H1794" t="s">
        <v>4008</v>
      </c>
      <c r="I1794" t="s">
        <v>4014</v>
      </c>
      <c r="J1794">
        <v>7</v>
      </c>
      <c r="K1794">
        <v>5578</v>
      </c>
      <c r="L1794">
        <v>0</v>
      </c>
      <c r="M1794">
        <v>39046</v>
      </c>
      <c r="N1794">
        <v>0</v>
      </c>
      <c r="O1794">
        <v>39046</v>
      </c>
    </row>
    <row r="1795" spans="1:15" x14ac:dyDescent="0.3">
      <c r="A1795" t="s">
        <v>1807</v>
      </c>
      <c r="B1795" s="1">
        <v>44673</v>
      </c>
      <c r="C1795" t="s">
        <v>3795</v>
      </c>
      <c r="D1795" t="s">
        <v>4000</v>
      </c>
      <c r="E1795">
        <v>25</v>
      </c>
      <c r="F1795" t="str">
        <f t="shared" si="28"/>
        <v>18-25</v>
      </c>
      <c r="G1795" t="s">
        <v>4004</v>
      </c>
      <c r="H1795" t="s">
        <v>4010</v>
      </c>
      <c r="I1795" t="s">
        <v>4015</v>
      </c>
      <c r="J1795">
        <v>4</v>
      </c>
      <c r="K1795">
        <v>4738</v>
      </c>
      <c r="L1795">
        <v>0</v>
      </c>
      <c r="M1795">
        <v>18952</v>
      </c>
      <c r="N1795">
        <v>0</v>
      </c>
      <c r="O1795">
        <v>18952</v>
      </c>
    </row>
    <row r="1796" spans="1:15" x14ac:dyDescent="0.3">
      <c r="A1796" t="s">
        <v>1808</v>
      </c>
      <c r="B1796" s="1">
        <v>44883</v>
      </c>
      <c r="C1796" t="s">
        <v>3796</v>
      </c>
      <c r="D1796" t="s">
        <v>4000</v>
      </c>
      <c r="E1796">
        <v>18</v>
      </c>
      <c r="F1796" t="str">
        <f t="shared" si="28"/>
        <v>18-25</v>
      </c>
      <c r="G1796" t="s">
        <v>4001</v>
      </c>
      <c r="H1796" t="s">
        <v>4008</v>
      </c>
      <c r="I1796" t="s">
        <v>4017</v>
      </c>
      <c r="J1796">
        <v>7</v>
      </c>
      <c r="K1796">
        <v>5066</v>
      </c>
      <c r="L1796">
        <v>10</v>
      </c>
      <c r="M1796">
        <v>35462</v>
      </c>
      <c r="N1796">
        <v>3546.2</v>
      </c>
      <c r="O1796">
        <v>31915.8</v>
      </c>
    </row>
    <row r="1797" spans="1:15" x14ac:dyDescent="0.3">
      <c r="A1797" t="s">
        <v>1809</v>
      </c>
      <c r="B1797" s="1">
        <v>44826</v>
      </c>
      <c r="C1797" t="s">
        <v>3797</v>
      </c>
      <c r="D1797" t="s">
        <v>4000</v>
      </c>
      <c r="E1797">
        <v>60</v>
      </c>
      <c r="F1797" t="str">
        <f t="shared" si="28"/>
        <v>46+</v>
      </c>
      <c r="G1797" t="s">
        <v>4006</v>
      </c>
      <c r="H1797" t="s">
        <v>4007</v>
      </c>
      <c r="I1797" t="s">
        <v>4015</v>
      </c>
      <c r="J1797">
        <v>4</v>
      </c>
      <c r="K1797">
        <v>1013</v>
      </c>
      <c r="L1797">
        <v>5</v>
      </c>
      <c r="M1797">
        <v>4052</v>
      </c>
      <c r="N1797">
        <v>202.6</v>
      </c>
      <c r="O1797">
        <v>3849.4</v>
      </c>
    </row>
    <row r="1798" spans="1:15" x14ac:dyDescent="0.3">
      <c r="A1798" t="s">
        <v>1810</v>
      </c>
      <c r="B1798" s="1">
        <v>44698</v>
      </c>
      <c r="C1798" t="s">
        <v>3798</v>
      </c>
      <c r="D1798" t="s">
        <v>3999</v>
      </c>
      <c r="E1798">
        <v>53</v>
      </c>
      <c r="F1798" t="str">
        <f t="shared" si="28"/>
        <v>46+</v>
      </c>
      <c r="G1798" t="s">
        <v>4004</v>
      </c>
      <c r="H1798" t="s">
        <v>4009</v>
      </c>
      <c r="I1798" t="s">
        <v>4017</v>
      </c>
      <c r="J1798">
        <v>2</v>
      </c>
      <c r="K1798">
        <v>1536</v>
      </c>
      <c r="L1798">
        <v>10</v>
      </c>
      <c r="M1798">
        <v>3072</v>
      </c>
      <c r="N1798">
        <v>307.2</v>
      </c>
      <c r="O1798">
        <v>2764.8</v>
      </c>
    </row>
    <row r="1799" spans="1:15" x14ac:dyDescent="0.3">
      <c r="A1799" t="s">
        <v>1811</v>
      </c>
      <c r="B1799" s="1">
        <v>44984</v>
      </c>
      <c r="C1799" t="s">
        <v>3799</v>
      </c>
      <c r="D1799" t="s">
        <v>4000</v>
      </c>
      <c r="E1799">
        <v>59</v>
      </c>
      <c r="F1799" t="str">
        <f t="shared" si="28"/>
        <v>46+</v>
      </c>
      <c r="G1799" t="s">
        <v>4006</v>
      </c>
      <c r="H1799" t="s">
        <v>4010</v>
      </c>
      <c r="I1799" t="s">
        <v>4016</v>
      </c>
      <c r="J1799">
        <v>5</v>
      </c>
      <c r="K1799">
        <v>308</v>
      </c>
      <c r="L1799">
        <v>0</v>
      </c>
      <c r="M1799">
        <v>1540</v>
      </c>
      <c r="N1799">
        <v>0</v>
      </c>
      <c r="O1799">
        <v>1540</v>
      </c>
    </row>
    <row r="1800" spans="1:15" x14ac:dyDescent="0.3">
      <c r="A1800" t="s">
        <v>1812</v>
      </c>
      <c r="B1800" s="1">
        <v>45115</v>
      </c>
      <c r="C1800" t="s">
        <v>3800</v>
      </c>
      <c r="D1800" t="s">
        <v>4000</v>
      </c>
      <c r="E1800">
        <v>37</v>
      </c>
      <c r="F1800" t="str">
        <f t="shared" si="28"/>
        <v>36-45</v>
      </c>
      <c r="G1800" t="s">
        <v>4001</v>
      </c>
      <c r="H1800" t="s">
        <v>4008</v>
      </c>
      <c r="I1800" t="s">
        <v>4014</v>
      </c>
      <c r="J1800">
        <v>6</v>
      </c>
      <c r="K1800">
        <v>6796</v>
      </c>
      <c r="L1800">
        <v>0</v>
      </c>
      <c r="M1800">
        <v>40776</v>
      </c>
      <c r="N1800">
        <v>0</v>
      </c>
      <c r="O1800">
        <v>40776</v>
      </c>
    </row>
    <row r="1801" spans="1:15" x14ac:dyDescent="0.3">
      <c r="A1801" t="s">
        <v>1813</v>
      </c>
      <c r="B1801" s="1">
        <v>44759</v>
      </c>
      <c r="C1801" t="s">
        <v>3801</v>
      </c>
      <c r="D1801" t="s">
        <v>3999</v>
      </c>
      <c r="E1801">
        <v>58</v>
      </c>
      <c r="F1801" t="str">
        <f t="shared" si="28"/>
        <v>46+</v>
      </c>
      <c r="G1801" t="s">
        <v>4006</v>
      </c>
      <c r="H1801" t="s">
        <v>4011</v>
      </c>
      <c r="I1801" t="s">
        <v>4015</v>
      </c>
      <c r="J1801">
        <v>2</v>
      </c>
      <c r="K1801">
        <v>1269</v>
      </c>
      <c r="L1801">
        <v>10</v>
      </c>
      <c r="M1801">
        <v>2538</v>
      </c>
      <c r="N1801">
        <v>253.8</v>
      </c>
      <c r="O1801">
        <v>2284.1999999999998</v>
      </c>
    </row>
    <row r="1802" spans="1:15" x14ac:dyDescent="0.3">
      <c r="A1802" t="s">
        <v>1814</v>
      </c>
      <c r="B1802" s="1">
        <v>44607</v>
      </c>
      <c r="C1802" t="s">
        <v>3802</v>
      </c>
      <c r="D1802" t="s">
        <v>4000</v>
      </c>
      <c r="E1802">
        <v>64</v>
      </c>
      <c r="F1802" t="str">
        <f t="shared" si="28"/>
        <v>46+</v>
      </c>
      <c r="G1802" t="s">
        <v>4003</v>
      </c>
      <c r="H1802" t="s">
        <v>4008</v>
      </c>
      <c r="I1802" t="s">
        <v>4017</v>
      </c>
      <c r="J1802">
        <v>7</v>
      </c>
      <c r="K1802">
        <v>283</v>
      </c>
      <c r="L1802">
        <v>5</v>
      </c>
      <c r="M1802">
        <v>1981</v>
      </c>
      <c r="N1802">
        <v>99.05</v>
      </c>
      <c r="O1802">
        <v>1881.95</v>
      </c>
    </row>
    <row r="1803" spans="1:15" x14ac:dyDescent="0.3">
      <c r="A1803" t="s">
        <v>1815</v>
      </c>
      <c r="B1803" s="1">
        <v>44970</v>
      </c>
      <c r="C1803" t="s">
        <v>3803</v>
      </c>
      <c r="D1803" t="s">
        <v>4000</v>
      </c>
      <c r="E1803">
        <v>62</v>
      </c>
      <c r="F1803" t="str">
        <f t="shared" si="28"/>
        <v>46+</v>
      </c>
      <c r="G1803" t="s">
        <v>4005</v>
      </c>
      <c r="H1803" t="s">
        <v>4010</v>
      </c>
      <c r="I1803" t="s">
        <v>4016</v>
      </c>
      <c r="J1803">
        <v>2</v>
      </c>
      <c r="K1803">
        <v>3243</v>
      </c>
      <c r="L1803">
        <v>0</v>
      </c>
      <c r="M1803">
        <v>6486</v>
      </c>
      <c r="N1803">
        <v>0</v>
      </c>
      <c r="O1803">
        <v>6486</v>
      </c>
    </row>
    <row r="1804" spans="1:15" x14ac:dyDescent="0.3">
      <c r="A1804" t="s">
        <v>1816</v>
      </c>
      <c r="B1804" s="1">
        <v>45095</v>
      </c>
      <c r="C1804" t="s">
        <v>3804</v>
      </c>
      <c r="D1804" t="s">
        <v>3999</v>
      </c>
      <c r="E1804">
        <v>21</v>
      </c>
      <c r="F1804" t="str">
        <f t="shared" si="28"/>
        <v>18-25</v>
      </c>
      <c r="G1804" t="s">
        <v>4004</v>
      </c>
      <c r="H1804" t="s">
        <v>4008</v>
      </c>
      <c r="I1804" t="s">
        <v>4014</v>
      </c>
      <c r="J1804">
        <v>2</v>
      </c>
      <c r="K1804">
        <v>5947</v>
      </c>
      <c r="L1804">
        <v>10</v>
      </c>
      <c r="M1804">
        <v>11894</v>
      </c>
      <c r="N1804">
        <v>1189.4000000000001</v>
      </c>
      <c r="O1804">
        <v>10704.6</v>
      </c>
    </row>
    <row r="1805" spans="1:15" x14ac:dyDescent="0.3">
      <c r="A1805" t="s">
        <v>1817</v>
      </c>
      <c r="B1805" s="1">
        <v>44956</v>
      </c>
      <c r="C1805" t="s">
        <v>3805</v>
      </c>
      <c r="D1805" t="s">
        <v>4000</v>
      </c>
      <c r="E1805">
        <v>63</v>
      </c>
      <c r="F1805" t="str">
        <f t="shared" si="28"/>
        <v>46+</v>
      </c>
      <c r="G1805" t="s">
        <v>4006</v>
      </c>
      <c r="H1805" t="s">
        <v>4007</v>
      </c>
      <c r="I1805" t="s">
        <v>4015</v>
      </c>
      <c r="J1805">
        <v>2</v>
      </c>
      <c r="K1805">
        <v>6594</v>
      </c>
      <c r="L1805">
        <v>0</v>
      </c>
      <c r="M1805">
        <v>13188</v>
      </c>
      <c r="N1805">
        <v>0</v>
      </c>
      <c r="O1805">
        <v>13188</v>
      </c>
    </row>
    <row r="1806" spans="1:15" x14ac:dyDescent="0.3">
      <c r="A1806" t="s">
        <v>1818</v>
      </c>
      <c r="B1806" s="1">
        <v>45170</v>
      </c>
      <c r="C1806" t="s">
        <v>3806</v>
      </c>
      <c r="D1806" t="s">
        <v>4000</v>
      </c>
      <c r="E1806">
        <v>64</v>
      </c>
      <c r="F1806" t="str">
        <f t="shared" si="28"/>
        <v>46+</v>
      </c>
      <c r="G1806" t="s">
        <v>4006</v>
      </c>
      <c r="H1806" t="s">
        <v>4011</v>
      </c>
      <c r="I1806" t="s">
        <v>4013</v>
      </c>
      <c r="J1806">
        <v>1</v>
      </c>
      <c r="K1806">
        <v>2626</v>
      </c>
      <c r="L1806">
        <v>0</v>
      </c>
      <c r="M1806">
        <v>2626</v>
      </c>
      <c r="N1806">
        <v>0</v>
      </c>
      <c r="O1806">
        <v>2626</v>
      </c>
    </row>
    <row r="1807" spans="1:15" x14ac:dyDescent="0.3">
      <c r="A1807" t="s">
        <v>1819</v>
      </c>
      <c r="B1807" s="1">
        <v>44671</v>
      </c>
      <c r="C1807" t="s">
        <v>3807</v>
      </c>
      <c r="D1807" t="s">
        <v>3999</v>
      </c>
      <c r="E1807">
        <v>59</v>
      </c>
      <c r="F1807" t="str">
        <f t="shared" si="28"/>
        <v>46+</v>
      </c>
      <c r="G1807" t="s">
        <v>4004</v>
      </c>
      <c r="H1807" t="s">
        <v>4012</v>
      </c>
      <c r="I1807" t="s">
        <v>4016</v>
      </c>
      <c r="J1807">
        <v>2</v>
      </c>
      <c r="K1807">
        <v>6126</v>
      </c>
      <c r="L1807">
        <v>0</v>
      </c>
      <c r="M1807">
        <v>12252</v>
      </c>
      <c r="N1807">
        <v>0</v>
      </c>
      <c r="O1807">
        <v>12252</v>
      </c>
    </row>
    <row r="1808" spans="1:15" x14ac:dyDescent="0.3">
      <c r="A1808" t="s">
        <v>1820</v>
      </c>
      <c r="B1808" s="1">
        <v>44708</v>
      </c>
      <c r="C1808" t="s">
        <v>3808</v>
      </c>
      <c r="D1808" t="s">
        <v>3999</v>
      </c>
      <c r="E1808">
        <v>57</v>
      </c>
      <c r="F1808" t="str">
        <f t="shared" si="28"/>
        <v>46+</v>
      </c>
      <c r="G1808" t="s">
        <v>4004</v>
      </c>
      <c r="H1808" t="s">
        <v>4008</v>
      </c>
      <c r="I1808" t="s">
        <v>4017</v>
      </c>
      <c r="J1808">
        <v>7</v>
      </c>
      <c r="K1808">
        <v>4332</v>
      </c>
      <c r="L1808">
        <v>10</v>
      </c>
      <c r="M1808">
        <v>30324</v>
      </c>
      <c r="N1808">
        <v>3032.4</v>
      </c>
      <c r="O1808">
        <v>27291.599999999999</v>
      </c>
    </row>
    <row r="1809" spans="1:15" x14ac:dyDescent="0.3">
      <c r="A1809" t="s">
        <v>1821</v>
      </c>
      <c r="B1809" s="1">
        <v>44664</v>
      </c>
      <c r="C1809" t="s">
        <v>3809</v>
      </c>
      <c r="D1809" t="s">
        <v>4000</v>
      </c>
      <c r="E1809">
        <v>21</v>
      </c>
      <c r="F1809" t="str">
        <f t="shared" si="28"/>
        <v>18-25</v>
      </c>
      <c r="G1809" t="s">
        <v>4002</v>
      </c>
      <c r="H1809" t="s">
        <v>4008</v>
      </c>
      <c r="I1809" t="s">
        <v>4016</v>
      </c>
      <c r="J1809">
        <v>7</v>
      </c>
      <c r="K1809">
        <v>3560</v>
      </c>
      <c r="L1809">
        <v>0</v>
      </c>
      <c r="M1809">
        <v>24920</v>
      </c>
      <c r="N1809">
        <v>0</v>
      </c>
      <c r="O1809">
        <v>24920</v>
      </c>
    </row>
    <row r="1810" spans="1:15" x14ac:dyDescent="0.3">
      <c r="A1810" t="s">
        <v>1822</v>
      </c>
      <c r="B1810" s="1">
        <v>45227</v>
      </c>
      <c r="C1810" t="s">
        <v>3810</v>
      </c>
      <c r="D1810" t="s">
        <v>4000</v>
      </c>
      <c r="E1810">
        <v>24</v>
      </c>
      <c r="F1810" t="str">
        <f t="shared" si="28"/>
        <v>18-25</v>
      </c>
      <c r="G1810" t="s">
        <v>4004</v>
      </c>
      <c r="H1810" t="s">
        <v>4008</v>
      </c>
      <c r="I1810" t="s">
        <v>4013</v>
      </c>
      <c r="J1810">
        <v>6</v>
      </c>
      <c r="K1810">
        <v>4675</v>
      </c>
      <c r="L1810">
        <v>0</v>
      </c>
      <c r="M1810">
        <v>28050</v>
      </c>
      <c r="N1810">
        <v>0</v>
      </c>
      <c r="O1810">
        <v>28050</v>
      </c>
    </row>
    <row r="1811" spans="1:15" x14ac:dyDescent="0.3">
      <c r="A1811" t="s">
        <v>1823</v>
      </c>
      <c r="B1811" s="1">
        <v>45276</v>
      </c>
      <c r="C1811" t="s">
        <v>3811</v>
      </c>
      <c r="D1811" t="s">
        <v>4000</v>
      </c>
      <c r="E1811">
        <v>45</v>
      </c>
      <c r="F1811" t="str">
        <f t="shared" si="28"/>
        <v>36-45</v>
      </c>
      <c r="G1811" t="s">
        <v>4003</v>
      </c>
      <c r="H1811" t="s">
        <v>4012</v>
      </c>
      <c r="I1811" t="s">
        <v>4016</v>
      </c>
      <c r="J1811">
        <v>2</v>
      </c>
      <c r="K1811">
        <v>321</v>
      </c>
      <c r="L1811">
        <v>10</v>
      </c>
      <c r="M1811">
        <v>642</v>
      </c>
      <c r="N1811">
        <v>64.2</v>
      </c>
      <c r="O1811">
        <v>577.79999999999995</v>
      </c>
    </row>
    <row r="1812" spans="1:15" x14ac:dyDescent="0.3">
      <c r="A1812" t="s">
        <v>1824</v>
      </c>
      <c r="B1812" s="1">
        <v>44645</v>
      </c>
      <c r="C1812" t="s">
        <v>3812</v>
      </c>
      <c r="D1812" t="s">
        <v>4000</v>
      </c>
      <c r="E1812">
        <v>41</v>
      </c>
      <c r="F1812" t="str">
        <f t="shared" si="28"/>
        <v>36-45</v>
      </c>
      <c r="G1812" t="s">
        <v>4006</v>
      </c>
      <c r="H1812" t="s">
        <v>4009</v>
      </c>
      <c r="I1812" t="s">
        <v>4015</v>
      </c>
      <c r="J1812">
        <v>3</v>
      </c>
      <c r="K1812">
        <v>7442</v>
      </c>
      <c r="L1812">
        <v>5</v>
      </c>
      <c r="M1812">
        <v>22326</v>
      </c>
      <c r="N1812">
        <v>1116.3</v>
      </c>
      <c r="O1812">
        <v>21209.7</v>
      </c>
    </row>
    <row r="1813" spans="1:15" x14ac:dyDescent="0.3">
      <c r="A1813" t="s">
        <v>1825</v>
      </c>
      <c r="B1813" s="1">
        <v>45225</v>
      </c>
      <c r="C1813" t="s">
        <v>3813</v>
      </c>
      <c r="D1813" t="s">
        <v>3999</v>
      </c>
      <c r="E1813">
        <v>51</v>
      </c>
      <c r="F1813" t="str">
        <f t="shared" si="28"/>
        <v>46+</v>
      </c>
      <c r="G1813" t="s">
        <v>4003</v>
      </c>
      <c r="H1813" t="s">
        <v>4010</v>
      </c>
      <c r="I1813" t="s">
        <v>4017</v>
      </c>
      <c r="J1813">
        <v>1</v>
      </c>
      <c r="K1813">
        <v>4989</v>
      </c>
      <c r="L1813">
        <v>0</v>
      </c>
      <c r="M1813">
        <v>4989</v>
      </c>
      <c r="N1813">
        <v>0</v>
      </c>
      <c r="O1813">
        <v>4989</v>
      </c>
    </row>
    <row r="1814" spans="1:15" x14ac:dyDescent="0.3">
      <c r="A1814" t="s">
        <v>1826</v>
      </c>
      <c r="B1814" s="1">
        <v>44888</v>
      </c>
      <c r="C1814" t="s">
        <v>3814</v>
      </c>
      <c r="D1814" t="s">
        <v>3999</v>
      </c>
      <c r="E1814">
        <v>23</v>
      </c>
      <c r="F1814" t="str">
        <f t="shared" si="28"/>
        <v>18-25</v>
      </c>
      <c r="G1814" t="s">
        <v>4005</v>
      </c>
      <c r="H1814" t="s">
        <v>4008</v>
      </c>
      <c r="I1814" t="s">
        <v>4017</v>
      </c>
      <c r="J1814">
        <v>6</v>
      </c>
      <c r="K1814">
        <v>7417</v>
      </c>
      <c r="L1814">
        <v>0</v>
      </c>
      <c r="M1814">
        <v>44502</v>
      </c>
      <c r="N1814">
        <v>0</v>
      </c>
      <c r="O1814">
        <v>44502</v>
      </c>
    </row>
    <row r="1815" spans="1:15" x14ac:dyDescent="0.3">
      <c r="A1815" t="s">
        <v>1827</v>
      </c>
      <c r="B1815" s="1">
        <v>45193</v>
      </c>
      <c r="C1815" t="s">
        <v>3815</v>
      </c>
      <c r="D1815" t="s">
        <v>4000</v>
      </c>
      <c r="E1815">
        <v>52</v>
      </c>
      <c r="F1815" t="str">
        <f t="shared" si="28"/>
        <v>46+</v>
      </c>
      <c r="G1815" t="s">
        <v>4003</v>
      </c>
      <c r="H1815" t="s">
        <v>4008</v>
      </c>
      <c r="I1815" t="s">
        <v>4016</v>
      </c>
      <c r="J1815">
        <v>2</v>
      </c>
      <c r="K1815">
        <v>6804</v>
      </c>
      <c r="L1815">
        <v>5</v>
      </c>
      <c r="M1815">
        <v>13608</v>
      </c>
      <c r="N1815">
        <v>680.4</v>
      </c>
      <c r="O1815">
        <v>12927.6</v>
      </c>
    </row>
    <row r="1816" spans="1:15" x14ac:dyDescent="0.3">
      <c r="A1816" t="s">
        <v>1828</v>
      </c>
      <c r="B1816" s="1">
        <v>44826</v>
      </c>
      <c r="C1816" t="s">
        <v>3816</v>
      </c>
      <c r="D1816" t="s">
        <v>4000</v>
      </c>
      <c r="E1816">
        <v>29</v>
      </c>
      <c r="F1816" t="str">
        <f t="shared" si="28"/>
        <v>26-35</v>
      </c>
      <c r="G1816" t="s">
        <v>4003</v>
      </c>
      <c r="H1816" t="s">
        <v>4008</v>
      </c>
      <c r="I1816" t="s">
        <v>4014</v>
      </c>
      <c r="J1816">
        <v>1</v>
      </c>
      <c r="K1816">
        <v>1781</v>
      </c>
      <c r="L1816">
        <v>15</v>
      </c>
      <c r="M1816">
        <v>1781</v>
      </c>
      <c r="N1816">
        <v>267.14999999999998</v>
      </c>
      <c r="O1816">
        <v>1513.85</v>
      </c>
    </row>
    <row r="1817" spans="1:15" x14ac:dyDescent="0.3">
      <c r="A1817" t="s">
        <v>1829</v>
      </c>
      <c r="B1817" s="1">
        <v>45023</v>
      </c>
      <c r="C1817" t="s">
        <v>3817</v>
      </c>
      <c r="D1817" t="s">
        <v>3999</v>
      </c>
      <c r="E1817">
        <v>58</v>
      </c>
      <c r="F1817" t="str">
        <f t="shared" si="28"/>
        <v>46+</v>
      </c>
      <c r="G1817" t="s">
        <v>4006</v>
      </c>
      <c r="H1817" t="s">
        <v>4012</v>
      </c>
      <c r="I1817" t="s">
        <v>4014</v>
      </c>
      <c r="J1817">
        <v>1</v>
      </c>
      <c r="K1817">
        <v>5937</v>
      </c>
      <c r="L1817">
        <v>0</v>
      </c>
      <c r="M1817">
        <v>5937</v>
      </c>
      <c r="N1817">
        <v>0</v>
      </c>
      <c r="O1817">
        <v>5937</v>
      </c>
    </row>
    <row r="1818" spans="1:15" x14ac:dyDescent="0.3">
      <c r="A1818" t="s">
        <v>1830</v>
      </c>
      <c r="B1818" s="1">
        <v>45126</v>
      </c>
      <c r="C1818" t="s">
        <v>3818</v>
      </c>
      <c r="D1818" t="s">
        <v>4000</v>
      </c>
      <c r="E1818">
        <v>32</v>
      </c>
      <c r="F1818" t="str">
        <f t="shared" si="28"/>
        <v>26-35</v>
      </c>
      <c r="G1818" t="s">
        <v>4003</v>
      </c>
      <c r="H1818" t="s">
        <v>4009</v>
      </c>
      <c r="I1818" t="s">
        <v>4013</v>
      </c>
      <c r="J1818">
        <v>1</v>
      </c>
      <c r="K1818">
        <v>7300</v>
      </c>
      <c r="L1818">
        <v>10</v>
      </c>
      <c r="M1818">
        <v>7300</v>
      </c>
      <c r="N1818">
        <v>730</v>
      </c>
      <c r="O1818">
        <v>6570</v>
      </c>
    </row>
    <row r="1819" spans="1:15" x14ac:dyDescent="0.3">
      <c r="A1819" t="s">
        <v>1831</v>
      </c>
      <c r="B1819" s="1">
        <v>45209</v>
      </c>
      <c r="C1819" t="s">
        <v>3819</v>
      </c>
      <c r="D1819" t="s">
        <v>4000</v>
      </c>
      <c r="E1819">
        <v>49</v>
      </c>
      <c r="F1819" t="str">
        <f t="shared" si="28"/>
        <v>46+</v>
      </c>
      <c r="G1819" t="s">
        <v>4004</v>
      </c>
      <c r="H1819" t="s">
        <v>4007</v>
      </c>
      <c r="I1819" t="s">
        <v>4013</v>
      </c>
      <c r="J1819">
        <v>5</v>
      </c>
      <c r="K1819">
        <v>7960</v>
      </c>
      <c r="L1819">
        <v>10</v>
      </c>
      <c r="M1819">
        <v>39800</v>
      </c>
      <c r="N1819">
        <v>3980</v>
      </c>
      <c r="O1819">
        <v>35820</v>
      </c>
    </row>
    <row r="1820" spans="1:15" x14ac:dyDescent="0.3">
      <c r="A1820" t="s">
        <v>1832</v>
      </c>
      <c r="B1820" s="1">
        <v>45060</v>
      </c>
      <c r="C1820" t="s">
        <v>3820</v>
      </c>
      <c r="D1820" t="s">
        <v>4000</v>
      </c>
      <c r="E1820">
        <v>56</v>
      </c>
      <c r="F1820" t="str">
        <f t="shared" si="28"/>
        <v>46+</v>
      </c>
      <c r="G1820" t="s">
        <v>4004</v>
      </c>
      <c r="H1820" t="s">
        <v>4009</v>
      </c>
      <c r="I1820" t="s">
        <v>4013</v>
      </c>
      <c r="J1820">
        <v>1</v>
      </c>
      <c r="K1820">
        <v>4810</v>
      </c>
      <c r="L1820">
        <v>0</v>
      </c>
      <c r="M1820">
        <v>4810</v>
      </c>
      <c r="N1820">
        <v>0</v>
      </c>
      <c r="O1820">
        <v>4810</v>
      </c>
    </row>
    <row r="1821" spans="1:15" x14ac:dyDescent="0.3">
      <c r="A1821" t="s">
        <v>1833</v>
      </c>
      <c r="B1821" s="1">
        <v>44666</v>
      </c>
      <c r="C1821" t="s">
        <v>3821</v>
      </c>
      <c r="D1821" t="s">
        <v>3999</v>
      </c>
      <c r="E1821">
        <v>57</v>
      </c>
      <c r="F1821" t="str">
        <f t="shared" si="28"/>
        <v>46+</v>
      </c>
      <c r="G1821" t="s">
        <v>4005</v>
      </c>
      <c r="H1821" t="s">
        <v>4007</v>
      </c>
      <c r="I1821" t="s">
        <v>4015</v>
      </c>
      <c r="J1821">
        <v>4</v>
      </c>
      <c r="K1821">
        <v>6776</v>
      </c>
      <c r="L1821">
        <v>0</v>
      </c>
      <c r="M1821">
        <v>27104</v>
      </c>
      <c r="N1821">
        <v>0</v>
      </c>
      <c r="O1821">
        <v>27104</v>
      </c>
    </row>
    <row r="1822" spans="1:15" x14ac:dyDescent="0.3">
      <c r="A1822" t="s">
        <v>1834</v>
      </c>
      <c r="B1822" s="1">
        <v>45155</v>
      </c>
      <c r="C1822" t="s">
        <v>3822</v>
      </c>
      <c r="D1822" t="s">
        <v>3999</v>
      </c>
      <c r="E1822">
        <v>49</v>
      </c>
      <c r="F1822" t="str">
        <f t="shared" si="28"/>
        <v>46+</v>
      </c>
      <c r="G1822" t="s">
        <v>4003</v>
      </c>
      <c r="H1822" t="s">
        <v>4011</v>
      </c>
      <c r="I1822" t="s">
        <v>4017</v>
      </c>
      <c r="J1822">
        <v>4</v>
      </c>
      <c r="K1822">
        <v>3924</v>
      </c>
      <c r="L1822">
        <v>0</v>
      </c>
      <c r="M1822">
        <v>15696</v>
      </c>
      <c r="N1822">
        <v>0</v>
      </c>
      <c r="O1822">
        <v>15696</v>
      </c>
    </row>
    <row r="1823" spans="1:15" x14ac:dyDescent="0.3">
      <c r="A1823" t="s">
        <v>1835</v>
      </c>
      <c r="B1823" s="1">
        <v>44626</v>
      </c>
      <c r="C1823" t="s">
        <v>3823</v>
      </c>
      <c r="D1823" t="s">
        <v>4000</v>
      </c>
      <c r="E1823">
        <v>60</v>
      </c>
      <c r="F1823" t="str">
        <f t="shared" si="28"/>
        <v>46+</v>
      </c>
      <c r="G1823" t="s">
        <v>4006</v>
      </c>
      <c r="H1823" t="s">
        <v>4009</v>
      </c>
      <c r="I1823" t="s">
        <v>4017</v>
      </c>
      <c r="J1823">
        <v>3</v>
      </c>
      <c r="K1823">
        <v>6725</v>
      </c>
      <c r="L1823">
        <v>0</v>
      </c>
      <c r="M1823">
        <v>20175</v>
      </c>
      <c r="N1823">
        <v>0</v>
      </c>
      <c r="O1823">
        <v>20175</v>
      </c>
    </row>
    <row r="1824" spans="1:15" x14ac:dyDescent="0.3">
      <c r="A1824" t="s">
        <v>1836</v>
      </c>
      <c r="B1824" s="1">
        <v>44823</v>
      </c>
      <c r="C1824" t="s">
        <v>3824</v>
      </c>
      <c r="D1824" t="s">
        <v>3999</v>
      </c>
      <c r="E1824">
        <v>22</v>
      </c>
      <c r="F1824" t="str">
        <f t="shared" si="28"/>
        <v>18-25</v>
      </c>
      <c r="G1824" t="s">
        <v>4004</v>
      </c>
      <c r="H1824" t="s">
        <v>4008</v>
      </c>
      <c r="I1824" t="s">
        <v>4013</v>
      </c>
      <c r="J1824">
        <v>5</v>
      </c>
      <c r="K1824">
        <v>706</v>
      </c>
      <c r="L1824">
        <v>0</v>
      </c>
      <c r="M1824">
        <v>3530</v>
      </c>
      <c r="N1824">
        <v>0</v>
      </c>
      <c r="O1824">
        <v>3530</v>
      </c>
    </row>
    <row r="1825" spans="1:15" x14ac:dyDescent="0.3">
      <c r="A1825" t="s">
        <v>1837</v>
      </c>
      <c r="B1825" s="1">
        <v>44811</v>
      </c>
      <c r="C1825" t="s">
        <v>3825</v>
      </c>
      <c r="D1825" t="s">
        <v>4000</v>
      </c>
      <c r="E1825">
        <v>55</v>
      </c>
      <c r="F1825" t="str">
        <f t="shared" si="28"/>
        <v>46+</v>
      </c>
      <c r="G1825" t="s">
        <v>4002</v>
      </c>
      <c r="H1825" t="s">
        <v>4008</v>
      </c>
      <c r="I1825" t="s">
        <v>4017</v>
      </c>
      <c r="J1825">
        <v>3</v>
      </c>
      <c r="K1825">
        <v>4345</v>
      </c>
      <c r="L1825">
        <v>10</v>
      </c>
      <c r="M1825">
        <v>13035</v>
      </c>
      <c r="N1825">
        <v>1303.5</v>
      </c>
      <c r="O1825">
        <v>11731.5</v>
      </c>
    </row>
    <row r="1826" spans="1:15" x14ac:dyDescent="0.3">
      <c r="A1826" t="s">
        <v>1838</v>
      </c>
      <c r="B1826" s="1">
        <v>45147</v>
      </c>
      <c r="C1826" t="s">
        <v>3826</v>
      </c>
      <c r="D1826" t="s">
        <v>4000</v>
      </c>
      <c r="E1826">
        <v>59</v>
      </c>
      <c r="F1826" t="str">
        <f t="shared" si="28"/>
        <v>46+</v>
      </c>
      <c r="G1826" t="s">
        <v>4004</v>
      </c>
      <c r="H1826" t="s">
        <v>4010</v>
      </c>
      <c r="I1826" t="s">
        <v>4013</v>
      </c>
      <c r="J1826">
        <v>1</v>
      </c>
      <c r="K1826">
        <v>5906</v>
      </c>
      <c r="L1826">
        <v>0</v>
      </c>
      <c r="M1826">
        <v>5906</v>
      </c>
      <c r="N1826">
        <v>0</v>
      </c>
      <c r="O1826">
        <v>5906</v>
      </c>
    </row>
    <row r="1827" spans="1:15" x14ac:dyDescent="0.3">
      <c r="A1827" t="s">
        <v>1839</v>
      </c>
      <c r="B1827" s="1">
        <v>45110</v>
      </c>
      <c r="C1827" t="s">
        <v>3827</v>
      </c>
      <c r="D1827" t="s">
        <v>3999</v>
      </c>
      <c r="E1827">
        <v>47</v>
      </c>
      <c r="F1827" t="str">
        <f t="shared" si="28"/>
        <v>46+</v>
      </c>
      <c r="G1827" t="s">
        <v>4003</v>
      </c>
      <c r="H1827" t="s">
        <v>4011</v>
      </c>
      <c r="I1827" t="s">
        <v>4013</v>
      </c>
      <c r="J1827">
        <v>3</v>
      </c>
      <c r="K1827">
        <v>3413</v>
      </c>
      <c r="L1827">
        <v>10</v>
      </c>
      <c r="M1827">
        <v>10239</v>
      </c>
      <c r="N1827">
        <v>1023.9</v>
      </c>
      <c r="O1827">
        <v>9215.1</v>
      </c>
    </row>
    <row r="1828" spans="1:15" x14ac:dyDescent="0.3">
      <c r="A1828" t="s">
        <v>1840</v>
      </c>
      <c r="B1828" s="1">
        <v>44979</v>
      </c>
      <c r="C1828" t="s">
        <v>3828</v>
      </c>
      <c r="D1828" t="s">
        <v>4000</v>
      </c>
      <c r="E1828">
        <v>38</v>
      </c>
      <c r="F1828" t="str">
        <f t="shared" si="28"/>
        <v>36-45</v>
      </c>
      <c r="G1828" t="s">
        <v>4001</v>
      </c>
      <c r="H1828" t="s">
        <v>4007</v>
      </c>
      <c r="I1828" t="s">
        <v>4013</v>
      </c>
      <c r="J1828">
        <v>5</v>
      </c>
      <c r="K1828">
        <v>3115</v>
      </c>
      <c r="L1828">
        <v>10</v>
      </c>
      <c r="M1828">
        <v>15575</v>
      </c>
      <c r="N1828">
        <v>1557.5</v>
      </c>
      <c r="O1828">
        <v>14017.5</v>
      </c>
    </row>
    <row r="1829" spans="1:15" x14ac:dyDescent="0.3">
      <c r="A1829" t="s">
        <v>1841</v>
      </c>
      <c r="B1829" s="1">
        <v>45055</v>
      </c>
      <c r="C1829" t="s">
        <v>3829</v>
      </c>
      <c r="D1829" t="s">
        <v>3999</v>
      </c>
      <c r="E1829">
        <v>54</v>
      </c>
      <c r="F1829" t="str">
        <f t="shared" si="28"/>
        <v>46+</v>
      </c>
      <c r="G1829" t="s">
        <v>4001</v>
      </c>
      <c r="H1829" t="s">
        <v>4007</v>
      </c>
      <c r="I1829" t="s">
        <v>4013</v>
      </c>
      <c r="J1829">
        <v>2</v>
      </c>
      <c r="K1829">
        <v>2280</v>
      </c>
      <c r="L1829">
        <v>10</v>
      </c>
      <c r="M1829">
        <v>4560</v>
      </c>
      <c r="N1829">
        <v>456</v>
      </c>
      <c r="O1829">
        <v>4104</v>
      </c>
    </row>
    <row r="1830" spans="1:15" x14ac:dyDescent="0.3">
      <c r="A1830" t="s">
        <v>1842</v>
      </c>
      <c r="B1830" s="1">
        <v>45254</v>
      </c>
      <c r="C1830" t="s">
        <v>3830</v>
      </c>
      <c r="D1830" t="s">
        <v>4000</v>
      </c>
      <c r="E1830">
        <v>46</v>
      </c>
      <c r="F1830" t="str">
        <f t="shared" si="28"/>
        <v>46+</v>
      </c>
      <c r="G1830" t="s">
        <v>4001</v>
      </c>
      <c r="H1830" t="s">
        <v>4009</v>
      </c>
      <c r="I1830" t="s">
        <v>4017</v>
      </c>
      <c r="J1830">
        <v>5</v>
      </c>
      <c r="K1830">
        <v>7793</v>
      </c>
      <c r="L1830">
        <v>0</v>
      </c>
      <c r="M1830">
        <v>38965</v>
      </c>
      <c r="N1830">
        <v>0</v>
      </c>
      <c r="O1830">
        <v>38965</v>
      </c>
    </row>
    <row r="1831" spans="1:15" x14ac:dyDescent="0.3">
      <c r="A1831" t="s">
        <v>1843</v>
      </c>
      <c r="B1831" s="1">
        <v>44992</v>
      </c>
      <c r="C1831" t="s">
        <v>3831</v>
      </c>
      <c r="D1831" t="s">
        <v>4000</v>
      </c>
      <c r="E1831">
        <v>36</v>
      </c>
      <c r="F1831" t="str">
        <f t="shared" si="28"/>
        <v>36-45</v>
      </c>
      <c r="G1831" t="s">
        <v>4002</v>
      </c>
      <c r="H1831" t="s">
        <v>4009</v>
      </c>
      <c r="I1831" t="s">
        <v>4016</v>
      </c>
      <c r="J1831">
        <v>7</v>
      </c>
      <c r="K1831">
        <v>3181</v>
      </c>
      <c r="L1831">
        <v>15</v>
      </c>
      <c r="M1831">
        <v>22267</v>
      </c>
      <c r="N1831">
        <v>3340.05</v>
      </c>
      <c r="O1831">
        <v>18926.95</v>
      </c>
    </row>
    <row r="1832" spans="1:15" x14ac:dyDescent="0.3">
      <c r="A1832" t="s">
        <v>1844</v>
      </c>
      <c r="B1832" s="1">
        <v>44866</v>
      </c>
      <c r="C1832" t="s">
        <v>3832</v>
      </c>
      <c r="D1832" t="s">
        <v>4000</v>
      </c>
      <c r="E1832">
        <v>54</v>
      </c>
      <c r="F1832" t="str">
        <f t="shared" si="28"/>
        <v>46+</v>
      </c>
      <c r="G1832" t="s">
        <v>4003</v>
      </c>
      <c r="H1832" t="s">
        <v>4010</v>
      </c>
      <c r="I1832" t="s">
        <v>4013</v>
      </c>
      <c r="J1832">
        <v>7</v>
      </c>
      <c r="K1832">
        <v>7850</v>
      </c>
      <c r="L1832">
        <v>0</v>
      </c>
      <c r="M1832">
        <v>54950</v>
      </c>
      <c r="N1832">
        <v>0</v>
      </c>
      <c r="O1832">
        <v>54950</v>
      </c>
    </row>
    <row r="1833" spans="1:15" x14ac:dyDescent="0.3">
      <c r="A1833" t="s">
        <v>1845</v>
      </c>
      <c r="B1833" s="1">
        <v>44869</v>
      </c>
      <c r="C1833" t="s">
        <v>3833</v>
      </c>
      <c r="D1833" t="s">
        <v>3999</v>
      </c>
      <c r="E1833">
        <v>56</v>
      </c>
      <c r="F1833" t="str">
        <f t="shared" si="28"/>
        <v>46+</v>
      </c>
      <c r="G1833" t="s">
        <v>4005</v>
      </c>
      <c r="H1833" t="s">
        <v>4008</v>
      </c>
      <c r="I1833" t="s">
        <v>4014</v>
      </c>
      <c r="J1833">
        <v>6</v>
      </c>
      <c r="K1833">
        <v>5035</v>
      </c>
      <c r="L1833">
        <v>0</v>
      </c>
      <c r="M1833">
        <v>30210</v>
      </c>
      <c r="N1833">
        <v>0</v>
      </c>
      <c r="O1833">
        <v>30210</v>
      </c>
    </row>
    <row r="1834" spans="1:15" x14ac:dyDescent="0.3">
      <c r="A1834" t="s">
        <v>1846</v>
      </c>
      <c r="B1834" s="1">
        <v>44811</v>
      </c>
      <c r="C1834" t="s">
        <v>3834</v>
      </c>
      <c r="D1834" t="s">
        <v>4000</v>
      </c>
      <c r="E1834">
        <v>25</v>
      </c>
      <c r="F1834" t="str">
        <f t="shared" si="28"/>
        <v>18-25</v>
      </c>
      <c r="G1834" t="s">
        <v>4002</v>
      </c>
      <c r="H1834" t="s">
        <v>4007</v>
      </c>
      <c r="I1834" t="s">
        <v>4013</v>
      </c>
      <c r="J1834">
        <v>7</v>
      </c>
      <c r="K1834">
        <v>5417</v>
      </c>
      <c r="L1834">
        <v>5</v>
      </c>
      <c r="M1834">
        <v>37919</v>
      </c>
      <c r="N1834">
        <v>1895.95</v>
      </c>
      <c r="O1834">
        <v>36023.050000000003</v>
      </c>
    </row>
    <row r="1835" spans="1:15" x14ac:dyDescent="0.3">
      <c r="A1835" t="s">
        <v>1847</v>
      </c>
      <c r="B1835" s="1">
        <v>45118</v>
      </c>
      <c r="C1835" t="s">
        <v>3835</v>
      </c>
      <c r="D1835" t="s">
        <v>4000</v>
      </c>
      <c r="E1835">
        <v>36</v>
      </c>
      <c r="F1835" t="str">
        <f t="shared" si="28"/>
        <v>36-45</v>
      </c>
      <c r="G1835" t="s">
        <v>4006</v>
      </c>
      <c r="H1835" t="s">
        <v>4009</v>
      </c>
      <c r="I1835" t="s">
        <v>4014</v>
      </c>
      <c r="J1835">
        <v>5</v>
      </c>
      <c r="K1835">
        <v>3290</v>
      </c>
      <c r="L1835">
        <v>15</v>
      </c>
      <c r="M1835">
        <v>16450</v>
      </c>
      <c r="N1835">
        <v>2467.5</v>
      </c>
      <c r="O1835">
        <v>13982.5</v>
      </c>
    </row>
    <row r="1836" spans="1:15" x14ac:dyDescent="0.3">
      <c r="A1836" t="s">
        <v>1848</v>
      </c>
      <c r="B1836" s="1">
        <v>44705</v>
      </c>
      <c r="C1836" t="s">
        <v>3836</v>
      </c>
      <c r="D1836" t="s">
        <v>3999</v>
      </c>
      <c r="E1836">
        <v>49</v>
      </c>
      <c r="F1836" t="str">
        <f t="shared" si="28"/>
        <v>46+</v>
      </c>
      <c r="G1836" t="s">
        <v>4004</v>
      </c>
      <c r="H1836" t="s">
        <v>4010</v>
      </c>
      <c r="I1836" t="s">
        <v>4016</v>
      </c>
      <c r="J1836">
        <v>2</v>
      </c>
      <c r="K1836">
        <v>7097</v>
      </c>
      <c r="L1836">
        <v>5</v>
      </c>
      <c r="M1836">
        <v>14194</v>
      </c>
      <c r="N1836">
        <v>709.7</v>
      </c>
      <c r="O1836">
        <v>13484.3</v>
      </c>
    </row>
    <row r="1837" spans="1:15" x14ac:dyDescent="0.3">
      <c r="A1837" t="s">
        <v>1849</v>
      </c>
      <c r="B1837" s="1">
        <v>44626</v>
      </c>
      <c r="C1837" t="s">
        <v>3837</v>
      </c>
      <c r="D1837" t="s">
        <v>4000</v>
      </c>
      <c r="E1837">
        <v>63</v>
      </c>
      <c r="F1837" t="str">
        <f t="shared" si="28"/>
        <v>46+</v>
      </c>
      <c r="G1837" t="s">
        <v>4006</v>
      </c>
      <c r="H1837" t="s">
        <v>4009</v>
      </c>
      <c r="I1837" t="s">
        <v>4017</v>
      </c>
      <c r="J1837">
        <v>1</v>
      </c>
      <c r="K1837">
        <v>6044</v>
      </c>
      <c r="L1837">
        <v>10</v>
      </c>
      <c r="M1837">
        <v>6044</v>
      </c>
      <c r="N1837">
        <v>604.4</v>
      </c>
      <c r="O1837">
        <v>5439.6</v>
      </c>
    </row>
    <row r="1838" spans="1:15" x14ac:dyDescent="0.3">
      <c r="A1838" t="s">
        <v>1850</v>
      </c>
      <c r="B1838" s="1">
        <v>44871</v>
      </c>
      <c r="C1838" t="s">
        <v>3838</v>
      </c>
      <c r="D1838" t="s">
        <v>3999</v>
      </c>
      <c r="E1838">
        <v>42</v>
      </c>
      <c r="F1838" t="str">
        <f t="shared" si="28"/>
        <v>36-45</v>
      </c>
      <c r="G1838" t="s">
        <v>4004</v>
      </c>
      <c r="H1838" t="s">
        <v>4008</v>
      </c>
      <c r="I1838" t="s">
        <v>4014</v>
      </c>
      <c r="J1838">
        <v>3</v>
      </c>
      <c r="K1838">
        <v>7234</v>
      </c>
      <c r="L1838">
        <v>10</v>
      </c>
      <c r="M1838">
        <v>21702</v>
      </c>
      <c r="N1838">
        <v>2170.1999999999998</v>
      </c>
      <c r="O1838">
        <v>19531.8</v>
      </c>
    </row>
    <row r="1839" spans="1:15" x14ac:dyDescent="0.3">
      <c r="A1839" t="s">
        <v>1851</v>
      </c>
      <c r="B1839" s="1">
        <v>44761</v>
      </c>
      <c r="C1839" t="s">
        <v>3839</v>
      </c>
      <c r="D1839" t="s">
        <v>3999</v>
      </c>
      <c r="E1839">
        <v>64</v>
      </c>
      <c r="F1839" t="str">
        <f t="shared" si="28"/>
        <v>46+</v>
      </c>
      <c r="G1839" t="s">
        <v>4005</v>
      </c>
      <c r="H1839" t="s">
        <v>4008</v>
      </c>
      <c r="I1839" t="s">
        <v>4015</v>
      </c>
      <c r="J1839">
        <v>5</v>
      </c>
      <c r="K1839">
        <v>5621</v>
      </c>
      <c r="L1839">
        <v>0</v>
      </c>
      <c r="M1839">
        <v>28105</v>
      </c>
      <c r="N1839">
        <v>0</v>
      </c>
      <c r="O1839">
        <v>28105</v>
      </c>
    </row>
    <row r="1840" spans="1:15" x14ac:dyDescent="0.3">
      <c r="A1840" t="s">
        <v>1852</v>
      </c>
      <c r="B1840" s="1">
        <v>44871</v>
      </c>
      <c r="C1840" t="s">
        <v>3840</v>
      </c>
      <c r="D1840" t="s">
        <v>3999</v>
      </c>
      <c r="E1840">
        <v>50</v>
      </c>
      <c r="F1840" t="str">
        <f t="shared" si="28"/>
        <v>46+</v>
      </c>
      <c r="G1840" t="s">
        <v>4006</v>
      </c>
      <c r="H1840" t="s">
        <v>4009</v>
      </c>
      <c r="I1840" t="s">
        <v>4017</v>
      </c>
      <c r="J1840">
        <v>1</v>
      </c>
      <c r="K1840">
        <v>4756</v>
      </c>
      <c r="L1840">
        <v>10</v>
      </c>
      <c r="M1840">
        <v>4756</v>
      </c>
      <c r="N1840">
        <v>475.6</v>
      </c>
      <c r="O1840">
        <v>4280.3999999999996</v>
      </c>
    </row>
    <row r="1841" spans="1:15" x14ac:dyDescent="0.3">
      <c r="A1841" t="s">
        <v>1853</v>
      </c>
      <c r="B1841" s="1">
        <v>44769</v>
      </c>
      <c r="C1841" t="s">
        <v>3841</v>
      </c>
      <c r="D1841" t="s">
        <v>4000</v>
      </c>
      <c r="E1841">
        <v>33</v>
      </c>
      <c r="F1841" t="str">
        <f t="shared" si="28"/>
        <v>26-35</v>
      </c>
      <c r="G1841" t="s">
        <v>4003</v>
      </c>
      <c r="H1841" t="s">
        <v>4010</v>
      </c>
      <c r="I1841" t="s">
        <v>4014</v>
      </c>
      <c r="J1841">
        <v>2</v>
      </c>
      <c r="K1841">
        <v>204</v>
      </c>
      <c r="L1841">
        <v>0</v>
      </c>
      <c r="M1841">
        <v>408</v>
      </c>
      <c r="N1841">
        <v>0</v>
      </c>
      <c r="O1841">
        <v>408</v>
      </c>
    </row>
    <row r="1842" spans="1:15" x14ac:dyDescent="0.3">
      <c r="A1842" t="s">
        <v>1854</v>
      </c>
      <c r="B1842" s="1">
        <v>45260</v>
      </c>
      <c r="C1842" t="s">
        <v>3842</v>
      </c>
      <c r="D1842" t="s">
        <v>3999</v>
      </c>
      <c r="E1842">
        <v>60</v>
      </c>
      <c r="F1842" t="str">
        <f t="shared" si="28"/>
        <v>46+</v>
      </c>
      <c r="G1842" t="s">
        <v>4003</v>
      </c>
      <c r="H1842" t="s">
        <v>4009</v>
      </c>
      <c r="I1842" t="s">
        <v>4014</v>
      </c>
      <c r="J1842">
        <v>7</v>
      </c>
      <c r="K1842">
        <v>7088</v>
      </c>
      <c r="L1842">
        <v>0</v>
      </c>
      <c r="M1842">
        <v>49616</v>
      </c>
      <c r="N1842">
        <v>0</v>
      </c>
      <c r="O1842">
        <v>49616</v>
      </c>
    </row>
    <row r="1843" spans="1:15" x14ac:dyDescent="0.3">
      <c r="A1843" t="s">
        <v>1855</v>
      </c>
      <c r="B1843" s="1">
        <v>45140</v>
      </c>
      <c r="C1843" t="s">
        <v>3843</v>
      </c>
      <c r="D1843" t="s">
        <v>3999</v>
      </c>
      <c r="E1843">
        <v>47</v>
      </c>
      <c r="F1843" t="str">
        <f t="shared" si="28"/>
        <v>46+</v>
      </c>
      <c r="G1843" t="s">
        <v>4006</v>
      </c>
      <c r="H1843" t="s">
        <v>4007</v>
      </c>
      <c r="I1843" t="s">
        <v>4015</v>
      </c>
      <c r="J1843">
        <v>5</v>
      </c>
      <c r="K1843">
        <v>2340</v>
      </c>
      <c r="L1843">
        <v>10</v>
      </c>
      <c r="M1843">
        <v>11700</v>
      </c>
      <c r="N1843">
        <v>1170</v>
      </c>
      <c r="O1843">
        <v>10530</v>
      </c>
    </row>
    <row r="1844" spans="1:15" x14ac:dyDescent="0.3">
      <c r="A1844" t="s">
        <v>1856</v>
      </c>
      <c r="B1844" s="1">
        <v>44987</v>
      </c>
      <c r="C1844" t="s">
        <v>3844</v>
      </c>
      <c r="D1844" t="s">
        <v>3999</v>
      </c>
      <c r="E1844">
        <v>47</v>
      </c>
      <c r="F1844" t="str">
        <f t="shared" si="28"/>
        <v>46+</v>
      </c>
      <c r="G1844" t="s">
        <v>4004</v>
      </c>
      <c r="H1844" t="s">
        <v>4008</v>
      </c>
      <c r="I1844" t="s">
        <v>4016</v>
      </c>
      <c r="J1844">
        <v>7</v>
      </c>
      <c r="K1844">
        <v>2278</v>
      </c>
      <c r="L1844">
        <v>10</v>
      </c>
      <c r="M1844">
        <v>15946</v>
      </c>
      <c r="N1844">
        <v>1594.6</v>
      </c>
      <c r="O1844">
        <v>14351.4</v>
      </c>
    </row>
    <row r="1845" spans="1:15" x14ac:dyDescent="0.3">
      <c r="A1845" t="s">
        <v>1857</v>
      </c>
      <c r="B1845" s="1">
        <v>44819</v>
      </c>
      <c r="C1845" t="s">
        <v>3845</v>
      </c>
      <c r="D1845" t="s">
        <v>4000</v>
      </c>
      <c r="E1845">
        <v>29</v>
      </c>
      <c r="F1845" t="str">
        <f t="shared" si="28"/>
        <v>26-35</v>
      </c>
      <c r="G1845" t="s">
        <v>4006</v>
      </c>
      <c r="H1845" t="s">
        <v>4007</v>
      </c>
      <c r="I1845" t="s">
        <v>4014</v>
      </c>
      <c r="J1845">
        <v>3</v>
      </c>
      <c r="K1845">
        <v>3384</v>
      </c>
      <c r="L1845">
        <v>0</v>
      </c>
      <c r="M1845">
        <v>10152</v>
      </c>
      <c r="N1845">
        <v>0</v>
      </c>
      <c r="O1845">
        <v>10152</v>
      </c>
    </row>
    <row r="1846" spans="1:15" x14ac:dyDescent="0.3">
      <c r="A1846" t="s">
        <v>1858</v>
      </c>
      <c r="B1846" s="1">
        <v>44873</v>
      </c>
      <c r="C1846" t="s">
        <v>3846</v>
      </c>
      <c r="D1846" t="s">
        <v>3999</v>
      </c>
      <c r="E1846">
        <v>63</v>
      </c>
      <c r="F1846" t="str">
        <f t="shared" si="28"/>
        <v>46+</v>
      </c>
      <c r="G1846" t="s">
        <v>4004</v>
      </c>
      <c r="H1846" t="s">
        <v>4008</v>
      </c>
      <c r="I1846" t="s">
        <v>4014</v>
      </c>
      <c r="J1846">
        <v>3</v>
      </c>
      <c r="K1846">
        <v>6309</v>
      </c>
      <c r="L1846">
        <v>0</v>
      </c>
      <c r="M1846">
        <v>18927</v>
      </c>
      <c r="N1846">
        <v>0</v>
      </c>
      <c r="O1846">
        <v>18927</v>
      </c>
    </row>
    <row r="1847" spans="1:15" x14ac:dyDescent="0.3">
      <c r="A1847" t="s">
        <v>1859</v>
      </c>
      <c r="B1847" s="1">
        <v>44710</v>
      </c>
      <c r="C1847" t="s">
        <v>3847</v>
      </c>
      <c r="D1847" t="s">
        <v>3999</v>
      </c>
      <c r="E1847">
        <v>29</v>
      </c>
      <c r="F1847" t="str">
        <f t="shared" si="28"/>
        <v>26-35</v>
      </c>
      <c r="G1847" t="s">
        <v>4006</v>
      </c>
      <c r="H1847" t="s">
        <v>4011</v>
      </c>
      <c r="I1847" t="s">
        <v>4017</v>
      </c>
      <c r="J1847">
        <v>2</v>
      </c>
      <c r="K1847">
        <v>7831</v>
      </c>
      <c r="L1847">
        <v>0</v>
      </c>
      <c r="M1847">
        <v>15662</v>
      </c>
      <c r="N1847">
        <v>0</v>
      </c>
      <c r="O1847">
        <v>15662</v>
      </c>
    </row>
    <row r="1848" spans="1:15" x14ac:dyDescent="0.3">
      <c r="A1848" t="s">
        <v>1860</v>
      </c>
      <c r="B1848" s="1">
        <v>44896</v>
      </c>
      <c r="C1848" t="s">
        <v>3848</v>
      </c>
      <c r="D1848" t="s">
        <v>4000</v>
      </c>
      <c r="E1848">
        <v>47</v>
      </c>
      <c r="F1848" t="str">
        <f t="shared" si="28"/>
        <v>46+</v>
      </c>
      <c r="G1848" t="s">
        <v>4003</v>
      </c>
      <c r="H1848" t="s">
        <v>4008</v>
      </c>
      <c r="I1848" t="s">
        <v>4015</v>
      </c>
      <c r="J1848">
        <v>4</v>
      </c>
      <c r="K1848">
        <v>3187</v>
      </c>
      <c r="L1848">
        <v>0</v>
      </c>
      <c r="M1848">
        <v>12748</v>
      </c>
      <c r="N1848">
        <v>0</v>
      </c>
      <c r="O1848">
        <v>12748</v>
      </c>
    </row>
    <row r="1849" spans="1:15" x14ac:dyDescent="0.3">
      <c r="A1849" t="s">
        <v>1861</v>
      </c>
      <c r="B1849" s="1">
        <v>44792</v>
      </c>
      <c r="C1849" t="s">
        <v>3849</v>
      </c>
      <c r="D1849" t="s">
        <v>3999</v>
      </c>
      <c r="E1849">
        <v>27</v>
      </c>
      <c r="F1849" t="str">
        <f t="shared" si="28"/>
        <v>26-35</v>
      </c>
      <c r="G1849" t="s">
        <v>4002</v>
      </c>
      <c r="H1849" t="s">
        <v>4008</v>
      </c>
      <c r="I1849" t="s">
        <v>4016</v>
      </c>
      <c r="J1849">
        <v>2</v>
      </c>
      <c r="K1849">
        <v>703</v>
      </c>
      <c r="L1849">
        <v>0</v>
      </c>
      <c r="M1849">
        <v>1406</v>
      </c>
      <c r="N1849">
        <v>0</v>
      </c>
      <c r="O1849">
        <v>1406</v>
      </c>
    </row>
    <row r="1850" spans="1:15" x14ac:dyDescent="0.3">
      <c r="A1850" t="s">
        <v>1862</v>
      </c>
      <c r="B1850" s="1">
        <v>45151</v>
      </c>
      <c r="C1850" t="s">
        <v>2809</v>
      </c>
      <c r="D1850" t="s">
        <v>4000</v>
      </c>
      <c r="E1850">
        <v>57</v>
      </c>
      <c r="F1850" t="str">
        <f t="shared" si="28"/>
        <v>46+</v>
      </c>
      <c r="G1850" t="s">
        <v>4002</v>
      </c>
      <c r="H1850" t="s">
        <v>4008</v>
      </c>
      <c r="I1850" t="s">
        <v>4014</v>
      </c>
      <c r="J1850">
        <v>4</v>
      </c>
      <c r="K1850">
        <v>3284</v>
      </c>
      <c r="L1850">
        <v>0</v>
      </c>
      <c r="M1850">
        <v>13136</v>
      </c>
      <c r="N1850">
        <v>0</v>
      </c>
      <c r="O1850">
        <v>13136</v>
      </c>
    </row>
    <row r="1851" spans="1:15" x14ac:dyDescent="0.3">
      <c r="A1851" t="s">
        <v>1863</v>
      </c>
      <c r="B1851" s="1">
        <v>45039</v>
      </c>
      <c r="C1851" t="s">
        <v>3850</v>
      </c>
      <c r="D1851" t="s">
        <v>4000</v>
      </c>
      <c r="E1851">
        <v>37</v>
      </c>
      <c r="F1851" t="str">
        <f t="shared" si="28"/>
        <v>36-45</v>
      </c>
      <c r="G1851" t="s">
        <v>4003</v>
      </c>
      <c r="H1851" t="s">
        <v>4009</v>
      </c>
      <c r="I1851" t="s">
        <v>4013</v>
      </c>
      <c r="J1851">
        <v>3</v>
      </c>
      <c r="K1851">
        <v>7067</v>
      </c>
      <c r="L1851">
        <v>0</v>
      </c>
      <c r="M1851">
        <v>21201</v>
      </c>
      <c r="N1851">
        <v>0</v>
      </c>
      <c r="O1851">
        <v>21201</v>
      </c>
    </row>
    <row r="1852" spans="1:15" x14ac:dyDescent="0.3">
      <c r="A1852" t="s">
        <v>1864</v>
      </c>
      <c r="B1852" s="1">
        <v>45245</v>
      </c>
      <c r="C1852" t="s">
        <v>3851</v>
      </c>
      <c r="D1852" t="s">
        <v>4000</v>
      </c>
      <c r="E1852">
        <v>62</v>
      </c>
      <c r="F1852" t="str">
        <f t="shared" si="28"/>
        <v>46+</v>
      </c>
      <c r="G1852" t="s">
        <v>4001</v>
      </c>
      <c r="H1852" t="s">
        <v>4012</v>
      </c>
      <c r="I1852" t="s">
        <v>4015</v>
      </c>
      <c r="J1852">
        <v>2</v>
      </c>
      <c r="K1852">
        <v>7302</v>
      </c>
      <c r="L1852">
        <v>15</v>
      </c>
      <c r="M1852">
        <v>14604</v>
      </c>
      <c r="N1852">
        <v>2190.6</v>
      </c>
      <c r="O1852">
        <v>12413.4</v>
      </c>
    </row>
    <row r="1853" spans="1:15" x14ac:dyDescent="0.3">
      <c r="A1853" t="s">
        <v>1865</v>
      </c>
      <c r="B1853" s="1">
        <v>44671</v>
      </c>
      <c r="C1853" t="s">
        <v>3852</v>
      </c>
      <c r="D1853" t="s">
        <v>4000</v>
      </c>
      <c r="E1853">
        <v>23</v>
      </c>
      <c r="F1853" t="str">
        <f t="shared" si="28"/>
        <v>18-25</v>
      </c>
      <c r="G1853" t="s">
        <v>4006</v>
      </c>
      <c r="H1853" t="s">
        <v>4011</v>
      </c>
      <c r="I1853" t="s">
        <v>4015</v>
      </c>
      <c r="J1853">
        <v>5</v>
      </c>
      <c r="K1853">
        <v>7975</v>
      </c>
      <c r="L1853">
        <v>15</v>
      </c>
      <c r="M1853">
        <v>39875</v>
      </c>
      <c r="N1853">
        <v>5981.25</v>
      </c>
      <c r="O1853">
        <v>33893.75</v>
      </c>
    </row>
    <row r="1854" spans="1:15" x14ac:dyDescent="0.3">
      <c r="A1854" t="s">
        <v>1866</v>
      </c>
      <c r="B1854" s="1">
        <v>44629</v>
      </c>
      <c r="C1854" t="s">
        <v>3853</v>
      </c>
      <c r="D1854" t="s">
        <v>3999</v>
      </c>
      <c r="E1854">
        <v>26</v>
      </c>
      <c r="F1854" t="str">
        <f t="shared" si="28"/>
        <v>26-35</v>
      </c>
      <c r="G1854" t="s">
        <v>4006</v>
      </c>
      <c r="H1854" t="s">
        <v>4009</v>
      </c>
      <c r="I1854" t="s">
        <v>4016</v>
      </c>
      <c r="J1854">
        <v>5</v>
      </c>
      <c r="K1854">
        <v>847</v>
      </c>
      <c r="L1854">
        <v>0</v>
      </c>
      <c r="M1854">
        <v>4235</v>
      </c>
      <c r="N1854">
        <v>0</v>
      </c>
      <c r="O1854">
        <v>4235</v>
      </c>
    </row>
    <row r="1855" spans="1:15" x14ac:dyDescent="0.3">
      <c r="A1855" t="s">
        <v>1867</v>
      </c>
      <c r="B1855" s="1">
        <v>45273</v>
      </c>
      <c r="C1855" t="s">
        <v>3854</v>
      </c>
      <c r="D1855" t="s">
        <v>4000</v>
      </c>
      <c r="E1855">
        <v>46</v>
      </c>
      <c r="F1855" t="str">
        <f t="shared" si="28"/>
        <v>46+</v>
      </c>
      <c r="G1855" t="s">
        <v>4004</v>
      </c>
      <c r="H1855" t="s">
        <v>4011</v>
      </c>
      <c r="I1855" t="s">
        <v>4017</v>
      </c>
      <c r="J1855">
        <v>3</v>
      </c>
      <c r="K1855">
        <v>5838</v>
      </c>
      <c r="L1855">
        <v>0</v>
      </c>
      <c r="M1855">
        <v>17514</v>
      </c>
      <c r="N1855">
        <v>0</v>
      </c>
      <c r="O1855">
        <v>17514</v>
      </c>
    </row>
    <row r="1856" spans="1:15" x14ac:dyDescent="0.3">
      <c r="A1856" t="s">
        <v>1868</v>
      </c>
      <c r="B1856" s="1">
        <v>44942</v>
      </c>
      <c r="C1856" t="s">
        <v>3855</v>
      </c>
      <c r="D1856" t="s">
        <v>3999</v>
      </c>
      <c r="E1856">
        <v>29</v>
      </c>
      <c r="F1856" t="str">
        <f t="shared" si="28"/>
        <v>26-35</v>
      </c>
      <c r="G1856" t="s">
        <v>4003</v>
      </c>
      <c r="H1856" t="s">
        <v>4007</v>
      </c>
      <c r="I1856" t="s">
        <v>4016</v>
      </c>
      <c r="J1856">
        <v>3</v>
      </c>
      <c r="K1856">
        <v>731</v>
      </c>
      <c r="L1856">
        <v>0</v>
      </c>
      <c r="M1856">
        <v>2193</v>
      </c>
      <c r="N1856">
        <v>0</v>
      </c>
      <c r="O1856">
        <v>2193</v>
      </c>
    </row>
    <row r="1857" spans="1:15" x14ac:dyDescent="0.3">
      <c r="A1857" t="s">
        <v>1869</v>
      </c>
      <c r="B1857" s="1">
        <v>44759</v>
      </c>
      <c r="C1857" t="s">
        <v>3856</v>
      </c>
      <c r="D1857" t="s">
        <v>4000</v>
      </c>
      <c r="E1857">
        <v>41</v>
      </c>
      <c r="F1857" t="str">
        <f t="shared" si="28"/>
        <v>36-45</v>
      </c>
      <c r="G1857" t="s">
        <v>4001</v>
      </c>
      <c r="H1857" t="s">
        <v>4010</v>
      </c>
      <c r="I1857" t="s">
        <v>4016</v>
      </c>
      <c r="J1857">
        <v>5</v>
      </c>
      <c r="K1857">
        <v>2943</v>
      </c>
      <c r="L1857">
        <v>0</v>
      </c>
      <c r="M1857">
        <v>14715</v>
      </c>
      <c r="N1857">
        <v>0</v>
      </c>
      <c r="O1857">
        <v>14715</v>
      </c>
    </row>
    <row r="1858" spans="1:15" x14ac:dyDescent="0.3">
      <c r="A1858" t="s">
        <v>1870</v>
      </c>
      <c r="B1858" s="1">
        <v>44676</v>
      </c>
      <c r="C1858" t="s">
        <v>3857</v>
      </c>
      <c r="D1858" t="s">
        <v>4000</v>
      </c>
      <c r="E1858">
        <v>40</v>
      </c>
      <c r="F1858" t="str">
        <f t="shared" ref="F1858:F1921" si="29">IF(E1858&lt;=25,"18-25",IF(E1858&lt;=35,"26-35",IF(E1858&lt;=45,"36-45","46+")))</f>
        <v>36-45</v>
      </c>
      <c r="G1858" t="s">
        <v>4006</v>
      </c>
      <c r="H1858" t="s">
        <v>4007</v>
      </c>
      <c r="I1858" t="s">
        <v>4016</v>
      </c>
      <c r="J1858">
        <v>2</v>
      </c>
      <c r="K1858">
        <v>2588</v>
      </c>
      <c r="L1858">
        <v>0</v>
      </c>
      <c r="M1858">
        <v>5176</v>
      </c>
      <c r="N1858">
        <v>0</v>
      </c>
      <c r="O1858">
        <v>5176</v>
      </c>
    </row>
    <row r="1859" spans="1:15" x14ac:dyDescent="0.3">
      <c r="A1859" t="s">
        <v>1871</v>
      </c>
      <c r="B1859" s="1">
        <v>45241</v>
      </c>
      <c r="C1859" t="s">
        <v>3858</v>
      </c>
      <c r="D1859" t="s">
        <v>4000</v>
      </c>
      <c r="E1859">
        <v>46</v>
      </c>
      <c r="F1859" t="str">
        <f t="shared" si="29"/>
        <v>46+</v>
      </c>
      <c r="G1859" t="s">
        <v>4001</v>
      </c>
      <c r="H1859" t="s">
        <v>4008</v>
      </c>
      <c r="I1859" t="s">
        <v>4016</v>
      </c>
      <c r="J1859">
        <v>1</v>
      </c>
      <c r="K1859">
        <v>6393</v>
      </c>
      <c r="L1859">
        <v>5</v>
      </c>
      <c r="M1859">
        <v>6393</v>
      </c>
      <c r="N1859">
        <v>319.64999999999998</v>
      </c>
      <c r="O1859">
        <v>6073.35</v>
      </c>
    </row>
    <row r="1860" spans="1:15" x14ac:dyDescent="0.3">
      <c r="A1860" t="s">
        <v>1872</v>
      </c>
      <c r="B1860" s="1">
        <v>45013</v>
      </c>
      <c r="C1860" t="s">
        <v>3859</v>
      </c>
      <c r="D1860" t="s">
        <v>3999</v>
      </c>
      <c r="E1860">
        <v>38</v>
      </c>
      <c r="F1860" t="str">
        <f t="shared" si="29"/>
        <v>36-45</v>
      </c>
      <c r="G1860" t="s">
        <v>4003</v>
      </c>
      <c r="H1860" t="s">
        <v>4008</v>
      </c>
      <c r="I1860" t="s">
        <v>4013</v>
      </c>
      <c r="J1860">
        <v>2</v>
      </c>
      <c r="K1860">
        <v>7493</v>
      </c>
      <c r="L1860">
        <v>0</v>
      </c>
      <c r="M1860">
        <v>14986</v>
      </c>
      <c r="N1860">
        <v>0</v>
      </c>
      <c r="O1860">
        <v>14986</v>
      </c>
    </row>
    <row r="1861" spans="1:15" x14ac:dyDescent="0.3">
      <c r="A1861" t="s">
        <v>1873</v>
      </c>
      <c r="B1861" s="1">
        <v>44895</v>
      </c>
      <c r="C1861" t="s">
        <v>3860</v>
      </c>
      <c r="D1861" t="s">
        <v>3999</v>
      </c>
      <c r="E1861">
        <v>36</v>
      </c>
      <c r="F1861" t="str">
        <f t="shared" si="29"/>
        <v>36-45</v>
      </c>
      <c r="G1861" t="s">
        <v>4004</v>
      </c>
      <c r="H1861" t="s">
        <v>4009</v>
      </c>
      <c r="I1861" t="s">
        <v>4017</v>
      </c>
      <c r="J1861">
        <v>6</v>
      </c>
      <c r="K1861">
        <v>2979</v>
      </c>
      <c r="L1861">
        <v>0</v>
      </c>
      <c r="M1861">
        <v>17874</v>
      </c>
      <c r="N1861">
        <v>0</v>
      </c>
      <c r="O1861">
        <v>17874</v>
      </c>
    </row>
    <row r="1862" spans="1:15" x14ac:dyDescent="0.3">
      <c r="A1862" t="s">
        <v>1874</v>
      </c>
      <c r="B1862" s="1">
        <v>45221</v>
      </c>
      <c r="C1862" t="s">
        <v>3861</v>
      </c>
      <c r="D1862" t="s">
        <v>4000</v>
      </c>
      <c r="E1862">
        <v>21</v>
      </c>
      <c r="F1862" t="str">
        <f t="shared" si="29"/>
        <v>18-25</v>
      </c>
      <c r="G1862" t="s">
        <v>4001</v>
      </c>
      <c r="H1862" t="s">
        <v>4012</v>
      </c>
      <c r="I1862" t="s">
        <v>4014</v>
      </c>
      <c r="J1862">
        <v>2</v>
      </c>
      <c r="K1862">
        <v>4003</v>
      </c>
      <c r="L1862">
        <v>5</v>
      </c>
      <c r="M1862">
        <v>8006</v>
      </c>
      <c r="N1862">
        <v>400.3</v>
      </c>
      <c r="O1862">
        <v>7605.7</v>
      </c>
    </row>
    <row r="1863" spans="1:15" x14ac:dyDescent="0.3">
      <c r="A1863" t="s">
        <v>1875</v>
      </c>
      <c r="B1863" s="1">
        <v>44793</v>
      </c>
      <c r="C1863" t="s">
        <v>3862</v>
      </c>
      <c r="D1863" t="s">
        <v>4000</v>
      </c>
      <c r="E1863">
        <v>63</v>
      </c>
      <c r="F1863" t="str">
        <f t="shared" si="29"/>
        <v>46+</v>
      </c>
      <c r="G1863" t="s">
        <v>4004</v>
      </c>
      <c r="H1863" t="s">
        <v>4011</v>
      </c>
      <c r="I1863" t="s">
        <v>4013</v>
      </c>
      <c r="J1863">
        <v>4</v>
      </c>
      <c r="K1863">
        <v>4133</v>
      </c>
      <c r="L1863">
        <v>0</v>
      </c>
      <c r="M1863">
        <v>16532</v>
      </c>
      <c r="N1863">
        <v>0</v>
      </c>
      <c r="O1863">
        <v>16532</v>
      </c>
    </row>
    <row r="1864" spans="1:15" x14ac:dyDescent="0.3">
      <c r="A1864" t="s">
        <v>1876</v>
      </c>
      <c r="B1864" s="1">
        <v>45055</v>
      </c>
      <c r="C1864" t="s">
        <v>3863</v>
      </c>
      <c r="D1864" t="s">
        <v>4000</v>
      </c>
      <c r="E1864">
        <v>19</v>
      </c>
      <c r="F1864" t="str">
        <f t="shared" si="29"/>
        <v>18-25</v>
      </c>
      <c r="G1864" t="s">
        <v>4002</v>
      </c>
      <c r="H1864" t="s">
        <v>4010</v>
      </c>
      <c r="I1864" t="s">
        <v>4015</v>
      </c>
      <c r="J1864">
        <v>4</v>
      </c>
      <c r="K1864">
        <v>5524</v>
      </c>
      <c r="L1864">
        <v>0</v>
      </c>
      <c r="M1864">
        <v>22096</v>
      </c>
      <c r="N1864">
        <v>0</v>
      </c>
      <c r="O1864">
        <v>22096</v>
      </c>
    </row>
    <row r="1865" spans="1:15" x14ac:dyDescent="0.3">
      <c r="A1865" t="s">
        <v>1877</v>
      </c>
      <c r="B1865" s="1">
        <v>44856</v>
      </c>
      <c r="C1865" t="s">
        <v>3864</v>
      </c>
      <c r="D1865" t="s">
        <v>4000</v>
      </c>
      <c r="E1865">
        <v>21</v>
      </c>
      <c r="F1865" t="str">
        <f t="shared" si="29"/>
        <v>18-25</v>
      </c>
      <c r="G1865" t="s">
        <v>4004</v>
      </c>
      <c r="H1865" t="s">
        <v>4012</v>
      </c>
      <c r="I1865" t="s">
        <v>4016</v>
      </c>
      <c r="J1865">
        <v>5</v>
      </c>
      <c r="K1865">
        <v>2475</v>
      </c>
      <c r="L1865">
        <v>10</v>
      </c>
      <c r="M1865">
        <v>12375</v>
      </c>
      <c r="N1865">
        <v>1237.5</v>
      </c>
      <c r="O1865">
        <v>11137.5</v>
      </c>
    </row>
    <row r="1866" spans="1:15" x14ac:dyDescent="0.3">
      <c r="A1866" t="s">
        <v>1878</v>
      </c>
      <c r="B1866" s="1">
        <v>45039</v>
      </c>
      <c r="C1866" t="s">
        <v>3865</v>
      </c>
      <c r="D1866" t="s">
        <v>4000</v>
      </c>
      <c r="E1866">
        <v>32</v>
      </c>
      <c r="F1866" t="str">
        <f t="shared" si="29"/>
        <v>26-35</v>
      </c>
      <c r="G1866" t="s">
        <v>4004</v>
      </c>
      <c r="H1866" t="s">
        <v>4007</v>
      </c>
      <c r="I1866" t="s">
        <v>4017</v>
      </c>
      <c r="J1866">
        <v>5</v>
      </c>
      <c r="K1866">
        <v>306</v>
      </c>
      <c r="L1866">
        <v>10</v>
      </c>
      <c r="M1866">
        <v>1530</v>
      </c>
      <c r="N1866">
        <v>153</v>
      </c>
      <c r="O1866">
        <v>1377</v>
      </c>
    </row>
    <row r="1867" spans="1:15" x14ac:dyDescent="0.3">
      <c r="A1867" t="s">
        <v>1879</v>
      </c>
      <c r="B1867" s="1">
        <v>44940</v>
      </c>
      <c r="C1867" t="s">
        <v>3866</v>
      </c>
      <c r="D1867" t="s">
        <v>4000</v>
      </c>
      <c r="E1867">
        <v>21</v>
      </c>
      <c r="F1867" t="str">
        <f t="shared" si="29"/>
        <v>18-25</v>
      </c>
      <c r="G1867" t="s">
        <v>4002</v>
      </c>
      <c r="H1867" t="s">
        <v>4007</v>
      </c>
      <c r="I1867" t="s">
        <v>4016</v>
      </c>
      <c r="J1867">
        <v>1</v>
      </c>
      <c r="K1867">
        <v>6113</v>
      </c>
      <c r="L1867">
        <v>0</v>
      </c>
      <c r="M1867">
        <v>6113</v>
      </c>
      <c r="N1867">
        <v>0</v>
      </c>
      <c r="O1867">
        <v>6113</v>
      </c>
    </row>
    <row r="1868" spans="1:15" x14ac:dyDescent="0.3">
      <c r="A1868" t="s">
        <v>1880</v>
      </c>
      <c r="B1868" s="1">
        <v>44706</v>
      </c>
      <c r="C1868" t="s">
        <v>3867</v>
      </c>
      <c r="D1868" t="s">
        <v>3999</v>
      </c>
      <c r="E1868">
        <v>40</v>
      </c>
      <c r="F1868" t="str">
        <f t="shared" si="29"/>
        <v>36-45</v>
      </c>
      <c r="G1868" t="s">
        <v>4003</v>
      </c>
      <c r="H1868" t="s">
        <v>4008</v>
      </c>
      <c r="I1868" t="s">
        <v>4015</v>
      </c>
      <c r="J1868">
        <v>3</v>
      </c>
      <c r="K1868">
        <v>3986</v>
      </c>
      <c r="L1868">
        <v>10</v>
      </c>
      <c r="M1868">
        <v>11958</v>
      </c>
      <c r="N1868">
        <v>1195.8</v>
      </c>
      <c r="O1868">
        <v>10762.2</v>
      </c>
    </row>
    <row r="1869" spans="1:15" x14ac:dyDescent="0.3">
      <c r="A1869" t="s">
        <v>1881</v>
      </c>
      <c r="B1869" s="1">
        <v>44930</v>
      </c>
      <c r="C1869" t="s">
        <v>2594</v>
      </c>
      <c r="D1869" t="s">
        <v>3999</v>
      </c>
      <c r="E1869">
        <v>28</v>
      </c>
      <c r="F1869" t="str">
        <f t="shared" si="29"/>
        <v>26-35</v>
      </c>
      <c r="G1869" t="s">
        <v>4004</v>
      </c>
      <c r="H1869" t="s">
        <v>4007</v>
      </c>
      <c r="I1869" t="s">
        <v>4013</v>
      </c>
      <c r="J1869">
        <v>6</v>
      </c>
      <c r="K1869">
        <v>5893</v>
      </c>
      <c r="L1869">
        <v>15</v>
      </c>
      <c r="M1869">
        <v>35358</v>
      </c>
      <c r="N1869">
        <v>5303.7</v>
      </c>
      <c r="O1869">
        <v>30054.3</v>
      </c>
    </row>
    <row r="1870" spans="1:15" x14ac:dyDescent="0.3">
      <c r="A1870" t="s">
        <v>1882</v>
      </c>
      <c r="B1870" s="1">
        <v>44825</v>
      </c>
      <c r="C1870" t="s">
        <v>3868</v>
      </c>
      <c r="D1870" t="s">
        <v>4000</v>
      </c>
      <c r="E1870">
        <v>44</v>
      </c>
      <c r="F1870" t="str">
        <f t="shared" si="29"/>
        <v>36-45</v>
      </c>
      <c r="G1870" t="s">
        <v>4005</v>
      </c>
      <c r="H1870" t="s">
        <v>4008</v>
      </c>
      <c r="I1870" t="s">
        <v>4015</v>
      </c>
      <c r="J1870">
        <v>4</v>
      </c>
      <c r="K1870">
        <v>4047</v>
      </c>
      <c r="L1870">
        <v>0</v>
      </c>
      <c r="M1870">
        <v>16188</v>
      </c>
      <c r="N1870">
        <v>0</v>
      </c>
      <c r="O1870">
        <v>16188</v>
      </c>
    </row>
    <row r="1871" spans="1:15" x14ac:dyDescent="0.3">
      <c r="A1871" t="s">
        <v>1883</v>
      </c>
      <c r="B1871" s="1">
        <v>44685</v>
      </c>
      <c r="C1871" t="s">
        <v>3869</v>
      </c>
      <c r="D1871" t="s">
        <v>3999</v>
      </c>
      <c r="E1871">
        <v>52</v>
      </c>
      <c r="F1871" t="str">
        <f t="shared" si="29"/>
        <v>46+</v>
      </c>
      <c r="G1871" t="s">
        <v>4001</v>
      </c>
      <c r="H1871" t="s">
        <v>4012</v>
      </c>
      <c r="I1871" t="s">
        <v>4015</v>
      </c>
      <c r="J1871">
        <v>4</v>
      </c>
      <c r="K1871">
        <v>3521</v>
      </c>
      <c r="L1871">
        <v>0</v>
      </c>
      <c r="M1871">
        <v>14084</v>
      </c>
      <c r="N1871">
        <v>0</v>
      </c>
      <c r="O1871">
        <v>14084</v>
      </c>
    </row>
    <row r="1872" spans="1:15" x14ac:dyDescent="0.3">
      <c r="A1872" t="s">
        <v>1884</v>
      </c>
      <c r="B1872" s="1">
        <v>44808</v>
      </c>
      <c r="C1872" t="s">
        <v>3870</v>
      </c>
      <c r="D1872" t="s">
        <v>4000</v>
      </c>
      <c r="E1872">
        <v>24</v>
      </c>
      <c r="F1872" t="str">
        <f t="shared" si="29"/>
        <v>18-25</v>
      </c>
      <c r="G1872" t="s">
        <v>4005</v>
      </c>
      <c r="H1872" t="s">
        <v>4007</v>
      </c>
      <c r="I1872" t="s">
        <v>4016</v>
      </c>
      <c r="J1872">
        <v>7</v>
      </c>
      <c r="K1872">
        <v>1238</v>
      </c>
      <c r="L1872">
        <v>5</v>
      </c>
      <c r="M1872">
        <v>8666</v>
      </c>
      <c r="N1872">
        <v>433.3</v>
      </c>
      <c r="O1872">
        <v>8232.7000000000007</v>
      </c>
    </row>
    <row r="1873" spans="1:15" x14ac:dyDescent="0.3">
      <c r="A1873" t="s">
        <v>1885</v>
      </c>
      <c r="B1873" s="1">
        <v>44769</v>
      </c>
      <c r="C1873" t="s">
        <v>3871</v>
      </c>
      <c r="D1873" t="s">
        <v>4000</v>
      </c>
      <c r="E1873">
        <v>35</v>
      </c>
      <c r="F1873" t="str">
        <f t="shared" si="29"/>
        <v>26-35</v>
      </c>
      <c r="G1873" t="s">
        <v>4003</v>
      </c>
      <c r="H1873" t="s">
        <v>4007</v>
      </c>
      <c r="I1873" t="s">
        <v>4017</v>
      </c>
      <c r="J1873">
        <v>6</v>
      </c>
      <c r="K1873">
        <v>2725</v>
      </c>
      <c r="L1873">
        <v>0</v>
      </c>
      <c r="M1873">
        <v>16350</v>
      </c>
      <c r="N1873">
        <v>0</v>
      </c>
      <c r="O1873">
        <v>16350</v>
      </c>
    </row>
    <row r="1874" spans="1:15" x14ac:dyDescent="0.3">
      <c r="A1874" t="s">
        <v>1886</v>
      </c>
      <c r="B1874" s="1">
        <v>44722</v>
      </c>
      <c r="C1874" t="s">
        <v>3872</v>
      </c>
      <c r="D1874" t="s">
        <v>4000</v>
      </c>
      <c r="E1874">
        <v>27</v>
      </c>
      <c r="F1874" t="str">
        <f t="shared" si="29"/>
        <v>26-35</v>
      </c>
      <c r="G1874" t="s">
        <v>4001</v>
      </c>
      <c r="H1874" t="s">
        <v>4011</v>
      </c>
      <c r="I1874" t="s">
        <v>4013</v>
      </c>
      <c r="J1874">
        <v>1</v>
      </c>
      <c r="K1874">
        <v>1653</v>
      </c>
      <c r="L1874">
        <v>0</v>
      </c>
      <c r="M1874">
        <v>1653</v>
      </c>
      <c r="N1874">
        <v>0</v>
      </c>
      <c r="O1874">
        <v>1653</v>
      </c>
    </row>
    <row r="1875" spans="1:15" x14ac:dyDescent="0.3">
      <c r="A1875" t="s">
        <v>1887</v>
      </c>
      <c r="B1875" s="1">
        <v>45179</v>
      </c>
      <c r="C1875" t="s">
        <v>3873</v>
      </c>
      <c r="D1875" t="s">
        <v>3999</v>
      </c>
      <c r="E1875">
        <v>37</v>
      </c>
      <c r="F1875" t="str">
        <f t="shared" si="29"/>
        <v>36-45</v>
      </c>
      <c r="G1875" t="s">
        <v>4004</v>
      </c>
      <c r="H1875" t="s">
        <v>4007</v>
      </c>
      <c r="I1875" t="s">
        <v>4017</v>
      </c>
      <c r="J1875">
        <v>5</v>
      </c>
      <c r="K1875">
        <v>3576</v>
      </c>
      <c r="L1875">
        <v>5</v>
      </c>
      <c r="M1875">
        <v>17880</v>
      </c>
      <c r="N1875">
        <v>894</v>
      </c>
      <c r="O1875">
        <v>16986</v>
      </c>
    </row>
    <row r="1876" spans="1:15" x14ac:dyDescent="0.3">
      <c r="A1876" t="s">
        <v>1888</v>
      </c>
      <c r="B1876" s="1">
        <v>44646</v>
      </c>
      <c r="C1876" t="s">
        <v>3874</v>
      </c>
      <c r="D1876" t="s">
        <v>3999</v>
      </c>
      <c r="E1876">
        <v>51</v>
      </c>
      <c r="F1876" t="str">
        <f t="shared" si="29"/>
        <v>46+</v>
      </c>
      <c r="G1876" t="s">
        <v>4006</v>
      </c>
      <c r="H1876" t="s">
        <v>4009</v>
      </c>
      <c r="I1876" t="s">
        <v>4013</v>
      </c>
      <c r="J1876">
        <v>1</v>
      </c>
      <c r="K1876">
        <v>2329</v>
      </c>
      <c r="L1876">
        <v>10</v>
      </c>
      <c r="M1876">
        <v>2329</v>
      </c>
      <c r="N1876">
        <v>232.9</v>
      </c>
      <c r="O1876">
        <v>2096.1</v>
      </c>
    </row>
    <row r="1877" spans="1:15" x14ac:dyDescent="0.3">
      <c r="A1877" t="s">
        <v>1889</v>
      </c>
      <c r="B1877" s="1">
        <v>45021</v>
      </c>
      <c r="C1877" t="s">
        <v>3875</v>
      </c>
      <c r="D1877" t="s">
        <v>4000</v>
      </c>
      <c r="E1877">
        <v>41</v>
      </c>
      <c r="F1877" t="str">
        <f t="shared" si="29"/>
        <v>36-45</v>
      </c>
      <c r="G1877" t="s">
        <v>4006</v>
      </c>
      <c r="H1877" t="s">
        <v>4012</v>
      </c>
      <c r="I1877" t="s">
        <v>4013</v>
      </c>
      <c r="J1877">
        <v>6</v>
      </c>
      <c r="K1877">
        <v>3881</v>
      </c>
      <c r="L1877">
        <v>10</v>
      </c>
      <c r="M1877">
        <v>23286</v>
      </c>
      <c r="N1877">
        <v>2328.6</v>
      </c>
      <c r="O1877">
        <v>20957.400000000001</v>
      </c>
    </row>
    <row r="1878" spans="1:15" x14ac:dyDescent="0.3">
      <c r="A1878" t="s">
        <v>1890</v>
      </c>
      <c r="B1878" s="1">
        <v>44747</v>
      </c>
      <c r="C1878" t="s">
        <v>3876</v>
      </c>
      <c r="D1878" t="s">
        <v>4000</v>
      </c>
      <c r="E1878">
        <v>50</v>
      </c>
      <c r="F1878" t="str">
        <f t="shared" si="29"/>
        <v>46+</v>
      </c>
      <c r="G1878" t="s">
        <v>4003</v>
      </c>
      <c r="H1878" t="s">
        <v>4010</v>
      </c>
      <c r="I1878" t="s">
        <v>4014</v>
      </c>
      <c r="J1878">
        <v>3</v>
      </c>
      <c r="K1878">
        <v>7660</v>
      </c>
      <c r="L1878">
        <v>10</v>
      </c>
      <c r="M1878">
        <v>22980</v>
      </c>
      <c r="N1878">
        <v>2298</v>
      </c>
      <c r="O1878">
        <v>20682</v>
      </c>
    </row>
    <row r="1879" spans="1:15" x14ac:dyDescent="0.3">
      <c r="A1879" t="s">
        <v>1891</v>
      </c>
      <c r="B1879" s="1">
        <v>44793</v>
      </c>
      <c r="C1879" t="s">
        <v>3877</v>
      </c>
      <c r="D1879" t="s">
        <v>3999</v>
      </c>
      <c r="E1879">
        <v>55</v>
      </c>
      <c r="F1879" t="str">
        <f t="shared" si="29"/>
        <v>46+</v>
      </c>
      <c r="G1879" t="s">
        <v>4004</v>
      </c>
      <c r="H1879" t="s">
        <v>4008</v>
      </c>
      <c r="I1879" t="s">
        <v>4013</v>
      </c>
      <c r="J1879">
        <v>3</v>
      </c>
      <c r="K1879">
        <v>4854</v>
      </c>
      <c r="L1879">
        <v>5</v>
      </c>
      <c r="M1879">
        <v>14562</v>
      </c>
      <c r="N1879">
        <v>728.1</v>
      </c>
      <c r="O1879">
        <v>13833.9</v>
      </c>
    </row>
    <row r="1880" spans="1:15" x14ac:dyDescent="0.3">
      <c r="A1880" t="s">
        <v>1892</v>
      </c>
      <c r="B1880" s="1">
        <v>44618</v>
      </c>
      <c r="C1880" t="s">
        <v>3878</v>
      </c>
      <c r="D1880" t="s">
        <v>4000</v>
      </c>
      <c r="E1880">
        <v>61</v>
      </c>
      <c r="F1880" t="str">
        <f t="shared" si="29"/>
        <v>46+</v>
      </c>
      <c r="G1880" t="s">
        <v>4003</v>
      </c>
      <c r="H1880" t="s">
        <v>4008</v>
      </c>
      <c r="I1880" t="s">
        <v>4016</v>
      </c>
      <c r="J1880">
        <v>3</v>
      </c>
      <c r="K1880">
        <v>1578</v>
      </c>
      <c r="L1880">
        <v>20</v>
      </c>
      <c r="M1880">
        <v>4734</v>
      </c>
      <c r="N1880">
        <v>946.8</v>
      </c>
      <c r="O1880">
        <v>3787.2</v>
      </c>
    </row>
    <row r="1881" spans="1:15" x14ac:dyDescent="0.3">
      <c r="A1881" t="s">
        <v>1893</v>
      </c>
      <c r="B1881" s="1">
        <v>44786</v>
      </c>
      <c r="C1881" t="s">
        <v>3879</v>
      </c>
      <c r="D1881" t="s">
        <v>3999</v>
      </c>
      <c r="E1881">
        <v>51</v>
      </c>
      <c r="F1881" t="str">
        <f t="shared" si="29"/>
        <v>46+</v>
      </c>
      <c r="G1881" t="s">
        <v>4003</v>
      </c>
      <c r="H1881" t="s">
        <v>4010</v>
      </c>
      <c r="I1881" t="s">
        <v>4016</v>
      </c>
      <c r="J1881">
        <v>3</v>
      </c>
      <c r="K1881">
        <v>1173</v>
      </c>
      <c r="L1881">
        <v>0</v>
      </c>
      <c r="M1881">
        <v>3519</v>
      </c>
      <c r="N1881">
        <v>0</v>
      </c>
      <c r="O1881">
        <v>3519</v>
      </c>
    </row>
    <row r="1882" spans="1:15" x14ac:dyDescent="0.3">
      <c r="A1882" t="s">
        <v>1894</v>
      </c>
      <c r="B1882" s="1">
        <v>44724</v>
      </c>
      <c r="C1882" t="s">
        <v>3880</v>
      </c>
      <c r="D1882" t="s">
        <v>3999</v>
      </c>
      <c r="E1882">
        <v>20</v>
      </c>
      <c r="F1882" t="str">
        <f t="shared" si="29"/>
        <v>18-25</v>
      </c>
      <c r="G1882" t="s">
        <v>4004</v>
      </c>
      <c r="H1882" t="s">
        <v>4008</v>
      </c>
      <c r="I1882" t="s">
        <v>4013</v>
      </c>
      <c r="J1882">
        <v>2</v>
      </c>
      <c r="K1882">
        <v>3756</v>
      </c>
      <c r="L1882">
        <v>0</v>
      </c>
      <c r="M1882">
        <v>7512</v>
      </c>
      <c r="N1882">
        <v>0</v>
      </c>
      <c r="O1882">
        <v>7512</v>
      </c>
    </row>
    <row r="1883" spans="1:15" x14ac:dyDescent="0.3">
      <c r="A1883" t="s">
        <v>1895</v>
      </c>
      <c r="B1883" s="1">
        <v>44899</v>
      </c>
      <c r="C1883" t="s">
        <v>3881</v>
      </c>
      <c r="D1883" t="s">
        <v>4000</v>
      </c>
      <c r="E1883">
        <v>26</v>
      </c>
      <c r="F1883" t="str">
        <f t="shared" si="29"/>
        <v>26-35</v>
      </c>
      <c r="G1883" t="s">
        <v>4002</v>
      </c>
      <c r="H1883" t="s">
        <v>4009</v>
      </c>
      <c r="I1883" t="s">
        <v>4016</v>
      </c>
      <c r="J1883">
        <v>7</v>
      </c>
      <c r="K1883">
        <v>2096</v>
      </c>
      <c r="L1883">
        <v>0</v>
      </c>
      <c r="M1883">
        <v>14672</v>
      </c>
      <c r="N1883">
        <v>0</v>
      </c>
      <c r="O1883">
        <v>14672</v>
      </c>
    </row>
    <row r="1884" spans="1:15" x14ac:dyDescent="0.3">
      <c r="A1884" t="s">
        <v>1896</v>
      </c>
      <c r="B1884" s="1">
        <v>45014</v>
      </c>
      <c r="C1884" t="s">
        <v>3882</v>
      </c>
      <c r="D1884" t="s">
        <v>4000</v>
      </c>
      <c r="E1884">
        <v>37</v>
      </c>
      <c r="F1884" t="str">
        <f t="shared" si="29"/>
        <v>36-45</v>
      </c>
      <c r="G1884" t="s">
        <v>4002</v>
      </c>
      <c r="H1884" t="s">
        <v>4008</v>
      </c>
      <c r="I1884" t="s">
        <v>4017</v>
      </c>
      <c r="J1884">
        <v>4</v>
      </c>
      <c r="K1884">
        <v>7631</v>
      </c>
      <c r="L1884">
        <v>10</v>
      </c>
      <c r="M1884">
        <v>30524</v>
      </c>
      <c r="N1884">
        <v>3052.4</v>
      </c>
      <c r="O1884">
        <v>27471.599999999999</v>
      </c>
    </row>
    <row r="1885" spans="1:15" x14ac:dyDescent="0.3">
      <c r="A1885" t="s">
        <v>1897</v>
      </c>
      <c r="B1885" s="1">
        <v>45063</v>
      </c>
      <c r="C1885" t="s">
        <v>3883</v>
      </c>
      <c r="D1885" t="s">
        <v>4000</v>
      </c>
      <c r="E1885">
        <v>21</v>
      </c>
      <c r="F1885" t="str">
        <f t="shared" si="29"/>
        <v>18-25</v>
      </c>
      <c r="G1885" t="s">
        <v>4002</v>
      </c>
      <c r="H1885" t="s">
        <v>4007</v>
      </c>
      <c r="I1885" t="s">
        <v>4015</v>
      </c>
      <c r="J1885">
        <v>7</v>
      </c>
      <c r="K1885">
        <v>1468</v>
      </c>
      <c r="L1885">
        <v>10</v>
      </c>
      <c r="M1885">
        <v>10276</v>
      </c>
      <c r="N1885">
        <v>1027.5999999999999</v>
      </c>
      <c r="O1885">
        <v>9248.4</v>
      </c>
    </row>
    <row r="1886" spans="1:15" x14ac:dyDescent="0.3">
      <c r="A1886" t="s">
        <v>1898</v>
      </c>
      <c r="B1886" s="1">
        <v>45211</v>
      </c>
      <c r="C1886" t="s">
        <v>3884</v>
      </c>
      <c r="D1886" t="s">
        <v>4000</v>
      </c>
      <c r="E1886">
        <v>60</v>
      </c>
      <c r="F1886" t="str">
        <f t="shared" si="29"/>
        <v>46+</v>
      </c>
      <c r="G1886" t="s">
        <v>4001</v>
      </c>
      <c r="H1886" t="s">
        <v>4008</v>
      </c>
      <c r="I1886" t="s">
        <v>4017</v>
      </c>
      <c r="J1886">
        <v>4</v>
      </c>
      <c r="K1886">
        <v>1372</v>
      </c>
      <c r="L1886">
        <v>0</v>
      </c>
      <c r="M1886">
        <v>5488</v>
      </c>
      <c r="N1886">
        <v>0</v>
      </c>
      <c r="O1886">
        <v>5488</v>
      </c>
    </row>
    <row r="1887" spans="1:15" x14ac:dyDescent="0.3">
      <c r="A1887" t="s">
        <v>1899</v>
      </c>
      <c r="B1887" s="1">
        <v>44736</v>
      </c>
      <c r="C1887" t="s">
        <v>3885</v>
      </c>
      <c r="D1887" t="s">
        <v>3999</v>
      </c>
      <c r="E1887">
        <v>35</v>
      </c>
      <c r="F1887" t="str">
        <f t="shared" si="29"/>
        <v>26-35</v>
      </c>
      <c r="G1887" t="s">
        <v>4006</v>
      </c>
      <c r="H1887" t="s">
        <v>4010</v>
      </c>
      <c r="I1887" t="s">
        <v>4017</v>
      </c>
      <c r="J1887">
        <v>7</v>
      </c>
      <c r="K1887">
        <v>2658</v>
      </c>
      <c r="L1887">
        <v>0</v>
      </c>
      <c r="M1887">
        <v>18606</v>
      </c>
      <c r="N1887">
        <v>0</v>
      </c>
      <c r="O1887">
        <v>18606</v>
      </c>
    </row>
    <row r="1888" spans="1:15" x14ac:dyDescent="0.3">
      <c r="A1888" t="s">
        <v>1900</v>
      </c>
      <c r="B1888" s="1">
        <v>44923</v>
      </c>
      <c r="C1888" t="s">
        <v>3886</v>
      </c>
      <c r="D1888" t="s">
        <v>3999</v>
      </c>
      <c r="E1888">
        <v>44</v>
      </c>
      <c r="F1888" t="str">
        <f t="shared" si="29"/>
        <v>36-45</v>
      </c>
      <c r="G1888" t="s">
        <v>4005</v>
      </c>
      <c r="H1888" t="s">
        <v>4008</v>
      </c>
      <c r="I1888" t="s">
        <v>4013</v>
      </c>
      <c r="J1888">
        <v>2</v>
      </c>
      <c r="K1888">
        <v>2920</v>
      </c>
      <c r="L1888">
        <v>0</v>
      </c>
      <c r="M1888">
        <v>5840</v>
      </c>
      <c r="N1888">
        <v>0</v>
      </c>
      <c r="O1888">
        <v>5840</v>
      </c>
    </row>
    <row r="1889" spans="1:15" x14ac:dyDescent="0.3">
      <c r="A1889" t="s">
        <v>1901</v>
      </c>
      <c r="B1889" s="1">
        <v>44675</v>
      </c>
      <c r="C1889" t="s">
        <v>3887</v>
      </c>
      <c r="D1889" t="s">
        <v>4000</v>
      </c>
      <c r="E1889">
        <v>41</v>
      </c>
      <c r="F1889" t="str">
        <f t="shared" si="29"/>
        <v>36-45</v>
      </c>
      <c r="G1889" t="s">
        <v>4001</v>
      </c>
      <c r="H1889" t="s">
        <v>4012</v>
      </c>
      <c r="I1889" t="s">
        <v>4015</v>
      </c>
      <c r="J1889">
        <v>2</v>
      </c>
      <c r="K1889">
        <v>7704</v>
      </c>
      <c r="L1889">
        <v>0</v>
      </c>
      <c r="M1889">
        <v>15408</v>
      </c>
      <c r="N1889">
        <v>0</v>
      </c>
      <c r="O1889">
        <v>15408</v>
      </c>
    </row>
    <row r="1890" spans="1:15" x14ac:dyDescent="0.3">
      <c r="A1890" t="s">
        <v>1902</v>
      </c>
      <c r="B1890" s="1">
        <v>45216</v>
      </c>
      <c r="C1890" t="s">
        <v>3888</v>
      </c>
      <c r="D1890" t="s">
        <v>4000</v>
      </c>
      <c r="E1890">
        <v>29</v>
      </c>
      <c r="F1890" t="str">
        <f t="shared" si="29"/>
        <v>26-35</v>
      </c>
      <c r="G1890" t="s">
        <v>4002</v>
      </c>
      <c r="H1890" t="s">
        <v>4007</v>
      </c>
      <c r="I1890" t="s">
        <v>4014</v>
      </c>
      <c r="J1890">
        <v>6</v>
      </c>
      <c r="K1890">
        <v>4454</v>
      </c>
      <c r="L1890">
        <v>10</v>
      </c>
      <c r="M1890">
        <v>26724</v>
      </c>
      <c r="N1890">
        <v>2672.4</v>
      </c>
      <c r="O1890">
        <v>24051.599999999999</v>
      </c>
    </row>
    <row r="1891" spans="1:15" x14ac:dyDescent="0.3">
      <c r="A1891" t="s">
        <v>1903</v>
      </c>
      <c r="B1891" s="1">
        <v>44894</v>
      </c>
      <c r="C1891" t="s">
        <v>3889</v>
      </c>
      <c r="D1891" t="s">
        <v>3999</v>
      </c>
      <c r="E1891">
        <v>29</v>
      </c>
      <c r="F1891" t="str">
        <f t="shared" si="29"/>
        <v>26-35</v>
      </c>
      <c r="G1891" t="s">
        <v>4003</v>
      </c>
      <c r="H1891" t="s">
        <v>4007</v>
      </c>
      <c r="I1891" t="s">
        <v>4014</v>
      </c>
      <c r="J1891">
        <v>7</v>
      </c>
      <c r="K1891">
        <v>5225</v>
      </c>
      <c r="L1891">
        <v>5</v>
      </c>
      <c r="M1891">
        <v>36575</v>
      </c>
      <c r="N1891">
        <v>1828.75</v>
      </c>
      <c r="O1891">
        <v>34746.25</v>
      </c>
    </row>
    <row r="1892" spans="1:15" x14ac:dyDescent="0.3">
      <c r="A1892" t="s">
        <v>1904</v>
      </c>
      <c r="B1892" s="1">
        <v>44690</v>
      </c>
      <c r="C1892" t="s">
        <v>3890</v>
      </c>
      <c r="D1892" t="s">
        <v>3999</v>
      </c>
      <c r="E1892">
        <v>60</v>
      </c>
      <c r="F1892" t="str">
        <f t="shared" si="29"/>
        <v>46+</v>
      </c>
      <c r="G1892" t="s">
        <v>4003</v>
      </c>
      <c r="H1892" t="s">
        <v>4010</v>
      </c>
      <c r="I1892" t="s">
        <v>4015</v>
      </c>
      <c r="J1892">
        <v>7</v>
      </c>
      <c r="K1892">
        <v>6831</v>
      </c>
      <c r="L1892">
        <v>15</v>
      </c>
      <c r="M1892">
        <v>47817</v>
      </c>
      <c r="N1892">
        <v>7172.55</v>
      </c>
      <c r="O1892">
        <v>40644.449999999997</v>
      </c>
    </row>
    <row r="1893" spans="1:15" x14ac:dyDescent="0.3">
      <c r="A1893" t="s">
        <v>1905</v>
      </c>
      <c r="B1893" s="1">
        <v>45063</v>
      </c>
      <c r="C1893" t="s">
        <v>3891</v>
      </c>
      <c r="D1893" t="s">
        <v>4000</v>
      </c>
      <c r="E1893">
        <v>56</v>
      </c>
      <c r="F1893" t="str">
        <f t="shared" si="29"/>
        <v>46+</v>
      </c>
      <c r="G1893" t="s">
        <v>4002</v>
      </c>
      <c r="H1893" t="s">
        <v>4010</v>
      </c>
      <c r="I1893" t="s">
        <v>4017</v>
      </c>
      <c r="J1893">
        <v>4</v>
      </c>
      <c r="K1893">
        <v>4559</v>
      </c>
      <c r="L1893">
        <v>0</v>
      </c>
      <c r="M1893">
        <v>18236</v>
      </c>
      <c r="N1893">
        <v>0</v>
      </c>
      <c r="O1893">
        <v>18236</v>
      </c>
    </row>
    <row r="1894" spans="1:15" x14ac:dyDescent="0.3">
      <c r="A1894" t="s">
        <v>1906</v>
      </c>
      <c r="B1894" s="1">
        <v>44722</v>
      </c>
      <c r="C1894" t="s">
        <v>3892</v>
      </c>
      <c r="D1894" t="s">
        <v>4000</v>
      </c>
      <c r="E1894">
        <v>40</v>
      </c>
      <c r="F1894" t="str">
        <f t="shared" si="29"/>
        <v>36-45</v>
      </c>
      <c r="G1894" t="s">
        <v>4004</v>
      </c>
      <c r="H1894" t="s">
        <v>4007</v>
      </c>
      <c r="I1894" t="s">
        <v>4015</v>
      </c>
      <c r="J1894">
        <v>4</v>
      </c>
      <c r="K1894">
        <v>4057</v>
      </c>
      <c r="L1894">
        <v>0</v>
      </c>
      <c r="M1894">
        <v>16228</v>
      </c>
      <c r="N1894">
        <v>0</v>
      </c>
      <c r="O1894">
        <v>16228</v>
      </c>
    </row>
    <row r="1895" spans="1:15" x14ac:dyDescent="0.3">
      <c r="A1895" t="s">
        <v>1907</v>
      </c>
      <c r="B1895" s="1">
        <v>45176</v>
      </c>
      <c r="C1895" t="s">
        <v>3893</v>
      </c>
      <c r="D1895" t="s">
        <v>3999</v>
      </c>
      <c r="E1895">
        <v>59</v>
      </c>
      <c r="F1895" t="str">
        <f t="shared" si="29"/>
        <v>46+</v>
      </c>
      <c r="G1895" t="s">
        <v>4004</v>
      </c>
      <c r="H1895" t="s">
        <v>4012</v>
      </c>
      <c r="I1895" t="s">
        <v>4016</v>
      </c>
      <c r="J1895">
        <v>3</v>
      </c>
      <c r="K1895">
        <v>4801</v>
      </c>
      <c r="L1895">
        <v>0</v>
      </c>
      <c r="M1895">
        <v>14403</v>
      </c>
      <c r="N1895">
        <v>0</v>
      </c>
      <c r="O1895">
        <v>14403</v>
      </c>
    </row>
    <row r="1896" spans="1:15" x14ac:dyDescent="0.3">
      <c r="A1896" t="s">
        <v>1908</v>
      </c>
      <c r="B1896" s="1">
        <v>44572</v>
      </c>
      <c r="C1896" t="s">
        <v>3894</v>
      </c>
      <c r="D1896" t="s">
        <v>3999</v>
      </c>
      <c r="E1896">
        <v>20</v>
      </c>
      <c r="F1896" t="str">
        <f t="shared" si="29"/>
        <v>18-25</v>
      </c>
      <c r="G1896" t="s">
        <v>4002</v>
      </c>
      <c r="H1896" t="s">
        <v>4012</v>
      </c>
      <c r="I1896" t="s">
        <v>4015</v>
      </c>
      <c r="J1896">
        <v>6</v>
      </c>
      <c r="K1896">
        <v>7259</v>
      </c>
      <c r="L1896">
        <v>10</v>
      </c>
      <c r="M1896">
        <v>43554</v>
      </c>
      <c r="N1896">
        <v>4355.3999999999996</v>
      </c>
      <c r="O1896">
        <v>39198.6</v>
      </c>
    </row>
    <row r="1897" spans="1:15" x14ac:dyDescent="0.3">
      <c r="A1897" t="s">
        <v>1909</v>
      </c>
      <c r="B1897" s="1">
        <v>45240</v>
      </c>
      <c r="C1897" t="s">
        <v>3895</v>
      </c>
      <c r="D1897" t="s">
        <v>3999</v>
      </c>
      <c r="E1897">
        <v>39</v>
      </c>
      <c r="F1897" t="str">
        <f t="shared" si="29"/>
        <v>36-45</v>
      </c>
      <c r="G1897" t="s">
        <v>4001</v>
      </c>
      <c r="H1897" t="s">
        <v>4008</v>
      </c>
      <c r="I1897" t="s">
        <v>4015</v>
      </c>
      <c r="J1897">
        <v>7</v>
      </c>
      <c r="K1897">
        <v>835</v>
      </c>
      <c r="L1897">
        <v>10</v>
      </c>
      <c r="M1897">
        <v>5845</v>
      </c>
      <c r="N1897">
        <v>584.5</v>
      </c>
      <c r="O1897">
        <v>5260.5</v>
      </c>
    </row>
    <row r="1898" spans="1:15" x14ac:dyDescent="0.3">
      <c r="A1898" t="s">
        <v>1910</v>
      </c>
      <c r="B1898" s="1">
        <v>45264</v>
      </c>
      <c r="C1898" t="s">
        <v>3896</v>
      </c>
      <c r="D1898" t="s">
        <v>4000</v>
      </c>
      <c r="E1898">
        <v>26</v>
      </c>
      <c r="F1898" t="str">
        <f t="shared" si="29"/>
        <v>26-35</v>
      </c>
      <c r="G1898" t="s">
        <v>4006</v>
      </c>
      <c r="H1898" t="s">
        <v>4009</v>
      </c>
      <c r="I1898" t="s">
        <v>4014</v>
      </c>
      <c r="J1898">
        <v>7</v>
      </c>
      <c r="K1898">
        <v>7724</v>
      </c>
      <c r="L1898">
        <v>5</v>
      </c>
      <c r="M1898">
        <v>54068</v>
      </c>
      <c r="N1898">
        <v>2703.4</v>
      </c>
      <c r="O1898">
        <v>51364.6</v>
      </c>
    </row>
    <row r="1899" spans="1:15" x14ac:dyDescent="0.3">
      <c r="A1899" t="s">
        <v>1911</v>
      </c>
      <c r="B1899" s="1">
        <v>44983</v>
      </c>
      <c r="C1899" t="s">
        <v>3897</v>
      </c>
      <c r="D1899" t="s">
        <v>4000</v>
      </c>
      <c r="E1899">
        <v>40</v>
      </c>
      <c r="F1899" t="str">
        <f t="shared" si="29"/>
        <v>36-45</v>
      </c>
      <c r="G1899" t="s">
        <v>4004</v>
      </c>
      <c r="H1899" t="s">
        <v>4007</v>
      </c>
      <c r="I1899" t="s">
        <v>4017</v>
      </c>
      <c r="J1899">
        <v>3</v>
      </c>
      <c r="K1899">
        <v>2303</v>
      </c>
      <c r="L1899">
        <v>0</v>
      </c>
      <c r="M1899">
        <v>6909</v>
      </c>
      <c r="N1899">
        <v>0</v>
      </c>
      <c r="O1899">
        <v>6909</v>
      </c>
    </row>
    <row r="1900" spans="1:15" x14ac:dyDescent="0.3">
      <c r="A1900" t="s">
        <v>1912</v>
      </c>
      <c r="B1900" s="1">
        <v>44572</v>
      </c>
      <c r="C1900" t="s">
        <v>3898</v>
      </c>
      <c r="D1900" t="s">
        <v>4000</v>
      </c>
      <c r="E1900">
        <v>54</v>
      </c>
      <c r="F1900" t="str">
        <f t="shared" si="29"/>
        <v>46+</v>
      </c>
      <c r="G1900" t="s">
        <v>4002</v>
      </c>
      <c r="H1900" t="s">
        <v>4008</v>
      </c>
      <c r="I1900" t="s">
        <v>4013</v>
      </c>
      <c r="J1900">
        <v>2</v>
      </c>
      <c r="K1900">
        <v>6012</v>
      </c>
      <c r="L1900">
        <v>0</v>
      </c>
      <c r="M1900">
        <v>12024</v>
      </c>
      <c r="N1900">
        <v>0</v>
      </c>
      <c r="O1900">
        <v>12024</v>
      </c>
    </row>
    <row r="1901" spans="1:15" x14ac:dyDescent="0.3">
      <c r="A1901" t="s">
        <v>1913</v>
      </c>
      <c r="B1901" s="1">
        <v>44915</v>
      </c>
      <c r="C1901" t="s">
        <v>3899</v>
      </c>
      <c r="D1901" t="s">
        <v>4000</v>
      </c>
      <c r="E1901">
        <v>51</v>
      </c>
      <c r="F1901" t="str">
        <f t="shared" si="29"/>
        <v>46+</v>
      </c>
      <c r="G1901" t="s">
        <v>4002</v>
      </c>
      <c r="H1901" t="s">
        <v>4011</v>
      </c>
      <c r="I1901" t="s">
        <v>4015</v>
      </c>
      <c r="J1901">
        <v>1</v>
      </c>
      <c r="K1901">
        <v>2685</v>
      </c>
      <c r="L1901">
        <v>0</v>
      </c>
      <c r="M1901">
        <v>2685</v>
      </c>
      <c r="N1901">
        <v>0</v>
      </c>
      <c r="O1901">
        <v>2685</v>
      </c>
    </row>
    <row r="1902" spans="1:15" x14ac:dyDescent="0.3">
      <c r="A1902" t="s">
        <v>1914</v>
      </c>
      <c r="B1902" s="1">
        <v>44653</v>
      </c>
      <c r="C1902" t="s">
        <v>3900</v>
      </c>
      <c r="D1902" t="s">
        <v>4000</v>
      </c>
      <c r="E1902">
        <v>33</v>
      </c>
      <c r="F1902" t="str">
        <f t="shared" si="29"/>
        <v>26-35</v>
      </c>
      <c r="G1902" t="s">
        <v>4004</v>
      </c>
      <c r="H1902" t="s">
        <v>4012</v>
      </c>
      <c r="I1902" t="s">
        <v>4017</v>
      </c>
      <c r="J1902">
        <v>7</v>
      </c>
      <c r="K1902">
        <v>3265</v>
      </c>
      <c r="L1902">
        <v>15</v>
      </c>
      <c r="M1902">
        <v>22855</v>
      </c>
      <c r="N1902">
        <v>3428.25</v>
      </c>
      <c r="O1902">
        <v>19426.75</v>
      </c>
    </row>
    <row r="1903" spans="1:15" x14ac:dyDescent="0.3">
      <c r="A1903" t="s">
        <v>1915</v>
      </c>
      <c r="B1903" s="1">
        <v>44767</v>
      </c>
      <c r="C1903" t="s">
        <v>3901</v>
      </c>
      <c r="D1903" t="s">
        <v>4000</v>
      </c>
      <c r="E1903">
        <v>19</v>
      </c>
      <c r="F1903" t="str">
        <f t="shared" si="29"/>
        <v>18-25</v>
      </c>
      <c r="G1903" t="s">
        <v>4002</v>
      </c>
      <c r="H1903" t="s">
        <v>4012</v>
      </c>
      <c r="I1903" t="s">
        <v>4014</v>
      </c>
      <c r="J1903">
        <v>6</v>
      </c>
      <c r="K1903">
        <v>6654</v>
      </c>
      <c r="L1903">
        <v>0</v>
      </c>
      <c r="M1903">
        <v>39924</v>
      </c>
      <c r="N1903">
        <v>0</v>
      </c>
      <c r="O1903">
        <v>39924</v>
      </c>
    </row>
    <row r="1904" spans="1:15" x14ac:dyDescent="0.3">
      <c r="A1904" t="s">
        <v>1916</v>
      </c>
      <c r="B1904" s="1">
        <v>45047</v>
      </c>
      <c r="C1904" t="s">
        <v>3902</v>
      </c>
      <c r="D1904" t="s">
        <v>4000</v>
      </c>
      <c r="E1904">
        <v>36</v>
      </c>
      <c r="F1904" t="str">
        <f t="shared" si="29"/>
        <v>36-45</v>
      </c>
      <c r="G1904" t="s">
        <v>4005</v>
      </c>
      <c r="H1904" t="s">
        <v>4009</v>
      </c>
      <c r="I1904" t="s">
        <v>4015</v>
      </c>
      <c r="J1904">
        <v>6</v>
      </c>
      <c r="K1904">
        <v>7337</v>
      </c>
      <c r="L1904">
        <v>5</v>
      </c>
      <c r="M1904">
        <v>44022</v>
      </c>
      <c r="N1904">
        <v>2201.1</v>
      </c>
      <c r="O1904">
        <v>41820.9</v>
      </c>
    </row>
    <row r="1905" spans="1:15" x14ac:dyDescent="0.3">
      <c r="A1905" t="s">
        <v>1917</v>
      </c>
      <c r="B1905" s="1">
        <v>44843</v>
      </c>
      <c r="C1905" t="s">
        <v>3903</v>
      </c>
      <c r="D1905" t="s">
        <v>4000</v>
      </c>
      <c r="E1905">
        <v>28</v>
      </c>
      <c r="F1905" t="str">
        <f t="shared" si="29"/>
        <v>26-35</v>
      </c>
      <c r="G1905" t="s">
        <v>4003</v>
      </c>
      <c r="H1905" t="s">
        <v>4008</v>
      </c>
      <c r="I1905" t="s">
        <v>4015</v>
      </c>
      <c r="J1905">
        <v>7</v>
      </c>
      <c r="K1905">
        <v>2270</v>
      </c>
      <c r="L1905">
        <v>10</v>
      </c>
      <c r="M1905">
        <v>15890</v>
      </c>
      <c r="N1905">
        <v>1589</v>
      </c>
      <c r="O1905">
        <v>14301</v>
      </c>
    </row>
    <row r="1906" spans="1:15" x14ac:dyDescent="0.3">
      <c r="A1906" t="s">
        <v>1918</v>
      </c>
      <c r="B1906" s="1">
        <v>44878</v>
      </c>
      <c r="C1906" t="s">
        <v>3904</v>
      </c>
      <c r="D1906" t="s">
        <v>4000</v>
      </c>
      <c r="E1906">
        <v>51</v>
      </c>
      <c r="F1906" t="str">
        <f t="shared" si="29"/>
        <v>46+</v>
      </c>
      <c r="G1906" t="s">
        <v>4006</v>
      </c>
      <c r="H1906" t="s">
        <v>4011</v>
      </c>
      <c r="I1906" t="s">
        <v>4016</v>
      </c>
      <c r="J1906">
        <v>2</v>
      </c>
      <c r="K1906">
        <v>5417</v>
      </c>
      <c r="L1906">
        <v>15</v>
      </c>
      <c r="M1906">
        <v>10834</v>
      </c>
      <c r="N1906">
        <v>1625.1</v>
      </c>
      <c r="O1906">
        <v>9208.9</v>
      </c>
    </row>
    <row r="1907" spans="1:15" x14ac:dyDescent="0.3">
      <c r="A1907" t="s">
        <v>1919</v>
      </c>
      <c r="B1907" s="1">
        <v>45189</v>
      </c>
      <c r="C1907" t="s">
        <v>3905</v>
      </c>
      <c r="D1907" t="s">
        <v>3999</v>
      </c>
      <c r="E1907">
        <v>29</v>
      </c>
      <c r="F1907" t="str">
        <f t="shared" si="29"/>
        <v>26-35</v>
      </c>
      <c r="G1907" t="s">
        <v>4001</v>
      </c>
      <c r="H1907" t="s">
        <v>4008</v>
      </c>
      <c r="I1907" t="s">
        <v>4013</v>
      </c>
      <c r="J1907">
        <v>3</v>
      </c>
      <c r="K1907">
        <v>4923</v>
      </c>
      <c r="L1907">
        <v>5</v>
      </c>
      <c r="M1907">
        <v>14769</v>
      </c>
      <c r="N1907">
        <v>738.45</v>
      </c>
      <c r="O1907">
        <v>14030.55</v>
      </c>
    </row>
    <row r="1908" spans="1:15" x14ac:dyDescent="0.3">
      <c r="A1908" t="s">
        <v>1920</v>
      </c>
      <c r="B1908" s="1">
        <v>44711</v>
      </c>
      <c r="C1908" t="s">
        <v>3906</v>
      </c>
      <c r="D1908" t="s">
        <v>4000</v>
      </c>
      <c r="E1908">
        <v>45</v>
      </c>
      <c r="F1908" t="str">
        <f t="shared" si="29"/>
        <v>36-45</v>
      </c>
      <c r="G1908" t="s">
        <v>4006</v>
      </c>
      <c r="H1908" t="s">
        <v>4008</v>
      </c>
      <c r="I1908" t="s">
        <v>4017</v>
      </c>
      <c r="J1908">
        <v>1</v>
      </c>
      <c r="K1908">
        <v>1860</v>
      </c>
      <c r="L1908">
        <v>5</v>
      </c>
      <c r="M1908">
        <v>1860</v>
      </c>
      <c r="N1908">
        <v>93</v>
      </c>
      <c r="O1908">
        <v>1767</v>
      </c>
    </row>
    <row r="1909" spans="1:15" x14ac:dyDescent="0.3">
      <c r="A1909" t="s">
        <v>1921</v>
      </c>
      <c r="B1909" s="1">
        <v>44842</v>
      </c>
      <c r="C1909" t="s">
        <v>3907</v>
      </c>
      <c r="D1909" t="s">
        <v>4000</v>
      </c>
      <c r="E1909">
        <v>39</v>
      </c>
      <c r="F1909" t="str">
        <f t="shared" si="29"/>
        <v>36-45</v>
      </c>
      <c r="G1909" t="s">
        <v>4003</v>
      </c>
      <c r="H1909" t="s">
        <v>4008</v>
      </c>
      <c r="I1909" t="s">
        <v>4015</v>
      </c>
      <c r="J1909">
        <v>5</v>
      </c>
      <c r="K1909">
        <v>2951</v>
      </c>
      <c r="L1909">
        <v>0</v>
      </c>
      <c r="M1909">
        <v>14755</v>
      </c>
      <c r="N1909">
        <v>0</v>
      </c>
      <c r="O1909">
        <v>14755</v>
      </c>
    </row>
    <row r="1910" spans="1:15" x14ac:dyDescent="0.3">
      <c r="A1910" t="s">
        <v>1922</v>
      </c>
      <c r="B1910" s="1">
        <v>45245</v>
      </c>
      <c r="C1910" t="s">
        <v>3908</v>
      </c>
      <c r="D1910" t="s">
        <v>3999</v>
      </c>
      <c r="E1910">
        <v>61</v>
      </c>
      <c r="F1910" t="str">
        <f t="shared" si="29"/>
        <v>46+</v>
      </c>
      <c r="G1910" t="s">
        <v>4003</v>
      </c>
      <c r="H1910" t="s">
        <v>4012</v>
      </c>
      <c r="I1910" t="s">
        <v>4016</v>
      </c>
      <c r="J1910">
        <v>6</v>
      </c>
      <c r="K1910">
        <v>7247</v>
      </c>
      <c r="L1910">
        <v>10</v>
      </c>
      <c r="M1910">
        <v>43482</v>
      </c>
      <c r="N1910">
        <v>4348.2</v>
      </c>
      <c r="O1910">
        <v>39133.800000000003</v>
      </c>
    </row>
    <row r="1911" spans="1:15" x14ac:dyDescent="0.3">
      <c r="A1911" t="s">
        <v>1923</v>
      </c>
      <c r="B1911" s="1">
        <v>44823</v>
      </c>
      <c r="C1911" t="s">
        <v>3909</v>
      </c>
      <c r="D1911" t="s">
        <v>4000</v>
      </c>
      <c r="E1911">
        <v>34</v>
      </c>
      <c r="F1911" t="str">
        <f t="shared" si="29"/>
        <v>26-35</v>
      </c>
      <c r="G1911" t="s">
        <v>4005</v>
      </c>
      <c r="H1911" t="s">
        <v>4008</v>
      </c>
      <c r="I1911" t="s">
        <v>4016</v>
      </c>
      <c r="J1911">
        <v>1</v>
      </c>
      <c r="K1911">
        <v>6942</v>
      </c>
      <c r="L1911">
        <v>0</v>
      </c>
      <c r="M1911">
        <v>6942</v>
      </c>
      <c r="N1911">
        <v>0</v>
      </c>
      <c r="O1911">
        <v>6942</v>
      </c>
    </row>
    <row r="1912" spans="1:15" x14ac:dyDescent="0.3">
      <c r="A1912" t="s">
        <v>1924</v>
      </c>
      <c r="B1912" s="1">
        <v>44992</v>
      </c>
      <c r="C1912" t="s">
        <v>3910</v>
      </c>
      <c r="D1912" t="s">
        <v>4000</v>
      </c>
      <c r="E1912">
        <v>54</v>
      </c>
      <c r="F1912" t="str">
        <f t="shared" si="29"/>
        <v>46+</v>
      </c>
      <c r="G1912" t="s">
        <v>4001</v>
      </c>
      <c r="H1912" t="s">
        <v>4009</v>
      </c>
      <c r="I1912" t="s">
        <v>4013</v>
      </c>
      <c r="J1912">
        <v>2</v>
      </c>
      <c r="K1912">
        <v>5107</v>
      </c>
      <c r="L1912">
        <v>15</v>
      </c>
      <c r="M1912">
        <v>10214</v>
      </c>
      <c r="N1912">
        <v>1532.1</v>
      </c>
      <c r="O1912">
        <v>8681.9</v>
      </c>
    </row>
    <row r="1913" spans="1:15" x14ac:dyDescent="0.3">
      <c r="A1913" t="s">
        <v>1925</v>
      </c>
      <c r="B1913" s="1">
        <v>44705</v>
      </c>
      <c r="C1913" t="s">
        <v>3911</v>
      </c>
      <c r="D1913" t="s">
        <v>4000</v>
      </c>
      <c r="E1913">
        <v>31</v>
      </c>
      <c r="F1913" t="str">
        <f t="shared" si="29"/>
        <v>26-35</v>
      </c>
      <c r="G1913" t="s">
        <v>4003</v>
      </c>
      <c r="H1913" t="s">
        <v>4007</v>
      </c>
      <c r="I1913" t="s">
        <v>4015</v>
      </c>
      <c r="J1913">
        <v>5</v>
      </c>
      <c r="K1913">
        <v>3726</v>
      </c>
      <c r="L1913">
        <v>20</v>
      </c>
      <c r="M1913">
        <v>18630</v>
      </c>
      <c r="N1913">
        <v>3726</v>
      </c>
      <c r="O1913">
        <v>14904</v>
      </c>
    </row>
    <row r="1914" spans="1:15" x14ac:dyDescent="0.3">
      <c r="A1914" t="s">
        <v>1926</v>
      </c>
      <c r="B1914" s="1">
        <v>45170</v>
      </c>
      <c r="C1914" t="s">
        <v>3912</v>
      </c>
      <c r="D1914" t="s">
        <v>4000</v>
      </c>
      <c r="E1914">
        <v>43</v>
      </c>
      <c r="F1914" t="str">
        <f t="shared" si="29"/>
        <v>36-45</v>
      </c>
      <c r="G1914" t="s">
        <v>4001</v>
      </c>
      <c r="H1914" t="s">
        <v>4008</v>
      </c>
      <c r="I1914" t="s">
        <v>4017</v>
      </c>
      <c r="J1914">
        <v>5</v>
      </c>
      <c r="K1914">
        <v>399</v>
      </c>
      <c r="L1914">
        <v>5</v>
      </c>
      <c r="M1914">
        <v>1995</v>
      </c>
      <c r="N1914">
        <v>99.75</v>
      </c>
      <c r="O1914">
        <v>1895.25</v>
      </c>
    </row>
    <row r="1915" spans="1:15" x14ac:dyDescent="0.3">
      <c r="A1915" t="s">
        <v>1927</v>
      </c>
      <c r="B1915" s="1">
        <v>44638</v>
      </c>
      <c r="C1915" t="s">
        <v>3913</v>
      </c>
      <c r="D1915" t="s">
        <v>4000</v>
      </c>
      <c r="E1915">
        <v>63</v>
      </c>
      <c r="F1915" t="str">
        <f t="shared" si="29"/>
        <v>46+</v>
      </c>
      <c r="G1915" t="s">
        <v>4005</v>
      </c>
      <c r="H1915" t="s">
        <v>4007</v>
      </c>
      <c r="I1915" t="s">
        <v>4015</v>
      </c>
      <c r="J1915">
        <v>7</v>
      </c>
      <c r="K1915">
        <v>7508</v>
      </c>
      <c r="L1915">
        <v>0</v>
      </c>
      <c r="M1915">
        <v>52556</v>
      </c>
      <c r="N1915">
        <v>0</v>
      </c>
      <c r="O1915">
        <v>52556</v>
      </c>
    </row>
    <row r="1916" spans="1:15" x14ac:dyDescent="0.3">
      <c r="A1916" t="s">
        <v>1928</v>
      </c>
      <c r="B1916" s="1">
        <v>45094</v>
      </c>
      <c r="C1916" t="s">
        <v>3914</v>
      </c>
      <c r="D1916" t="s">
        <v>4000</v>
      </c>
      <c r="E1916">
        <v>29</v>
      </c>
      <c r="F1916" t="str">
        <f t="shared" si="29"/>
        <v>26-35</v>
      </c>
      <c r="G1916" t="s">
        <v>4005</v>
      </c>
      <c r="H1916" t="s">
        <v>4011</v>
      </c>
      <c r="I1916" t="s">
        <v>4017</v>
      </c>
      <c r="J1916">
        <v>7</v>
      </c>
      <c r="K1916">
        <v>4135</v>
      </c>
      <c r="L1916">
        <v>10</v>
      </c>
      <c r="M1916">
        <v>28945</v>
      </c>
      <c r="N1916">
        <v>2894.5</v>
      </c>
      <c r="O1916">
        <v>26050.5</v>
      </c>
    </row>
    <row r="1917" spans="1:15" x14ac:dyDescent="0.3">
      <c r="A1917" t="s">
        <v>1929</v>
      </c>
      <c r="B1917" s="1">
        <v>44609</v>
      </c>
      <c r="C1917" t="s">
        <v>3915</v>
      </c>
      <c r="D1917" t="s">
        <v>4000</v>
      </c>
      <c r="E1917">
        <v>64</v>
      </c>
      <c r="F1917" t="str">
        <f t="shared" si="29"/>
        <v>46+</v>
      </c>
      <c r="G1917" t="s">
        <v>4005</v>
      </c>
      <c r="H1917" t="s">
        <v>4008</v>
      </c>
      <c r="I1917" t="s">
        <v>4016</v>
      </c>
      <c r="J1917">
        <v>7</v>
      </c>
      <c r="K1917">
        <v>3446</v>
      </c>
      <c r="L1917">
        <v>0</v>
      </c>
      <c r="M1917">
        <v>24122</v>
      </c>
      <c r="N1917">
        <v>0</v>
      </c>
      <c r="O1917">
        <v>24122</v>
      </c>
    </row>
    <row r="1918" spans="1:15" x14ac:dyDescent="0.3">
      <c r="A1918" t="s">
        <v>1930</v>
      </c>
      <c r="B1918" s="1">
        <v>44750</v>
      </c>
      <c r="C1918" t="s">
        <v>3916</v>
      </c>
      <c r="D1918" t="s">
        <v>4000</v>
      </c>
      <c r="E1918">
        <v>36</v>
      </c>
      <c r="F1918" t="str">
        <f t="shared" si="29"/>
        <v>36-45</v>
      </c>
      <c r="G1918" t="s">
        <v>4001</v>
      </c>
      <c r="H1918" t="s">
        <v>4011</v>
      </c>
      <c r="I1918" t="s">
        <v>4017</v>
      </c>
      <c r="J1918">
        <v>4</v>
      </c>
      <c r="K1918">
        <v>577</v>
      </c>
      <c r="L1918">
        <v>15</v>
      </c>
      <c r="M1918">
        <v>2308</v>
      </c>
      <c r="N1918">
        <v>346.2</v>
      </c>
      <c r="O1918">
        <v>1961.8</v>
      </c>
    </row>
    <row r="1919" spans="1:15" x14ac:dyDescent="0.3">
      <c r="A1919" t="s">
        <v>1931</v>
      </c>
      <c r="B1919" s="1">
        <v>45212</v>
      </c>
      <c r="C1919" t="s">
        <v>3917</v>
      </c>
      <c r="D1919" t="s">
        <v>4000</v>
      </c>
      <c r="E1919">
        <v>22</v>
      </c>
      <c r="F1919" t="str">
        <f t="shared" si="29"/>
        <v>18-25</v>
      </c>
      <c r="G1919" t="s">
        <v>4006</v>
      </c>
      <c r="H1919" t="s">
        <v>4007</v>
      </c>
      <c r="I1919" t="s">
        <v>4017</v>
      </c>
      <c r="J1919">
        <v>7</v>
      </c>
      <c r="K1919">
        <v>6971</v>
      </c>
      <c r="L1919">
        <v>5</v>
      </c>
      <c r="M1919">
        <v>48797</v>
      </c>
      <c r="N1919">
        <v>2439.85</v>
      </c>
      <c r="O1919">
        <v>46357.15</v>
      </c>
    </row>
    <row r="1920" spans="1:15" x14ac:dyDescent="0.3">
      <c r="A1920" t="s">
        <v>1932</v>
      </c>
      <c r="B1920" s="1">
        <v>44895</v>
      </c>
      <c r="C1920" t="s">
        <v>3918</v>
      </c>
      <c r="D1920" t="s">
        <v>3999</v>
      </c>
      <c r="E1920">
        <v>58</v>
      </c>
      <c r="F1920" t="str">
        <f t="shared" si="29"/>
        <v>46+</v>
      </c>
      <c r="G1920" t="s">
        <v>4004</v>
      </c>
      <c r="H1920" t="s">
        <v>4009</v>
      </c>
      <c r="I1920" t="s">
        <v>4013</v>
      </c>
      <c r="J1920">
        <v>6</v>
      </c>
      <c r="K1920">
        <v>3459</v>
      </c>
      <c r="L1920">
        <v>0</v>
      </c>
      <c r="M1920">
        <v>20754</v>
      </c>
      <c r="N1920">
        <v>0</v>
      </c>
      <c r="O1920">
        <v>20754</v>
      </c>
    </row>
    <row r="1921" spans="1:15" x14ac:dyDescent="0.3">
      <c r="A1921" t="s">
        <v>1933</v>
      </c>
      <c r="B1921" s="1">
        <v>45258</v>
      </c>
      <c r="C1921" t="s">
        <v>3919</v>
      </c>
      <c r="D1921" t="s">
        <v>3999</v>
      </c>
      <c r="E1921">
        <v>61</v>
      </c>
      <c r="F1921" t="str">
        <f t="shared" si="29"/>
        <v>46+</v>
      </c>
      <c r="G1921" t="s">
        <v>4002</v>
      </c>
      <c r="H1921" t="s">
        <v>4010</v>
      </c>
      <c r="I1921" t="s">
        <v>4016</v>
      </c>
      <c r="J1921">
        <v>3</v>
      </c>
      <c r="K1921">
        <v>6325</v>
      </c>
      <c r="L1921">
        <v>5</v>
      </c>
      <c r="M1921">
        <v>18975</v>
      </c>
      <c r="N1921">
        <v>948.75</v>
      </c>
      <c r="O1921">
        <v>18026.25</v>
      </c>
    </row>
    <row r="1922" spans="1:15" x14ac:dyDescent="0.3">
      <c r="A1922" t="s">
        <v>1934</v>
      </c>
      <c r="B1922" s="1">
        <v>44874</v>
      </c>
      <c r="C1922" t="s">
        <v>3920</v>
      </c>
      <c r="D1922" t="s">
        <v>3999</v>
      </c>
      <c r="E1922">
        <v>60</v>
      </c>
      <c r="F1922" t="str">
        <f t="shared" ref="F1922:F1985" si="30">IF(E1922&lt;=25,"18-25",IF(E1922&lt;=35,"26-35",IF(E1922&lt;=45,"36-45","46+")))</f>
        <v>46+</v>
      </c>
      <c r="G1922" t="s">
        <v>4004</v>
      </c>
      <c r="H1922" t="s">
        <v>4008</v>
      </c>
      <c r="I1922" t="s">
        <v>4017</v>
      </c>
      <c r="J1922">
        <v>6</v>
      </c>
      <c r="K1922">
        <v>4824</v>
      </c>
      <c r="L1922">
        <v>10</v>
      </c>
      <c r="M1922">
        <v>28944</v>
      </c>
      <c r="N1922">
        <v>2894.4</v>
      </c>
      <c r="O1922">
        <v>26049.599999999999</v>
      </c>
    </row>
    <row r="1923" spans="1:15" x14ac:dyDescent="0.3">
      <c r="A1923" t="s">
        <v>1935</v>
      </c>
      <c r="B1923" s="1">
        <v>44627</v>
      </c>
      <c r="C1923" t="s">
        <v>3921</v>
      </c>
      <c r="D1923" t="s">
        <v>3999</v>
      </c>
      <c r="E1923">
        <v>19</v>
      </c>
      <c r="F1923" t="str">
        <f t="shared" si="30"/>
        <v>18-25</v>
      </c>
      <c r="G1923" t="s">
        <v>4002</v>
      </c>
      <c r="H1923" t="s">
        <v>4009</v>
      </c>
      <c r="I1923" t="s">
        <v>4016</v>
      </c>
      <c r="J1923">
        <v>5</v>
      </c>
      <c r="K1923">
        <v>4809</v>
      </c>
      <c r="L1923">
        <v>10</v>
      </c>
      <c r="M1923">
        <v>24045</v>
      </c>
      <c r="N1923">
        <v>2404.5</v>
      </c>
      <c r="O1923">
        <v>21640.5</v>
      </c>
    </row>
    <row r="1924" spans="1:15" x14ac:dyDescent="0.3">
      <c r="A1924" t="s">
        <v>1936</v>
      </c>
      <c r="B1924" s="1">
        <v>44572</v>
      </c>
      <c r="C1924" t="s">
        <v>3922</v>
      </c>
      <c r="D1924" t="s">
        <v>4000</v>
      </c>
      <c r="E1924">
        <v>27</v>
      </c>
      <c r="F1924" t="str">
        <f t="shared" si="30"/>
        <v>26-35</v>
      </c>
      <c r="G1924" t="s">
        <v>4006</v>
      </c>
      <c r="H1924" t="s">
        <v>4009</v>
      </c>
      <c r="I1924" t="s">
        <v>4016</v>
      </c>
      <c r="J1924">
        <v>3</v>
      </c>
      <c r="K1924">
        <v>6331</v>
      </c>
      <c r="L1924">
        <v>15</v>
      </c>
      <c r="M1924">
        <v>18993</v>
      </c>
      <c r="N1924">
        <v>2848.95</v>
      </c>
      <c r="O1924">
        <v>16144.05</v>
      </c>
    </row>
    <row r="1925" spans="1:15" x14ac:dyDescent="0.3">
      <c r="A1925" t="s">
        <v>1937</v>
      </c>
      <c r="B1925" s="1">
        <v>44572</v>
      </c>
      <c r="C1925" t="s">
        <v>3923</v>
      </c>
      <c r="D1925" t="s">
        <v>4000</v>
      </c>
      <c r="E1925">
        <v>53</v>
      </c>
      <c r="F1925" t="str">
        <f t="shared" si="30"/>
        <v>46+</v>
      </c>
      <c r="G1925" t="s">
        <v>4005</v>
      </c>
      <c r="H1925" t="s">
        <v>4011</v>
      </c>
      <c r="I1925" t="s">
        <v>4016</v>
      </c>
      <c r="J1925">
        <v>3</v>
      </c>
      <c r="K1925">
        <v>1107</v>
      </c>
      <c r="L1925">
        <v>0</v>
      </c>
      <c r="M1925">
        <v>3321</v>
      </c>
      <c r="N1925">
        <v>0</v>
      </c>
      <c r="O1925">
        <v>3321</v>
      </c>
    </row>
    <row r="1926" spans="1:15" x14ac:dyDescent="0.3">
      <c r="A1926" t="s">
        <v>1938</v>
      </c>
      <c r="B1926" s="1">
        <v>45251</v>
      </c>
      <c r="C1926" t="s">
        <v>3924</v>
      </c>
      <c r="D1926" t="s">
        <v>4000</v>
      </c>
      <c r="E1926">
        <v>32</v>
      </c>
      <c r="F1926" t="str">
        <f t="shared" si="30"/>
        <v>26-35</v>
      </c>
      <c r="G1926" t="s">
        <v>4005</v>
      </c>
      <c r="H1926" t="s">
        <v>4008</v>
      </c>
      <c r="I1926" t="s">
        <v>4017</v>
      </c>
      <c r="J1926">
        <v>7</v>
      </c>
      <c r="K1926">
        <v>2252</v>
      </c>
      <c r="L1926">
        <v>0</v>
      </c>
      <c r="M1926">
        <v>15764</v>
      </c>
      <c r="N1926">
        <v>0</v>
      </c>
      <c r="O1926">
        <v>15764</v>
      </c>
    </row>
    <row r="1927" spans="1:15" x14ac:dyDescent="0.3">
      <c r="A1927" t="s">
        <v>1939</v>
      </c>
      <c r="B1927" s="1">
        <v>45276</v>
      </c>
      <c r="C1927" t="s">
        <v>3925</v>
      </c>
      <c r="D1927" t="s">
        <v>3999</v>
      </c>
      <c r="E1927">
        <v>46</v>
      </c>
      <c r="F1927" t="str">
        <f t="shared" si="30"/>
        <v>46+</v>
      </c>
      <c r="G1927" t="s">
        <v>4004</v>
      </c>
      <c r="H1927" t="s">
        <v>4010</v>
      </c>
      <c r="I1927" t="s">
        <v>4015</v>
      </c>
      <c r="J1927">
        <v>1</v>
      </c>
      <c r="K1927">
        <v>2821</v>
      </c>
      <c r="L1927">
        <v>10</v>
      </c>
      <c r="M1927">
        <v>2821</v>
      </c>
      <c r="N1927">
        <v>282.10000000000002</v>
      </c>
      <c r="O1927">
        <v>2538.9</v>
      </c>
    </row>
    <row r="1928" spans="1:15" x14ac:dyDescent="0.3">
      <c r="A1928" t="s">
        <v>1940</v>
      </c>
      <c r="B1928" s="1">
        <v>45069</v>
      </c>
      <c r="C1928" t="s">
        <v>3926</v>
      </c>
      <c r="D1928" t="s">
        <v>4000</v>
      </c>
      <c r="E1928">
        <v>43</v>
      </c>
      <c r="F1928" t="str">
        <f t="shared" si="30"/>
        <v>36-45</v>
      </c>
      <c r="G1928" t="s">
        <v>4006</v>
      </c>
      <c r="H1928" t="s">
        <v>4010</v>
      </c>
      <c r="I1928" t="s">
        <v>4014</v>
      </c>
      <c r="J1928">
        <v>6</v>
      </c>
      <c r="K1928">
        <v>821</v>
      </c>
      <c r="L1928">
        <v>0</v>
      </c>
      <c r="M1928">
        <v>4926</v>
      </c>
      <c r="N1928">
        <v>0</v>
      </c>
      <c r="O1928">
        <v>4926</v>
      </c>
    </row>
    <row r="1929" spans="1:15" x14ac:dyDescent="0.3">
      <c r="A1929" t="s">
        <v>1941</v>
      </c>
      <c r="B1929" s="1">
        <v>44670</v>
      </c>
      <c r="C1929" t="s">
        <v>3927</v>
      </c>
      <c r="D1929" t="s">
        <v>3999</v>
      </c>
      <c r="E1929">
        <v>34</v>
      </c>
      <c r="F1929" t="str">
        <f t="shared" si="30"/>
        <v>26-35</v>
      </c>
      <c r="G1929" t="s">
        <v>4002</v>
      </c>
      <c r="H1929" t="s">
        <v>4011</v>
      </c>
      <c r="I1929" t="s">
        <v>4013</v>
      </c>
      <c r="J1929">
        <v>2</v>
      </c>
      <c r="K1929">
        <v>3686</v>
      </c>
      <c r="L1929">
        <v>0</v>
      </c>
      <c r="M1929">
        <v>7372</v>
      </c>
      <c r="N1929">
        <v>0</v>
      </c>
      <c r="O1929">
        <v>7372</v>
      </c>
    </row>
    <row r="1930" spans="1:15" x14ac:dyDescent="0.3">
      <c r="A1930" t="s">
        <v>1942</v>
      </c>
      <c r="B1930" s="1">
        <v>45243</v>
      </c>
      <c r="C1930" t="s">
        <v>3928</v>
      </c>
      <c r="D1930" t="s">
        <v>3999</v>
      </c>
      <c r="E1930">
        <v>55</v>
      </c>
      <c r="F1930" t="str">
        <f t="shared" si="30"/>
        <v>46+</v>
      </c>
      <c r="G1930" t="s">
        <v>4002</v>
      </c>
      <c r="H1930" t="s">
        <v>4012</v>
      </c>
      <c r="I1930" t="s">
        <v>4016</v>
      </c>
      <c r="J1930">
        <v>1</v>
      </c>
      <c r="K1930">
        <v>5534</v>
      </c>
      <c r="L1930">
        <v>5</v>
      </c>
      <c r="M1930">
        <v>5534</v>
      </c>
      <c r="N1930">
        <v>276.7</v>
      </c>
      <c r="O1930">
        <v>5257.3</v>
      </c>
    </row>
    <row r="1931" spans="1:15" x14ac:dyDescent="0.3">
      <c r="A1931" t="s">
        <v>1943</v>
      </c>
      <c r="B1931" s="1">
        <v>44667</v>
      </c>
      <c r="C1931" t="s">
        <v>3929</v>
      </c>
      <c r="D1931" t="s">
        <v>4000</v>
      </c>
      <c r="E1931">
        <v>21</v>
      </c>
      <c r="F1931" t="str">
        <f t="shared" si="30"/>
        <v>18-25</v>
      </c>
      <c r="G1931" t="s">
        <v>4002</v>
      </c>
      <c r="H1931" t="s">
        <v>4007</v>
      </c>
      <c r="I1931" t="s">
        <v>4016</v>
      </c>
      <c r="J1931">
        <v>4</v>
      </c>
      <c r="K1931">
        <v>6699</v>
      </c>
      <c r="L1931">
        <v>5</v>
      </c>
      <c r="M1931">
        <v>26796</v>
      </c>
      <c r="N1931">
        <v>1339.8</v>
      </c>
      <c r="O1931">
        <v>25456.2</v>
      </c>
    </row>
    <row r="1932" spans="1:15" x14ac:dyDescent="0.3">
      <c r="A1932" t="s">
        <v>1944</v>
      </c>
      <c r="B1932" s="1">
        <v>45141</v>
      </c>
      <c r="C1932" t="s">
        <v>3930</v>
      </c>
      <c r="D1932" t="s">
        <v>3999</v>
      </c>
      <c r="E1932">
        <v>47</v>
      </c>
      <c r="F1932" t="str">
        <f t="shared" si="30"/>
        <v>46+</v>
      </c>
      <c r="G1932" t="s">
        <v>4006</v>
      </c>
      <c r="H1932" t="s">
        <v>4007</v>
      </c>
      <c r="I1932" t="s">
        <v>4015</v>
      </c>
      <c r="J1932">
        <v>7</v>
      </c>
      <c r="K1932">
        <v>1610</v>
      </c>
      <c r="L1932">
        <v>15</v>
      </c>
      <c r="M1932">
        <v>11270</v>
      </c>
      <c r="N1932">
        <v>1690.5</v>
      </c>
      <c r="O1932">
        <v>9579.5</v>
      </c>
    </row>
    <row r="1933" spans="1:15" x14ac:dyDescent="0.3">
      <c r="A1933" t="s">
        <v>1945</v>
      </c>
      <c r="B1933" s="1">
        <v>44925</v>
      </c>
      <c r="C1933" t="s">
        <v>3931</v>
      </c>
      <c r="D1933" t="s">
        <v>4000</v>
      </c>
      <c r="E1933">
        <v>57</v>
      </c>
      <c r="F1933" t="str">
        <f t="shared" si="30"/>
        <v>46+</v>
      </c>
      <c r="G1933" t="s">
        <v>4002</v>
      </c>
      <c r="H1933" t="s">
        <v>4011</v>
      </c>
      <c r="I1933" t="s">
        <v>4015</v>
      </c>
      <c r="J1933">
        <v>3</v>
      </c>
      <c r="K1933">
        <v>1732</v>
      </c>
      <c r="L1933">
        <v>0</v>
      </c>
      <c r="M1933">
        <v>5196</v>
      </c>
      <c r="N1933">
        <v>0</v>
      </c>
      <c r="O1933">
        <v>5196</v>
      </c>
    </row>
    <row r="1934" spans="1:15" x14ac:dyDescent="0.3">
      <c r="A1934" t="s">
        <v>1946</v>
      </c>
      <c r="B1934" s="1">
        <v>44635</v>
      </c>
      <c r="C1934" t="s">
        <v>3932</v>
      </c>
      <c r="D1934" t="s">
        <v>4000</v>
      </c>
      <c r="E1934">
        <v>22</v>
      </c>
      <c r="F1934" t="str">
        <f t="shared" si="30"/>
        <v>18-25</v>
      </c>
      <c r="G1934" t="s">
        <v>4005</v>
      </c>
      <c r="H1934" t="s">
        <v>4011</v>
      </c>
      <c r="I1934" t="s">
        <v>4015</v>
      </c>
      <c r="J1934">
        <v>2</v>
      </c>
      <c r="K1934">
        <v>2572</v>
      </c>
      <c r="L1934">
        <v>10</v>
      </c>
      <c r="M1934">
        <v>5144</v>
      </c>
      <c r="N1934">
        <v>514.4</v>
      </c>
      <c r="O1934">
        <v>4629.6000000000004</v>
      </c>
    </row>
    <row r="1935" spans="1:15" x14ac:dyDescent="0.3">
      <c r="A1935" t="s">
        <v>1947</v>
      </c>
      <c r="B1935" s="1">
        <v>44870</v>
      </c>
      <c r="C1935" t="s">
        <v>3933</v>
      </c>
      <c r="D1935" t="s">
        <v>3999</v>
      </c>
      <c r="E1935">
        <v>58</v>
      </c>
      <c r="F1935" t="str">
        <f t="shared" si="30"/>
        <v>46+</v>
      </c>
      <c r="G1935" t="s">
        <v>4005</v>
      </c>
      <c r="H1935" t="s">
        <v>4008</v>
      </c>
      <c r="I1935" t="s">
        <v>4016</v>
      </c>
      <c r="J1935">
        <v>3</v>
      </c>
      <c r="K1935">
        <v>4588</v>
      </c>
      <c r="L1935">
        <v>0</v>
      </c>
      <c r="M1935">
        <v>13764</v>
      </c>
      <c r="N1935">
        <v>0</v>
      </c>
      <c r="O1935">
        <v>13764</v>
      </c>
    </row>
    <row r="1936" spans="1:15" x14ac:dyDescent="0.3">
      <c r="A1936" t="s">
        <v>1948</v>
      </c>
      <c r="B1936" s="1">
        <v>45066</v>
      </c>
      <c r="C1936" t="s">
        <v>3934</v>
      </c>
      <c r="D1936" t="s">
        <v>3999</v>
      </c>
      <c r="E1936">
        <v>30</v>
      </c>
      <c r="F1936" t="str">
        <f t="shared" si="30"/>
        <v>26-35</v>
      </c>
      <c r="G1936" t="s">
        <v>4002</v>
      </c>
      <c r="H1936" t="s">
        <v>4007</v>
      </c>
      <c r="I1936" t="s">
        <v>4016</v>
      </c>
      <c r="J1936">
        <v>3</v>
      </c>
      <c r="K1936">
        <v>4319</v>
      </c>
      <c r="L1936">
        <v>10</v>
      </c>
      <c r="M1936">
        <v>12957</v>
      </c>
      <c r="N1936">
        <v>1295.7</v>
      </c>
      <c r="O1936">
        <v>11661.3</v>
      </c>
    </row>
    <row r="1937" spans="1:15" x14ac:dyDescent="0.3">
      <c r="A1937" t="s">
        <v>1949</v>
      </c>
      <c r="B1937" s="1">
        <v>45111</v>
      </c>
      <c r="C1937" t="s">
        <v>3935</v>
      </c>
      <c r="D1937" t="s">
        <v>4000</v>
      </c>
      <c r="E1937">
        <v>42</v>
      </c>
      <c r="F1937" t="str">
        <f t="shared" si="30"/>
        <v>36-45</v>
      </c>
      <c r="G1937" t="s">
        <v>4003</v>
      </c>
      <c r="H1937" t="s">
        <v>4010</v>
      </c>
      <c r="I1937" t="s">
        <v>4017</v>
      </c>
      <c r="J1937">
        <v>5</v>
      </c>
      <c r="K1937">
        <v>1000</v>
      </c>
      <c r="L1937">
        <v>10</v>
      </c>
      <c r="M1937">
        <v>5000</v>
      </c>
      <c r="N1937">
        <v>500</v>
      </c>
      <c r="O1937">
        <v>4500</v>
      </c>
    </row>
    <row r="1938" spans="1:15" x14ac:dyDescent="0.3">
      <c r="A1938" t="s">
        <v>1950</v>
      </c>
      <c r="B1938" s="1">
        <v>45024</v>
      </c>
      <c r="C1938" t="s">
        <v>3936</v>
      </c>
      <c r="D1938" t="s">
        <v>4000</v>
      </c>
      <c r="E1938">
        <v>21</v>
      </c>
      <c r="F1938" t="str">
        <f t="shared" si="30"/>
        <v>18-25</v>
      </c>
      <c r="G1938" t="s">
        <v>4001</v>
      </c>
      <c r="H1938" t="s">
        <v>4008</v>
      </c>
      <c r="I1938" t="s">
        <v>4017</v>
      </c>
      <c r="J1938">
        <v>2</v>
      </c>
      <c r="K1938">
        <v>2005</v>
      </c>
      <c r="L1938">
        <v>15</v>
      </c>
      <c r="M1938">
        <v>4010</v>
      </c>
      <c r="N1938">
        <v>601.5</v>
      </c>
      <c r="O1938">
        <v>3408.5</v>
      </c>
    </row>
    <row r="1939" spans="1:15" x14ac:dyDescent="0.3">
      <c r="A1939" t="s">
        <v>1951</v>
      </c>
      <c r="B1939" s="1">
        <v>44852</v>
      </c>
      <c r="C1939" t="s">
        <v>3937</v>
      </c>
      <c r="D1939" t="s">
        <v>3999</v>
      </c>
      <c r="E1939">
        <v>37</v>
      </c>
      <c r="F1939" t="str">
        <f t="shared" si="30"/>
        <v>36-45</v>
      </c>
      <c r="G1939" t="s">
        <v>4003</v>
      </c>
      <c r="H1939" t="s">
        <v>4008</v>
      </c>
      <c r="I1939" t="s">
        <v>4017</v>
      </c>
      <c r="J1939">
        <v>5</v>
      </c>
      <c r="K1939">
        <v>7015</v>
      </c>
      <c r="L1939">
        <v>10</v>
      </c>
      <c r="M1939">
        <v>35075</v>
      </c>
      <c r="N1939">
        <v>3507.5</v>
      </c>
      <c r="O1939">
        <v>31567.5</v>
      </c>
    </row>
    <row r="1940" spans="1:15" x14ac:dyDescent="0.3">
      <c r="A1940" t="s">
        <v>1952</v>
      </c>
      <c r="B1940" s="1">
        <v>44593</v>
      </c>
      <c r="C1940" t="s">
        <v>3938</v>
      </c>
      <c r="D1940" t="s">
        <v>3999</v>
      </c>
      <c r="E1940">
        <v>36</v>
      </c>
      <c r="F1940" t="str">
        <f t="shared" si="30"/>
        <v>36-45</v>
      </c>
      <c r="G1940" t="s">
        <v>4001</v>
      </c>
      <c r="H1940" t="s">
        <v>4011</v>
      </c>
      <c r="I1940" t="s">
        <v>4013</v>
      </c>
      <c r="J1940">
        <v>2</v>
      </c>
      <c r="K1940">
        <v>7225</v>
      </c>
      <c r="L1940">
        <v>10</v>
      </c>
      <c r="M1940">
        <v>14450</v>
      </c>
      <c r="N1940">
        <v>1445</v>
      </c>
      <c r="O1940">
        <v>13005</v>
      </c>
    </row>
    <row r="1941" spans="1:15" x14ac:dyDescent="0.3">
      <c r="A1941" t="s">
        <v>1953</v>
      </c>
      <c r="B1941" s="1">
        <v>45020</v>
      </c>
      <c r="C1941" t="s">
        <v>3939</v>
      </c>
      <c r="D1941" t="s">
        <v>4000</v>
      </c>
      <c r="E1941">
        <v>53</v>
      </c>
      <c r="F1941" t="str">
        <f t="shared" si="30"/>
        <v>46+</v>
      </c>
      <c r="G1941" t="s">
        <v>4006</v>
      </c>
      <c r="H1941" t="s">
        <v>4009</v>
      </c>
      <c r="I1941" t="s">
        <v>4015</v>
      </c>
      <c r="J1941">
        <v>7</v>
      </c>
      <c r="K1941">
        <v>4944</v>
      </c>
      <c r="L1941">
        <v>15</v>
      </c>
      <c r="M1941">
        <v>34608</v>
      </c>
      <c r="N1941">
        <v>5191.2</v>
      </c>
      <c r="O1941">
        <v>29416.799999999999</v>
      </c>
    </row>
    <row r="1942" spans="1:15" x14ac:dyDescent="0.3">
      <c r="A1942" t="s">
        <v>1954</v>
      </c>
      <c r="B1942" s="1">
        <v>45172</v>
      </c>
      <c r="C1942" t="s">
        <v>3940</v>
      </c>
      <c r="D1942" t="s">
        <v>3999</v>
      </c>
      <c r="E1942">
        <v>21</v>
      </c>
      <c r="F1942" t="str">
        <f t="shared" si="30"/>
        <v>18-25</v>
      </c>
      <c r="G1942" t="s">
        <v>4003</v>
      </c>
      <c r="H1942" t="s">
        <v>4007</v>
      </c>
      <c r="I1942" t="s">
        <v>4015</v>
      </c>
      <c r="J1942">
        <v>5</v>
      </c>
      <c r="K1942">
        <v>5155</v>
      </c>
      <c r="L1942">
        <v>15</v>
      </c>
      <c r="M1942">
        <v>25775</v>
      </c>
      <c r="N1942">
        <v>3866.25</v>
      </c>
      <c r="O1942">
        <v>21908.75</v>
      </c>
    </row>
    <row r="1943" spans="1:15" x14ac:dyDescent="0.3">
      <c r="A1943" t="s">
        <v>1955</v>
      </c>
      <c r="B1943" s="1">
        <v>44800</v>
      </c>
      <c r="C1943" t="s">
        <v>3941</v>
      </c>
      <c r="D1943" t="s">
        <v>4000</v>
      </c>
      <c r="E1943">
        <v>62</v>
      </c>
      <c r="F1943" t="str">
        <f t="shared" si="30"/>
        <v>46+</v>
      </c>
      <c r="G1943" t="s">
        <v>4006</v>
      </c>
      <c r="H1943" t="s">
        <v>4007</v>
      </c>
      <c r="I1943" t="s">
        <v>4013</v>
      </c>
      <c r="J1943">
        <v>6</v>
      </c>
      <c r="K1943">
        <v>2364</v>
      </c>
      <c r="L1943">
        <v>0</v>
      </c>
      <c r="M1943">
        <v>14184</v>
      </c>
      <c r="N1943">
        <v>0</v>
      </c>
      <c r="O1943">
        <v>14184</v>
      </c>
    </row>
    <row r="1944" spans="1:15" x14ac:dyDescent="0.3">
      <c r="A1944" t="s">
        <v>1956</v>
      </c>
      <c r="B1944" s="1">
        <v>44898</v>
      </c>
      <c r="C1944" t="s">
        <v>3942</v>
      </c>
      <c r="D1944" t="s">
        <v>3999</v>
      </c>
      <c r="E1944">
        <v>35</v>
      </c>
      <c r="F1944" t="str">
        <f t="shared" si="30"/>
        <v>26-35</v>
      </c>
      <c r="G1944" t="s">
        <v>4006</v>
      </c>
      <c r="H1944" t="s">
        <v>4011</v>
      </c>
      <c r="I1944" t="s">
        <v>4013</v>
      </c>
      <c r="J1944">
        <v>5</v>
      </c>
      <c r="K1944">
        <v>7132</v>
      </c>
      <c r="L1944">
        <v>15</v>
      </c>
      <c r="M1944">
        <v>35660</v>
      </c>
      <c r="N1944">
        <v>5349</v>
      </c>
      <c r="O1944">
        <v>30311</v>
      </c>
    </row>
    <row r="1945" spans="1:15" x14ac:dyDescent="0.3">
      <c r="A1945" t="s">
        <v>1957</v>
      </c>
      <c r="B1945" s="1">
        <v>45017</v>
      </c>
      <c r="C1945" t="s">
        <v>3943</v>
      </c>
      <c r="D1945" t="s">
        <v>4000</v>
      </c>
      <c r="E1945">
        <v>62</v>
      </c>
      <c r="F1945" t="str">
        <f t="shared" si="30"/>
        <v>46+</v>
      </c>
      <c r="G1945" t="s">
        <v>4003</v>
      </c>
      <c r="H1945" t="s">
        <v>4009</v>
      </c>
      <c r="I1945" t="s">
        <v>4013</v>
      </c>
      <c r="J1945">
        <v>6</v>
      </c>
      <c r="K1945">
        <v>7961</v>
      </c>
      <c r="L1945">
        <v>10</v>
      </c>
      <c r="M1945">
        <v>47766</v>
      </c>
      <c r="N1945">
        <v>4776.6000000000004</v>
      </c>
      <c r="O1945">
        <v>42989.4</v>
      </c>
    </row>
    <row r="1946" spans="1:15" x14ac:dyDescent="0.3">
      <c r="A1946" t="s">
        <v>1958</v>
      </c>
      <c r="B1946" s="1">
        <v>44687</v>
      </c>
      <c r="C1946" t="s">
        <v>3944</v>
      </c>
      <c r="D1946" t="s">
        <v>4000</v>
      </c>
      <c r="E1946">
        <v>54</v>
      </c>
      <c r="F1946" t="str">
        <f t="shared" si="30"/>
        <v>46+</v>
      </c>
      <c r="G1946" t="s">
        <v>4001</v>
      </c>
      <c r="H1946" t="s">
        <v>4007</v>
      </c>
      <c r="I1946" t="s">
        <v>4017</v>
      </c>
      <c r="J1946">
        <v>5</v>
      </c>
      <c r="K1946">
        <v>7276</v>
      </c>
      <c r="L1946">
        <v>0</v>
      </c>
      <c r="M1946">
        <v>36380</v>
      </c>
      <c r="N1946">
        <v>0</v>
      </c>
      <c r="O1946">
        <v>36380</v>
      </c>
    </row>
    <row r="1947" spans="1:15" x14ac:dyDescent="0.3">
      <c r="A1947" t="s">
        <v>1959</v>
      </c>
      <c r="B1947" s="1">
        <v>44904</v>
      </c>
      <c r="C1947" t="s">
        <v>3945</v>
      </c>
      <c r="D1947" t="s">
        <v>4000</v>
      </c>
      <c r="E1947">
        <v>59</v>
      </c>
      <c r="F1947" t="str">
        <f t="shared" si="30"/>
        <v>46+</v>
      </c>
      <c r="G1947" t="s">
        <v>4004</v>
      </c>
      <c r="H1947" t="s">
        <v>4008</v>
      </c>
      <c r="I1947" t="s">
        <v>4016</v>
      </c>
      <c r="J1947">
        <v>1</v>
      </c>
      <c r="K1947">
        <v>6089</v>
      </c>
      <c r="L1947">
        <v>5</v>
      </c>
      <c r="M1947">
        <v>6089</v>
      </c>
      <c r="N1947">
        <v>304.45</v>
      </c>
      <c r="O1947">
        <v>5784.55</v>
      </c>
    </row>
    <row r="1948" spans="1:15" x14ac:dyDescent="0.3">
      <c r="A1948" t="s">
        <v>1960</v>
      </c>
      <c r="B1948" s="1">
        <v>44617</v>
      </c>
      <c r="C1948" t="s">
        <v>3946</v>
      </c>
      <c r="D1948" t="s">
        <v>4000</v>
      </c>
      <c r="E1948">
        <v>51</v>
      </c>
      <c r="F1948" t="str">
        <f t="shared" si="30"/>
        <v>46+</v>
      </c>
      <c r="G1948" t="s">
        <v>4004</v>
      </c>
      <c r="H1948" t="s">
        <v>4010</v>
      </c>
      <c r="I1948" t="s">
        <v>4016</v>
      </c>
      <c r="J1948">
        <v>3</v>
      </c>
      <c r="K1948">
        <v>7860</v>
      </c>
      <c r="L1948">
        <v>15</v>
      </c>
      <c r="M1948">
        <v>23580</v>
      </c>
      <c r="N1948">
        <v>3537</v>
      </c>
      <c r="O1948">
        <v>20043</v>
      </c>
    </row>
    <row r="1949" spans="1:15" x14ac:dyDescent="0.3">
      <c r="A1949" t="s">
        <v>1961</v>
      </c>
      <c r="B1949" s="1">
        <v>45250</v>
      </c>
      <c r="C1949" t="s">
        <v>3947</v>
      </c>
      <c r="D1949" t="s">
        <v>4000</v>
      </c>
      <c r="E1949">
        <v>63</v>
      </c>
      <c r="F1949" t="str">
        <f t="shared" si="30"/>
        <v>46+</v>
      </c>
      <c r="G1949" t="s">
        <v>4004</v>
      </c>
      <c r="H1949" t="s">
        <v>4009</v>
      </c>
      <c r="I1949" t="s">
        <v>4017</v>
      </c>
      <c r="J1949">
        <v>5</v>
      </c>
      <c r="K1949">
        <v>5927</v>
      </c>
      <c r="L1949">
        <v>5</v>
      </c>
      <c r="M1949">
        <v>29635</v>
      </c>
      <c r="N1949">
        <v>1481.75</v>
      </c>
      <c r="O1949">
        <v>28153.25</v>
      </c>
    </row>
    <row r="1950" spans="1:15" x14ac:dyDescent="0.3">
      <c r="A1950" t="s">
        <v>1962</v>
      </c>
      <c r="B1950" s="1">
        <v>45032</v>
      </c>
      <c r="C1950" t="s">
        <v>3948</v>
      </c>
      <c r="D1950" t="s">
        <v>4000</v>
      </c>
      <c r="E1950">
        <v>32</v>
      </c>
      <c r="F1950" t="str">
        <f t="shared" si="30"/>
        <v>26-35</v>
      </c>
      <c r="G1950" t="s">
        <v>4003</v>
      </c>
      <c r="H1950" t="s">
        <v>4007</v>
      </c>
      <c r="I1950" t="s">
        <v>4014</v>
      </c>
      <c r="J1950">
        <v>3</v>
      </c>
      <c r="K1950">
        <v>4976</v>
      </c>
      <c r="L1950">
        <v>0</v>
      </c>
      <c r="M1950">
        <v>14928</v>
      </c>
      <c r="N1950">
        <v>0</v>
      </c>
      <c r="O1950">
        <v>14928</v>
      </c>
    </row>
    <row r="1951" spans="1:15" x14ac:dyDescent="0.3">
      <c r="A1951" t="s">
        <v>1963</v>
      </c>
      <c r="B1951" s="1">
        <v>45185</v>
      </c>
      <c r="C1951" t="s">
        <v>3949</v>
      </c>
      <c r="D1951" t="s">
        <v>4000</v>
      </c>
      <c r="E1951">
        <v>44</v>
      </c>
      <c r="F1951" t="str">
        <f t="shared" si="30"/>
        <v>36-45</v>
      </c>
      <c r="G1951" t="s">
        <v>4003</v>
      </c>
      <c r="H1951" t="s">
        <v>4009</v>
      </c>
      <c r="I1951" t="s">
        <v>4017</v>
      </c>
      <c r="J1951">
        <v>1</v>
      </c>
      <c r="K1951">
        <v>5286</v>
      </c>
      <c r="L1951">
        <v>0</v>
      </c>
      <c r="M1951">
        <v>5286</v>
      </c>
      <c r="N1951">
        <v>0</v>
      </c>
      <c r="O1951">
        <v>5286</v>
      </c>
    </row>
    <row r="1952" spans="1:15" x14ac:dyDescent="0.3">
      <c r="A1952" t="s">
        <v>1964</v>
      </c>
      <c r="B1952" s="1">
        <v>44868</v>
      </c>
      <c r="C1952" t="s">
        <v>3950</v>
      </c>
      <c r="D1952" t="s">
        <v>3999</v>
      </c>
      <c r="E1952">
        <v>40</v>
      </c>
      <c r="F1952" t="str">
        <f t="shared" si="30"/>
        <v>36-45</v>
      </c>
      <c r="G1952" t="s">
        <v>4002</v>
      </c>
      <c r="H1952" t="s">
        <v>4010</v>
      </c>
      <c r="I1952" t="s">
        <v>4014</v>
      </c>
      <c r="J1952">
        <v>7</v>
      </c>
      <c r="K1952">
        <v>3791</v>
      </c>
      <c r="L1952">
        <v>20</v>
      </c>
      <c r="M1952">
        <v>26537</v>
      </c>
      <c r="N1952">
        <v>5307.4</v>
      </c>
      <c r="O1952">
        <v>21229.599999999999</v>
      </c>
    </row>
    <row r="1953" spans="1:15" x14ac:dyDescent="0.3">
      <c r="A1953" t="s">
        <v>1965</v>
      </c>
      <c r="B1953" s="1">
        <v>44846</v>
      </c>
      <c r="C1953" t="s">
        <v>3951</v>
      </c>
      <c r="D1953" t="s">
        <v>4000</v>
      </c>
      <c r="E1953">
        <v>18</v>
      </c>
      <c r="F1953" t="str">
        <f t="shared" si="30"/>
        <v>18-25</v>
      </c>
      <c r="G1953" t="s">
        <v>4004</v>
      </c>
      <c r="H1953" t="s">
        <v>4011</v>
      </c>
      <c r="I1953" t="s">
        <v>4014</v>
      </c>
      <c r="J1953">
        <v>4</v>
      </c>
      <c r="K1953">
        <v>5881</v>
      </c>
      <c r="L1953">
        <v>10</v>
      </c>
      <c r="M1953">
        <v>23524</v>
      </c>
      <c r="N1953">
        <v>2352.4</v>
      </c>
      <c r="O1953">
        <v>21171.599999999999</v>
      </c>
    </row>
    <row r="1954" spans="1:15" x14ac:dyDescent="0.3">
      <c r="A1954" t="s">
        <v>1966</v>
      </c>
      <c r="B1954" s="1">
        <v>44689</v>
      </c>
      <c r="C1954" t="s">
        <v>3952</v>
      </c>
      <c r="D1954" t="s">
        <v>4000</v>
      </c>
      <c r="E1954">
        <v>61</v>
      </c>
      <c r="F1954" t="str">
        <f t="shared" si="30"/>
        <v>46+</v>
      </c>
      <c r="G1954" t="s">
        <v>4001</v>
      </c>
      <c r="H1954" t="s">
        <v>4007</v>
      </c>
      <c r="I1954" t="s">
        <v>4015</v>
      </c>
      <c r="J1954">
        <v>1</v>
      </c>
      <c r="K1954">
        <v>2195</v>
      </c>
      <c r="L1954">
        <v>15</v>
      </c>
      <c r="M1954">
        <v>2195</v>
      </c>
      <c r="N1954">
        <v>329.25</v>
      </c>
      <c r="O1954">
        <v>1865.75</v>
      </c>
    </row>
    <row r="1955" spans="1:15" x14ac:dyDescent="0.3">
      <c r="A1955" t="s">
        <v>1967</v>
      </c>
      <c r="B1955" s="1">
        <v>44913</v>
      </c>
      <c r="C1955" t="s">
        <v>3953</v>
      </c>
      <c r="D1955" t="s">
        <v>4000</v>
      </c>
      <c r="E1955">
        <v>62</v>
      </c>
      <c r="F1955" t="str">
        <f t="shared" si="30"/>
        <v>46+</v>
      </c>
      <c r="G1955" t="s">
        <v>4006</v>
      </c>
      <c r="H1955" t="s">
        <v>4007</v>
      </c>
      <c r="I1955" t="s">
        <v>4017</v>
      </c>
      <c r="J1955">
        <v>7</v>
      </c>
      <c r="K1955">
        <v>1378</v>
      </c>
      <c r="L1955">
        <v>10</v>
      </c>
      <c r="M1955">
        <v>9646</v>
      </c>
      <c r="N1955">
        <v>964.6</v>
      </c>
      <c r="O1955">
        <v>8681.4</v>
      </c>
    </row>
    <row r="1956" spans="1:15" x14ac:dyDescent="0.3">
      <c r="A1956" t="s">
        <v>1968</v>
      </c>
      <c r="B1956" s="1">
        <v>44853</v>
      </c>
      <c r="C1956" t="s">
        <v>3954</v>
      </c>
      <c r="D1956" t="s">
        <v>4000</v>
      </c>
      <c r="E1956">
        <v>32</v>
      </c>
      <c r="F1956" t="str">
        <f t="shared" si="30"/>
        <v>26-35</v>
      </c>
      <c r="G1956" t="s">
        <v>4006</v>
      </c>
      <c r="H1956" t="s">
        <v>4009</v>
      </c>
      <c r="I1956" t="s">
        <v>4017</v>
      </c>
      <c r="J1956">
        <v>6</v>
      </c>
      <c r="K1956">
        <v>1510</v>
      </c>
      <c r="L1956">
        <v>0</v>
      </c>
      <c r="M1956">
        <v>9060</v>
      </c>
      <c r="N1956">
        <v>0</v>
      </c>
      <c r="O1956">
        <v>9060</v>
      </c>
    </row>
    <row r="1957" spans="1:15" x14ac:dyDescent="0.3">
      <c r="A1957" t="s">
        <v>1969</v>
      </c>
      <c r="B1957" s="1">
        <v>45189</v>
      </c>
      <c r="C1957" t="s">
        <v>3955</v>
      </c>
      <c r="D1957" t="s">
        <v>4000</v>
      </c>
      <c r="E1957">
        <v>22</v>
      </c>
      <c r="F1957" t="str">
        <f t="shared" si="30"/>
        <v>18-25</v>
      </c>
      <c r="G1957" t="s">
        <v>4003</v>
      </c>
      <c r="H1957" t="s">
        <v>4008</v>
      </c>
      <c r="I1957" t="s">
        <v>4016</v>
      </c>
      <c r="J1957">
        <v>4</v>
      </c>
      <c r="K1957">
        <v>2064</v>
      </c>
      <c r="L1957">
        <v>0</v>
      </c>
      <c r="M1957">
        <v>8256</v>
      </c>
      <c r="N1957">
        <v>0</v>
      </c>
      <c r="O1957">
        <v>8256</v>
      </c>
    </row>
    <row r="1958" spans="1:15" x14ac:dyDescent="0.3">
      <c r="A1958" t="s">
        <v>1970</v>
      </c>
      <c r="B1958" s="1">
        <v>45083</v>
      </c>
      <c r="C1958" t="s">
        <v>3956</v>
      </c>
      <c r="D1958" t="s">
        <v>4000</v>
      </c>
      <c r="E1958">
        <v>39</v>
      </c>
      <c r="F1958" t="str">
        <f t="shared" si="30"/>
        <v>36-45</v>
      </c>
      <c r="G1958" t="s">
        <v>4006</v>
      </c>
      <c r="H1958" t="s">
        <v>4010</v>
      </c>
      <c r="I1958" t="s">
        <v>4017</v>
      </c>
      <c r="J1958">
        <v>7</v>
      </c>
      <c r="K1958">
        <v>6190</v>
      </c>
      <c r="L1958">
        <v>0</v>
      </c>
      <c r="M1958">
        <v>43330</v>
      </c>
      <c r="N1958">
        <v>0</v>
      </c>
      <c r="O1958">
        <v>43330</v>
      </c>
    </row>
    <row r="1959" spans="1:15" x14ac:dyDescent="0.3">
      <c r="A1959" t="s">
        <v>1971</v>
      </c>
      <c r="B1959" s="1">
        <v>44692</v>
      </c>
      <c r="C1959" t="s">
        <v>3957</v>
      </c>
      <c r="D1959" t="s">
        <v>4000</v>
      </c>
      <c r="E1959">
        <v>23</v>
      </c>
      <c r="F1959" t="str">
        <f t="shared" si="30"/>
        <v>18-25</v>
      </c>
      <c r="G1959" t="s">
        <v>4001</v>
      </c>
      <c r="H1959" t="s">
        <v>4010</v>
      </c>
      <c r="I1959" t="s">
        <v>4016</v>
      </c>
      <c r="J1959">
        <v>4</v>
      </c>
      <c r="K1959">
        <v>5888</v>
      </c>
      <c r="L1959">
        <v>5</v>
      </c>
      <c r="M1959">
        <v>23552</v>
      </c>
      <c r="N1959">
        <v>1177.5999999999999</v>
      </c>
      <c r="O1959">
        <v>22374.400000000001</v>
      </c>
    </row>
    <row r="1960" spans="1:15" x14ac:dyDescent="0.3">
      <c r="A1960" t="s">
        <v>1972</v>
      </c>
      <c r="B1960" s="1">
        <v>45059</v>
      </c>
      <c r="C1960" t="s">
        <v>3958</v>
      </c>
      <c r="D1960" t="s">
        <v>4000</v>
      </c>
      <c r="E1960">
        <v>60</v>
      </c>
      <c r="F1960" t="str">
        <f t="shared" si="30"/>
        <v>46+</v>
      </c>
      <c r="G1960" t="s">
        <v>4002</v>
      </c>
      <c r="H1960" t="s">
        <v>4010</v>
      </c>
      <c r="I1960" t="s">
        <v>4016</v>
      </c>
      <c r="J1960">
        <v>3</v>
      </c>
      <c r="K1960">
        <v>6879</v>
      </c>
      <c r="L1960">
        <v>0</v>
      </c>
      <c r="M1960">
        <v>20637</v>
      </c>
      <c r="N1960">
        <v>0</v>
      </c>
      <c r="O1960">
        <v>20637</v>
      </c>
    </row>
    <row r="1961" spans="1:15" x14ac:dyDescent="0.3">
      <c r="A1961" t="s">
        <v>1973</v>
      </c>
      <c r="B1961" s="1">
        <v>44846</v>
      </c>
      <c r="C1961" t="s">
        <v>3959</v>
      </c>
      <c r="D1961" t="s">
        <v>4000</v>
      </c>
      <c r="E1961">
        <v>20</v>
      </c>
      <c r="F1961" t="str">
        <f t="shared" si="30"/>
        <v>18-25</v>
      </c>
      <c r="G1961" t="s">
        <v>4005</v>
      </c>
      <c r="H1961" t="s">
        <v>4009</v>
      </c>
      <c r="I1961" t="s">
        <v>4013</v>
      </c>
      <c r="J1961">
        <v>1</v>
      </c>
      <c r="K1961">
        <v>1347</v>
      </c>
      <c r="L1961">
        <v>5</v>
      </c>
      <c r="M1961">
        <v>1347</v>
      </c>
      <c r="N1961">
        <v>67.349999999999994</v>
      </c>
      <c r="O1961">
        <v>1279.6500000000001</v>
      </c>
    </row>
    <row r="1962" spans="1:15" x14ac:dyDescent="0.3">
      <c r="A1962" t="s">
        <v>1974</v>
      </c>
      <c r="B1962" s="1">
        <v>44632</v>
      </c>
      <c r="C1962" t="s">
        <v>3960</v>
      </c>
      <c r="D1962" t="s">
        <v>4000</v>
      </c>
      <c r="E1962">
        <v>30</v>
      </c>
      <c r="F1962" t="str">
        <f t="shared" si="30"/>
        <v>26-35</v>
      </c>
      <c r="G1962" t="s">
        <v>4003</v>
      </c>
      <c r="H1962" t="s">
        <v>4007</v>
      </c>
      <c r="I1962" t="s">
        <v>4016</v>
      </c>
      <c r="J1962">
        <v>4</v>
      </c>
      <c r="K1962">
        <v>2383</v>
      </c>
      <c r="L1962">
        <v>10</v>
      </c>
      <c r="M1962">
        <v>9532</v>
      </c>
      <c r="N1962">
        <v>953.2</v>
      </c>
      <c r="O1962">
        <v>8578.7999999999993</v>
      </c>
    </row>
    <row r="1963" spans="1:15" x14ac:dyDescent="0.3">
      <c r="A1963" t="s">
        <v>1975</v>
      </c>
      <c r="B1963" s="1">
        <v>44740</v>
      </c>
      <c r="C1963" t="s">
        <v>3961</v>
      </c>
      <c r="D1963" t="s">
        <v>4000</v>
      </c>
      <c r="E1963">
        <v>59</v>
      </c>
      <c r="F1963" t="str">
        <f t="shared" si="30"/>
        <v>46+</v>
      </c>
      <c r="G1963" t="s">
        <v>4002</v>
      </c>
      <c r="H1963" t="s">
        <v>4009</v>
      </c>
      <c r="I1963" t="s">
        <v>4016</v>
      </c>
      <c r="J1963">
        <v>4</v>
      </c>
      <c r="K1963">
        <v>2754</v>
      </c>
      <c r="L1963">
        <v>5</v>
      </c>
      <c r="M1963">
        <v>11016</v>
      </c>
      <c r="N1963">
        <v>550.79999999999995</v>
      </c>
      <c r="O1963">
        <v>10465.200000000001</v>
      </c>
    </row>
    <row r="1964" spans="1:15" x14ac:dyDescent="0.3">
      <c r="A1964" t="s">
        <v>1976</v>
      </c>
      <c r="B1964" s="1">
        <v>44743</v>
      </c>
      <c r="C1964" t="s">
        <v>3962</v>
      </c>
      <c r="D1964" t="s">
        <v>3999</v>
      </c>
      <c r="E1964">
        <v>63</v>
      </c>
      <c r="F1964" t="str">
        <f t="shared" si="30"/>
        <v>46+</v>
      </c>
      <c r="G1964" t="s">
        <v>4004</v>
      </c>
      <c r="H1964" t="s">
        <v>4007</v>
      </c>
      <c r="I1964" t="s">
        <v>4015</v>
      </c>
      <c r="J1964">
        <v>6</v>
      </c>
      <c r="K1964">
        <v>1259</v>
      </c>
      <c r="L1964">
        <v>0</v>
      </c>
      <c r="M1964">
        <v>7554</v>
      </c>
      <c r="N1964">
        <v>0</v>
      </c>
      <c r="O1964">
        <v>7554</v>
      </c>
    </row>
    <row r="1965" spans="1:15" x14ac:dyDescent="0.3">
      <c r="A1965" t="s">
        <v>1977</v>
      </c>
      <c r="B1965" s="1">
        <v>45011</v>
      </c>
      <c r="C1965" t="s">
        <v>3963</v>
      </c>
      <c r="D1965" t="s">
        <v>4000</v>
      </c>
      <c r="E1965">
        <v>31</v>
      </c>
      <c r="F1965" t="str">
        <f t="shared" si="30"/>
        <v>26-35</v>
      </c>
      <c r="G1965" t="s">
        <v>4002</v>
      </c>
      <c r="H1965" t="s">
        <v>4008</v>
      </c>
      <c r="I1965" t="s">
        <v>4013</v>
      </c>
      <c r="J1965">
        <v>3</v>
      </c>
      <c r="K1965">
        <v>1628</v>
      </c>
      <c r="L1965">
        <v>0</v>
      </c>
      <c r="M1965">
        <v>4884</v>
      </c>
      <c r="N1965">
        <v>0</v>
      </c>
      <c r="O1965">
        <v>4884</v>
      </c>
    </row>
    <row r="1966" spans="1:15" x14ac:dyDescent="0.3">
      <c r="A1966" t="s">
        <v>1978</v>
      </c>
      <c r="B1966" s="1">
        <v>45058</v>
      </c>
      <c r="C1966" t="s">
        <v>3964</v>
      </c>
      <c r="D1966" t="s">
        <v>3999</v>
      </c>
      <c r="E1966">
        <v>20</v>
      </c>
      <c r="F1966" t="str">
        <f t="shared" si="30"/>
        <v>18-25</v>
      </c>
      <c r="G1966" t="s">
        <v>4006</v>
      </c>
      <c r="H1966" t="s">
        <v>4012</v>
      </c>
      <c r="I1966" t="s">
        <v>4013</v>
      </c>
      <c r="J1966">
        <v>5</v>
      </c>
      <c r="K1966">
        <v>2129</v>
      </c>
      <c r="L1966">
        <v>15</v>
      </c>
      <c r="M1966">
        <v>10645</v>
      </c>
      <c r="N1966">
        <v>1596.75</v>
      </c>
      <c r="O1966">
        <v>9048.25</v>
      </c>
    </row>
    <row r="1967" spans="1:15" x14ac:dyDescent="0.3">
      <c r="A1967" t="s">
        <v>1979</v>
      </c>
      <c r="B1967" s="1">
        <v>45166</v>
      </c>
      <c r="C1967" t="s">
        <v>2135</v>
      </c>
      <c r="D1967" t="s">
        <v>3999</v>
      </c>
      <c r="E1967">
        <v>24</v>
      </c>
      <c r="F1967" t="str">
        <f t="shared" si="30"/>
        <v>18-25</v>
      </c>
      <c r="G1967" t="s">
        <v>4006</v>
      </c>
      <c r="H1967" t="s">
        <v>4012</v>
      </c>
      <c r="I1967" t="s">
        <v>4017</v>
      </c>
      <c r="J1967">
        <v>1</v>
      </c>
      <c r="K1967">
        <v>984</v>
      </c>
      <c r="L1967">
        <v>10</v>
      </c>
      <c r="M1967">
        <v>984</v>
      </c>
      <c r="N1967">
        <v>98.4</v>
      </c>
      <c r="O1967">
        <v>885.6</v>
      </c>
    </row>
    <row r="1968" spans="1:15" x14ac:dyDescent="0.3">
      <c r="A1968" t="s">
        <v>1980</v>
      </c>
      <c r="B1968" s="1">
        <v>45182</v>
      </c>
      <c r="C1968" t="s">
        <v>3965</v>
      </c>
      <c r="D1968" t="s">
        <v>4000</v>
      </c>
      <c r="E1968">
        <v>39</v>
      </c>
      <c r="F1968" t="str">
        <f t="shared" si="30"/>
        <v>36-45</v>
      </c>
      <c r="G1968" t="s">
        <v>4002</v>
      </c>
      <c r="H1968" t="s">
        <v>4008</v>
      </c>
      <c r="I1968" t="s">
        <v>4013</v>
      </c>
      <c r="J1968">
        <v>1</v>
      </c>
      <c r="K1968">
        <v>5021</v>
      </c>
      <c r="L1968">
        <v>0</v>
      </c>
      <c r="M1968">
        <v>5021</v>
      </c>
      <c r="N1968">
        <v>0</v>
      </c>
      <c r="O1968">
        <v>5021</v>
      </c>
    </row>
    <row r="1969" spans="1:15" x14ac:dyDescent="0.3">
      <c r="A1969" t="s">
        <v>1981</v>
      </c>
      <c r="B1969" s="1">
        <v>44906</v>
      </c>
      <c r="C1969" t="s">
        <v>3966</v>
      </c>
      <c r="D1969" t="s">
        <v>3999</v>
      </c>
      <c r="E1969">
        <v>31</v>
      </c>
      <c r="F1969" t="str">
        <f t="shared" si="30"/>
        <v>26-35</v>
      </c>
      <c r="G1969" t="s">
        <v>4006</v>
      </c>
      <c r="H1969" t="s">
        <v>4010</v>
      </c>
      <c r="I1969" t="s">
        <v>4016</v>
      </c>
      <c r="J1969">
        <v>2</v>
      </c>
      <c r="K1969">
        <v>4469</v>
      </c>
      <c r="L1969">
        <v>20</v>
      </c>
      <c r="M1969">
        <v>8938</v>
      </c>
      <c r="N1969">
        <v>1787.6</v>
      </c>
      <c r="O1969">
        <v>7150.4</v>
      </c>
    </row>
    <row r="1970" spans="1:15" x14ac:dyDescent="0.3">
      <c r="A1970" t="s">
        <v>1982</v>
      </c>
      <c r="B1970" s="1">
        <v>44595</v>
      </c>
      <c r="C1970" t="s">
        <v>3967</v>
      </c>
      <c r="D1970" t="s">
        <v>4000</v>
      </c>
      <c r="E1970">
        <v>56</v>
      </c>
      <c r="F1970" t="str">
        <f t="shared" si="30"/>
        <v>46+</v>
      </c>
      <c r="G1970" t="s">
        <v>4006</v>
      </c>
      <c r="H1970" t="s">
        <v>4012</v>
      </c>
      <c r="I1970" t="s">
        <v>4015</v>
      </c>
      <c r="J1970">
        <v>4</v>
      </c>
      <c r="K1970">
        <v>6025</v>
      </c>
      <c r="L1970">
        <v>5</v>
      </c>
      <c r="M1970">
        <v>24100</v>
      </c>
      <c r="N1970">
        <v>1205</v>
      </c>
      <c r="O1970">
        <v>22895</v>
      </c>
    </row>
    <row r="1971" spans="1:15" x14ac:dyDescent="0.3">
      <c r="A1971" t="s">
        <v>1983</v>
      </c>
      <c r="B1971" s="1">
        <v>44669</v>
      </c>
      <c r="C1971" t="s">
        <v>3968</v>
      </c>
      <c r="D1971" t="s">
        <v>3999</v>
      </c>
      <c r="E1971">
        <v>26</v>
      </c>
      <c r="F1971" t="str">
        <f t="shared" si="30"/>
        <v>26-35</v>
      </c>
      <c r="G1971" t="s">
        <v>4003</v>
      </c>
      <c r="H1971" t="s">
        <v>4008</v>
      </c>
      <c r="I1971" t="s">
        <v>4015</v>
      </c>
      <c r="J1971">
        <v>6</v>
      </c>
      <c r="K1971">
        <v>5458</v>
      </c>
      <c r="L1971">
        <v>10</v>
      </c>
      <c r="M1971">
        <v>32748</v>
      </c>
      <c r="N1971">
        <v>3274.8</v>
      </c>
      <c r="O1971">
        <v>29473.200000000001</v>
      </c>
    </row>
    <row r="1972" spans="1:15" x14ac:dyDescent="0.3">
      <c r="A1972" t="s">
        <v>1984</v>
      </c>
      <c r="B1972" s="1">
        <v>45288</v>
      </c>
      <c r="C1972" t="s">
        <v>3969</v>
      </c>
      <c r="D1972" t="s">
        <v>3999</v>
      </c>
      <c r="E1972">
        <v>53</v>
      </c>
      <c r="F1972" t="str">
        <f t="shared" si="30"/>
        <v>46+</v>
      </c>
      <c r="G1972" t="s">
        <v>4002</v>
      </c>
      <c r="H1972" t="s">
        <v>4008</v>
      </c>
      <c r="I1972" t="s">
        <v>4015</v>
      </c>
      <c r="J1972">
        <v>1</v>
      </c>
      <c r="K1972">
        <v>2744</v>
      </c>
      <c r="L1972">
        <v>15</v>
      </c>
      <c r="M1972">
        <v>2744</v>
      </c>
      <c r="N1972">
        <v>411.6</v>
      </c>
      <c r="O1972">
        <v>2332.4</v>
      </c>
    </row>
    <row r="1973" spans="1:15" x14ac:dyDescent="0.3">
      <c r="A1973" t="s">
        <v>1985</v>
      </c>
      <c r="B1973" s="1">
        <v>44993</v>
      </c>
      <c r="C1973" t="s">
        <v>3970</v>
      </c>
      <c r="D1973" t="s">
        <v>4000</v>
      </c>
      <c r="E1973">
        <v>55</v>
      </c>
      <c r="F1973" t="str">
        <f t="shared" si="30"/>
        <v>46+</v>
      </c>
      <c r="G1973" t="s">
        <v>4006</v>
      </c>
      <c r="H1973" t="s">
        <v>4008</v>
      </c>
      <c r="I1973" t="s">
        <v>4016</v>
      </c>
      <c r="J1973">
        <v>5</v>
      </c>
      <c r="K1973">
        <v>1410</v>
      </c>
      <c r="L1973">
        <v>0</v>
      </c>
      <c r="M1973">
        <v>7050</v>
      </c>
      <c r="N1973">
        <v>0</v>
      </c>
      <c r="O1973">
        <v>7050</v>
      </c>
    </row>
    <row r="1974" spans="1:15" x14ac:dyDescent="0.3">
      <c r="A1974" t="s">
        <v>1986</v>
      </c>
      <c r="B1974" s="1">
        <v>45203</v>
      </c>
      <c r="C1974" t="s">
        <v>3971</v>
      </c>
      <c r="D1974" t="s">
        <v>3999</v>
      </c>
      <c r="E1974">
        <v>23</v>
      </c>
      <c r="F1974" t="str">
        <f t="shared" si="30"/>
        <v>18-25</v>
      </c>
      <c r="G1974" t="s">
        <v>4006</v>
      </c>
      <c r="H1974" t="s">
        <v>4012</v>
      </c>
      <c r="I1974" t="s">
        <v>4015</v>
      </c>
      <c r="J1974">
        <v>4</v>
      </c>
      <c r="K1974">
        <v>2417</v>
      </c>
      <c r="L1974">
        <v>0</v>
      </c>
      <c r="M1974">
        <v>9668</v>
      </c>
      <c r="N1974">
        <v>0</v>
      </c>
      <c r="O1974">
        <v>9668</v>
      </c>
    </row>
    <row r="1975" spans="1:15" x14ac:dyDescent="0.3">
      <c r="A1975" t="s">
        <v>1987</v>
      </c>
      <c r="B1975" s="1">
        <v>45231</v>
      </c>
      <c r="C1975" t="s">
        <v>3972</v>
      </c>
      <c r="D1975" t="s">
        <v>4000</v>
      </c>
      <c r="E1975">
        <v>58</v>
      </c>
      <c r="F1975" t="str">
        <f t="shared" si="30"/>
        <v>46+</v>
      </c>
      <c r="G1975" t="s">
        <v>4001</v>
      </c>
      <c r="H1975" t="s">
        <v>4011</v>
      </c>
      <c r="I1975" t="s">
        <v>4015</v>
      </c>
      <c r="J1975">
        <v>7</v>
      </c>
      <c r="K1975">
        <v>776</v>
      </c>
      <c r="L1975">
        <v>10</v>
      </c>
      <c r="M1975">
        <v>5432</v>
      </c>
      <c r="N1975">
        <v>543.20000000000005</v>
      </c>
      <c r="O1975">
        <v>4888.8</v>
      </c>
    </row>
    <row r="1976" spans="1:15" x14ac:dyDescent="0.3">
      <c r="A1976" t="s">
        <v>1988</v>
      </c>
      <c r="B1976" s="1">
        <v>44930</v>
      </c>
      <c r="C1976" t="s">
        <v>3973</v>
      </c>
      <c r="D1976" t="s">
        <v>4000</v>
      </c>
      <c r="E1976">
        <v>61</v>
      </c>
      <c r="F1976" t="str">
        <f t="shared" si="30"/>
        <v>46+</v>
      </c>
      <c r="G1976" t="s">
        <v>4003</v>
      </c>
      <c r="H1976" t="s">
        <v>4007</v>
      </c>
      <c r="I1976" t="s">
        <v>4017</v>
      </c>
      <c r="J1976">
        <v>4</v>
      </c>
      <c r="K1976">
        <v>7118</v>
      </c>
      <c r="L1976">
        <v>10</v>
      </c>
      <c r="M1976">
        <v>28472</v>
      </c>
      <c r="N1976">
        <v>2847.2</v>
      </c>
      <c r="O1976">
        <v>25624.799999999999</v>
      </c>
    </row>
    <row r="1977" spans="1:15" x14ac:dyDescent="0.3">
      <c r="A1977" t="s">
        <v>1989</v>
      </c>
      <c r="B1977" s="1">
        <v>45191</v>
      </c>
      <c r="C1977" t="s">
        <v>3974</v>
      </c>
      <c r="D1977" t="s">
        <v>4000</v>
      </c>
      <c r="E1977">
        <v>27</v>
      </c>
      <c r="F1977" t="str">
        <f t="shared" si="30"/>
        <v>26-35</v>
      </c>
      <c r="G1977" t="s">
        <v>4002</v>
      </c>
      <c r="H1977" t="s">
        <v>4011</v>
      </c>
      <c r="I1977" t="s">
        <v>4017</v>
      </c>
      <c r="J1977">
        <v>5</v>
      </c>
      <c r="K1977">
        <v>6110</v>
      </c>
      <c r="L1977">
        <v>20</v>
      </c>
      <c r="M1977">
        <v>30550</v>
      </c>
      <c r="N1977">
        <v>6110</v>
      </c>
      <c r="O1977">
        <v>24440</v>
      </c>
    </row>
    <row r="1978" spans="1:15" x14ac:dyDescent="0.3">
      <c r="A1978" t="s">
        <v>1990</v>
      </c>
      <c r="B1978" s="1">
        <v>45016</v>
      </c>
      <c r="C1978" t="s">
        <v>3975</v>
      </c>
      <c r="D1978" t="s">
        <v>4000</v>
      </c>
      <c r="E1978">
        <v>56</v>
      </c>
      <c r="F1978" t="str">
        <f t="shared" si="30"/>
        <v>46+</v>
      </c>
      <c r="G1978" t="s">
        <v>4005</v>
      </c>
      <c r="H1978" t="s">
        <v>4010</v>
      </c>
      <c r="I1978" t="s">
        <v>4016</v>
      </c>
      <c r="J1978">
        <v>2</v>
      </c>
      <c r="K1978">
        <v>2272</v>
      </c>
      <c r="L1978">
        <v>0</v>
      </c>
      <c r="M1978">
        <v>4544</v>
      </c>
      <c r="N1978">
        <v>0</v>
      </c>
      <c r="O1978">
        <v>4544</v>
      </c>
    </row>
    <row r="1979" spans="1:15" x14ac:dyDescent="0.3">
      <c r="A1979" t="s">
        <v>1991</v>
      </c>
      <c r="B1979" s="1">
        <v>45236</v>
      </c>
      <c r="C1979" t="s">
        <v>3976</v>
      </c>
      <c r="D1979" t="s">
        <v>3999</v>
      </c>
      <c r="E1979">
        <v>37</v>
      </c>
      <c r="F1979" t="str">
        <f t="shared" si="30"/>
        <v>36-45</v>
      </c>
      <c r="G1979" t="s">
        <v>4002</v>
      </c>
      <c r="H1979" t="s">
        <v>4009</v>
      </c>
      <c r="I1979" t="s">
        <v>4014</v>
      </c>
      <c r="J1979">
        <v>7</v>
      </c>
      <c r="K1979">
        <v>776</v>
      </c>
      <c r="L1979">
        <v>0</v>
      </c>
      <c r="M1979">
        <v>5432</v>
      </c>
      <c r="N1979">
        <v>0</v>
      </c>
      <c r="O1979">
        <v>5432</v>
      </c>
    </row>
    <row r="1980" spans="1:15" x14ac:dyDescent="0.3">
      <c r="A1980" t="s">
        <v>1992</v>
      </c>
      <c r="B1980" s="1">
        <v>44856</v>
      </c>
      <c r="C1980" t="s">
        <v>3977</v>
      </c>
      <c r="D1980" t="s">
        <v>4000</v>
      </c>
      <c r="E1980">
        <v>25</v>
      </c>
      <c r="F1980" t="str">
        <f t="shared" si="30"/>
        <v>18-25</v>
      </c>
      <c r="G1980" t="s">
        <v>4004</v>
      </c>
      <c r="H1980" t="s">
        <v>4007</v>
      </c>
      <c r="I1980" t="s">
        <v>4013</v>
      </c>
      <c r="J1980">
        <v>3</v>
      </c>
      <c r="K1980">
        <v>345</v>
      </c>
      <c r="L1980">
        <v>20</v>
      </c>
      <c r="M1980">
        <v>1035</v>
      </c>
      <c r="N1980">
        <v>207</v>
      </c>
      <c r="O1980">
        <v>828</v>
      </c>
    </row>
    <row r="1981" spans="1:15" x14ac:dyDescent="0.3">
      <c r="A1981" t="s">
        <v>1993</v>
      </c>
      <c r="B1981" s="1">
        <v>44848</v>
      </c>
      <c r="C1981" t="s">
        <v>3978</v>
      </c>
      <c r="D1981" t="s">
        <v>4000</v>
      </c>
      <c r="E1981">
        <v>59</v>
      </c>
      <c r="F1981" t="str">
        <f t="shared" si="30"/>
        <v>46+</v>
      </c>
      <c r="G1981" t="s">
        <v>4005</v>
      </c>
      <c r="H1981" t="s">
        <v>4007</v>
      </c>
      <c r="I1981" t="s">
        <v>4015</v>
      </c>
      <c r="J1981">
        <v>1</v>
      </c>
      <c r="K1981">
        <v>565</v>
      </c>
      <c r="L1981">
        <v>5</v>
      </c>
      <c r="M1981">
        <v>565</v>
      </c>
      <c r="N1981">
        <v>28.25</v>
      </c>
      <c r="O1981">
        <v>536.75</v>
      </c>
    </row>
    <row r="1982" spans="1:15" x14ac:dyDescent="0.3">
      <c r="A1982" t="s">
        <v>1994</v>
      </c>
      <c r="B1982" s="1">
        <v>45257</v>
      </c>
      <c r="C1982" t="s">
        <v>3979</v>
      </c>
      <c r="D1982" t="s">
        <v>3999</v>
      </c>
      <c r="E1982">
        <v>42</v>
      </c>
      <c r="F1982" t="str">
        <f t="shared" si="30"/>
        <v>36-45</v>
      </c>
      <c r="G1982" t="s">
        <v>4006</v>
      </c>
      <c r="H1982" t="s">
        <v>4010</v>
      </c>
      <c r="I1982" t="s">
        <v>4017</v>
      </c>
      <c r="J1982">
        <v>2</v>
      </c>
      <c r="K1982">
        <v>873</v>
      </c>
      <c r="L1982">
        <v>0</v>
      </c>
      <c r="M1982">
        <v>1746</v>
      </c>
      <c r="N1982">
        <v>0</v>
      </c>
      <c r="O1982">
        <v>1746</v>
      </c>
    </row>
    <row r="1983" spans="1:15" x14ac:dyDescent="0.3">
      <c r="A1983" t="s">
        <v>1995</v>
      </c>
      <c r="B1983" s="1">
        <v>44737</v>
      </c>
      <c r="C1983" t="s">
        <v>3980</v>
      </c>
      <c r="D1983" t="s">
        <v>4000</v>
      </c>
      <c r="E1983">
        <v>57</v>
      </c>
      <c r="F1983" t="str">
        <f t="shared" si="30"/>
        <v>46+</v>
      </c>
      <c r="G1983" t="s">
        <v>4004</v>
      </c>
      <c r="H1983" t="s">
        <v>4009</v>
      </c>
      <c r="I1983" t="s">
        <v>4014</v>
      </c>
      <c r="J1983">
        <v>6</v>
      </c>
      <c r="K1983">
        <v>876</v>
      </c>
      <c r="L1983">
        <v>10</v>
      </c>
      <c r="M1983">
        <v>5256</v>
      </c>
      <c r="N1983">
        <v>525.6</v>
      </c>
      <c r="O1983">
        <v>4730.3999999999996</v>
      </c>
    </row>
    <row r="1984" spans="1:15" x14ac:dyDescent="0.3">
      <c r="A1984" t="s">
        <v>1996</v>
      </c>
      <c r="B1984" s="1">
        <v>44607</v>
      </c>
      <c r="C1984" t="s">
        <v>3981</v>
      </c>
      <c r="D1984" t="s">
        <v>3999</v>
      </c>
      <c r="E1984">
        <v>28</v>
      </c>
      <c r="F1984" t="str">
        <f t="shared" si="30"/>
        <v>26-35</v>
      </c>
      <c r="G1984" t="s">
        <v>4004</v>
      </c>
      <c r="H1984" t="s">
        <v>4008</v>
      </c>
      <c r="I1984" t="s">
        <v>4016</v>
      </c>
      <c r="J1984">
        <v>5</v>
      </c>
      <c r="K1984">
        <v>178</v>
      </c>
      <c r="L1984">
        <v>0</v>
      </c>
      <c r="M1984">
        <v>890</v>
      </c>
      <c r="N1984">
        <v>0</v>
      </c>
      <c r="O1984">
        <v>890</v>
      </c>
    </row>
    <row r="1985" spans="1:15" x14ac:dyDescent="0.3">
      <c r="A1985" t="s">
        <v>1997</v>
      </c>
      <c r="B1985" s="1">
        <v>44971</v>
      </c>
      <c r="C1985" t="s">
        <v>3982</v>
      </c>
      <c r="D1985" t="s">
        <v>3999</v>
      </c>
      <c r="E1985">
        <v>56</v>
      </c>
      <c r="F1985" t="str">
        <f t="shared" si="30"/>
        <v>46+</v>
      </c>
      <c r="G1985" t="s">
        <v>4004</v>
      </c>
      <c r="H1985" t="s">
        <v>4012</v>
      </c>
      <c r="I1985" t="s">
        <v>4015</v>
      </c>
      <c r="J1985">
        <v>5</v>
      </c>
      <c r="K1985">
        <v>3494</v>
      </c>
      <c r="L1985">
        <v>5</v>
      </c>
      <c r="M1985">
        <v>17470</v>
      </c>
      <c r="N1985">
        <v>873.5</v>
      </c>
      <c r="O1985">
        <v>16596.5</v>
      </c>
    </row>
    <row r="1986" spans="1:15" x14ac:dyDescent="0.3">
      <c r="A1986" t="s">
        <v>1998</v>
      </c>
      <c r="B1986" s="1">
        <v>44585</v>
      </c>
      <c r="C1986" t="s">
        <v>3983</v>
      </c>
      <c r="D1986" t="s">
        <v>4000</v>
      </c>
      <c r="E1986">
        <v>59</v>
      </c>
      <c r="F1986" t="str">
        <f t="shared" ref="F1986:F2001" si="31">IF(E1986&lt;=25,"18-25",IF(E1986&lt;=35,"26-35",IF(E1986&lt;=45,"36-45","46+")))</f>
        <v>46+</v>
      </c>
      <c r="G1986" t="s">
        <v>4005</v>
      </c>
      <c r="H1986" t="s">
        <v>4008</v>
      </c>
      <c r="I1986" t="s">
        <v>4013</v>
      </c>
      <c r="J1986">
        <v>7</v>
      </c>
      <c r="K1986">
        <v>7958</v>
      </c>
      <c r="L1986">
        <v>0</v>
      </c>
      <c r="M1986">
        <v>55706</v>
      </c>
      <c r="N1986">
        <v>0</v>
      </c>
      <c r="O1986">
        <v>55706</v>
      </c>
    </row>
    <row r="1987" spans="1:15" x14ac:dyDescent="0.3">
      <c r="A1987" t="s">
        <v>1999</v>
      </c>
      <c r="B1987" s="1">
        <v>44791</v>
      </c>
      <c r="C1987" t="s">
        <v>3984</v>
      </c>
      <c r="D1987" t="s">
        <v>3999</v>
      </c>
      <c r="E1987">
        <v>38</v>
      </c>
      <c r="F1987" t="str">
        <f t="shared" si="31"/>
        <v>36-45</v>
      </c>
      <c r="G1987" t="s">
        <v>4002</v>
      </c>
      <c r="H1987" t="s">
        <v>4008</v>
      </c>
      <c r="I1987" t="s">
        <v>4016</v>
      </c>
      <c r="J1987">
        <v>1</v>
      </c>
      <c r="K1987">
        <v>4320</v>
      </c>
      <c r="L1987">
        <v>0</v>
      </c>
      <c r="M1987">
        <v>4320</v>
      </c>
      <c r="N1987">
        <v>0</v>
      </c>
      <c r="O1987">
        <v>4320</v>
      </c>
    </row>
    <row r="1988" spans="1:15" x14ac:dyDescent="0.3">
      <c r="A1988" t="s">
        <v>2000</v>
      </c>
      <c r="B1988" s="1">
        <v>45049</v>
      </c>
      <c r="C1988" t="s">
        <v>3985</v>
      </c>
      <c r="D1988" t="s">
        <v>3999</v>
      </c>
      <c r="E1988">
        <v>35</v>
      </c>
      <c r="F1988" t="str">
        <f t="shared" si="31"/>
        <v>26-35</v>
      </c>
      <c r="G1988" t="s">
        <v>4002</v>
      </c>
      <c r="H1988" t="s">
        <v>4012</v>
      </c>
      <c r="I1988" t="s">
        <v>4017</v>
      </c>
      <c r="J1988">
        <v>6</v>
      </c>
      <c r="K1988">
        <v>7452</v>
      </c>
      <c r="L1988">
        <v>15</v>
      </c>
      <c r="M1988">
        <v>44712</v>
      </c>
      <c r="N1988">
        <v>6706.8</v>
      </c>
      <c r="O1988">
        <v>38005.199999999997</v>
      </c>
    </row>
    <row r="1989" spans="1:15" x14ac:dyDescent="0.3">
      <c r="A1989" t="s">
        <v>2001</v>
      </c>
      <c r="B1989" s="1">
        <v>44875</v>
      </c>
      <c r="C1989" t="s">
        <v>3986</v>
      </c>
      <c r="D1989" t="s">
        <v>3999</v>
      </c>
      <c r="E1989">
        <v>58</v>
      </c>
      <c r="F1989" t="str">
        <f t="shared" si="31"/>
        <v>46+</v>
      </c>
      <c r="G1989" t="s">
        <v>4005</v>
      </c>
      <c r="H1989" t="s">
        <v>4010</v>
      </c>
      <c r="I1989" t="s">
        <v>4013</v>
      </c>
      <c r="J1989">
        <v>7</v>
      </c>
      <c r="K1989">
        <v>6523</v>
      </c>
      <c r="L1989">
        <v>0</v>
      </c>
      <c r="M1989">
        <v>45661</v>
      </c>
      <c r="N1989">
        <v>0</v>
      </c>
      <c r="O1989">
        <v>45661</v>
      </c>
    </row>
    <row r="1990" spans="1:15" x14ac:dyDescent="0.3">
      <c r="A1990" t="s">
        <v>2002</v>
      </c>
      <c r="B1990" s="1">
        <v>44852</v>
      </c>
      <c r="C1990" t="s">
        <v>3987</v>
      </c>
      <c r="D1990" t="s">
        <v>3999</v>
      </c>
      <c r="E1990">
        <v>53</v>
      </c>
      <c r="F1990" t="str">
        <f t="shared" si="31"/>
        <v>46+</v>
      </c>
      <c r="G1990" t="s">
        <v>4004</v>
      </c>
      <c r="H1990" t="s">
        <v>4011</v>
      </c>
      <c r="I1990" t="s">
        <v>4014</v>
      </c>
      <c r="J1990">
        <v>3</v>
      </c>
      <c r="K1990">
        <v>933</v>
      </c>
      <c r="L1990">
        <v>5</v>
      </c>
      <c r="M1990">
        <v>2799</v>
      </c>
      <c r="N1990">
        <v>139.94999999999999</v>
      </c>
      <c r="O1990">
        <v>2659.05</v>
      </c>
    </row>
    <row r="1991" spans="1:15" x14ac:dyDescent="0.3">
      <c r="A1991" t="s">
        <v>2003</v>
      </c>
      <c r="B1991" s="1">
        <v>45082</v>
      </c>
      <c r="C1991" t="s">
        <v>3988</v>
      </c>
      <c r="D1991" t="s">
        <v>3999</v>
      </c>
      <c r="E1991">
        <v>60</v>
      </c>
      <c r="F1991" t="str">
        <f t="shared" si="31"/>
        <v>46+</v>
      </c>
      <c r="G1991" t="s">
        <v>4006</v>
      </c>
      <c r="H1991" t="s">
        <v>4011</v>
      </c>
      <c r="I1991" t="s">
        <v>4015</v>
      </c>
      <c r="J1991">
        <v>1</v>
      </c>
      <c r="K1991">
        <v>2634</v>
      </c>
      <c r="L1991">
        <v>10</v>
      </c>
      <c r="M1991">
        <v>2634</v>
      </c>
      <c r="N1991">
        <v>263.39999999999998</v>
      </c>
      <c r="O1991">
        <v>2370.6</v>
      </c>
    </row>
    <row r="1992" spans="1:15" x14ac:dyDescent="0.3">
      <c r="A1992" t="s">
        <v>2004</v>
      </c>
      <c r="B1992" s="1">
        <v>44751</v>
      </c>
      <c r="C1992" t="s">
        <v>3989</v>
      </c>
      <c r="D1992" t="s">
        <v>4000</v>
      </c>
      <c r="E1992">
        <v>28</v>
      </c>
      <c r="F1992" t="str">
        <f t="shared" si="31"/>
        <v>26-35</v>
      </c>
      <c r="G1992" t="s">
        <v>4002</v>
      </c>
      <c r="H1992" t="s">
        <v>4012</v>
      </c>
      <c r="I1992" t="s">
        <v>4013</v>
      </c>
      <c r="J1992">
        <v>4</v>
      </c>
      <c r="K1992">
        <v>3097</v>
      </c>
      <c r="L1992">
        <v>10</v>
      </c>
      <c r="M1992">
        <v>12388</v>
      </c>
      <c r="N1992">
        <v>1238.8</v>
      </c>
      <c r="O1992">
        <v>11149.2</v>
      </c>
    </row>
    <row r="1993" spans="1:15" x14ac:dyDescent="0.3">
      <c r="A1993" t="s">
        <v>2005</v>
      </c>
      <c r="B1993" s="1">
        <v>45210</v>
      </c>
      <c r="C1993" t="s">
        <v>3990</v>
      </c>
      <c r="D1993" t="s">
        <v>4000</v>
      </c>
      <c r="E1993">
        <v>55</v>
      </c>
      <c r="F1993" t="str">
        <f t="shared" si="31"/>
        <v>46+</v>
      </c>
      <c r="G1993" t="s">
        <v>4005</v>
      </c>
      <c r="H1993" t="s">
        <v>4011</v>
      </c>
      <c r="I1993" t="s">
        <v>4013</v>
      </c>
      <c r="J1993">
        <v>7</v>
      </c>
      <c r="K1993">
        <v>7857</v>
      </c>
      <c r="L1993">
        <v>15</v>
      </c>
      <c r="M1993">
        <v>54999</v>
      </c>
      <c r="N1993">
        <v>8249.85</v>
      </c>
      <c r="O1993">
        <v>46749.15</v>
      </c>
    </row>
    <row r="1994" spans="1:15" x14ac:dyDescent="0.3">
      <c r="A1994" t="s">
        <v>2006</v>
      </c>
      <c r="B1994" s="1">
        <v>45188</v>
      </c>
      <c r="C1994" t="s">
        <v>3991</v>
      </c>
      <c r="D1994" t="s">
        <v>4000</v>
      </c>
      <c r="E1994">
        <v>30</v>
      </c>
      <c r="F1994" t="str">
        <f t="shared" si="31"/>
        <v>26-35</v>
      </c>
      <c r="G1994" t="s">
        <v>4004</v>
      </c>
      <c r="H1994" t="s">
        <v>4007</v>
      </c>
      <c r="I1994" t="s">
        <v>4015</v>
      </c>
      <c r="J1994">
        <v>5</v>
      </c>
      <c r="K1994">
        <v>2898</v>
      </c>
      <c r="L1994">
        <v>0</v>
      </c>
      <c r="M1994">
        <v>14490</v>
      </c>
      <c r="N1994">
        <v>0</v>
      </c>
      <c r="O1994">
        <v>14490</v>
      </c>
    </row>
    <row r="1995" spans="1:15" x14ac:dyDescent="0.3">
      <c r="A1995" t="s">
        <v>2007</v>
      </c>
      <c r="B1995" s="1">
        <v>44917</v>
      </c>
      <c r="C1995" t="s">
        <v>3992</v>
      </c>
      <c r="D1995" t="s">
        <v>4000</v>
      </c>
      <c r="E1995">
        <v>36</v>
      </c>
      <c r="F1995" t="str">
        <f t="shared" si="31"/>
        <v>36-45</v>
      </c>
      <c r="G1995" t="s">
        <v>4004</v>
      </c>
      <c r="H1995" t="s">
        <v>4011</v>
      </c>
      <c r="I1995" t="s">
        <v>4017</v>
      </c>
      <c r="J1995">
        <v>6</v>
      </c>
      <c r="K1995">
        <v>2004</v>
      </c>
      <c r="L1995">
        <v>0</v>
      </c>
      <c r="M1995">
        <v>12024</v>
      </c>
      <c r="N1995">
        <v>0</v>
      </c>
      <c r="O1995">
        <v>12024</v>
      </c>
    </row>
    <row r="1996" spans="1:15" x14ac:dyDescent="0.3">
      <c r="A1996" t="s">
        <v>2008</v>
      </c>
      <c r="B1996" s="1">
        <v>44765</v>
      </c>
      <c r="C1996" t="s">
        <v>3993</v>
      </c>
      <c r="D1996" t="s">
        <v>3999</v>
      </c>
      <c r="E1996">
        <v>25</v>
      </c>
      <c r="F1996" t="str">
        <f t="shared" si="31"/>
        <v>18-25</v>
      </c>
      <c r="G1996" t="s">
        <v>4004</v>
      </c>
      <c r="H1996" t="s">
        <v>4007</v>
      </c>
      <c r="I1996" t="s">
        <v>4013</v>
      </c>
      <c r="J1996">
        <v>4</v>
      </c>
      <c r="K1996">
        <v>2883</v>
      </c>
      <c r="L1996">
        <v>5</v>
      </c>
      <c r="M1996">
        <v>11532</v>
      </c>
      <c r="N1996">
        <v>576.6</v>
      </c>
      <c r="O1996">
        <v>10955.4</v>
      </c>
    </row>
    <row r="1997" spans="1:15" x14ac:dyDescent="0.3">
      <c r="A1997" t="s">
        <v>2009</v>
      </c>
      <c r="B1997" s="1">
        <v>45254</v>
      </c>
      <c r="C1997" t="s">
        <v>3994</v>
      </c>
      <c r="D1997" t="s">
        <v>3999</v>
      </c>
      <c r="E1997">
        <v>23</v>
      </c>
      <c r="F1997" t="str">
        <f t="shared" si="31"/>
        <v>18-25</v>
      </c>
      <c r="G1997" t="s">
        <v>4004</v>
      </c>
      <c r="H1997" t="s">
        <v>4010</v>
      </c>
      <c r="I1997" t="s">
        <v>4013</v>
      </c>
      <c r="J1997">
        <v>3</v>
      </c>
      <c r="K1997">
        <v>1278</v>
      </c>
      <c r="L1997">
        <v>0</v>
      </c>
      <c r="M1997">
        <v>3834</v>
      </c>
      <c r="N1997">
        <v>0</v>
      </c>
      <c r="O1997">
        <v>3834</v>
      </c>
    </row>
    <row r="1998" spans="1:15" x14ac:dyDescent="0.3">
      <c r="A1998" t="s">
        <v>2010</v>
      </c>
      <c r="B1998" s="1">
        <v>45067</v>
      </c>
      <c r="C1998" t="s">
        <v>3995</v>
      </c>
      <c r="D1998" t="s">
        <v>4000</v>
      </c>
      <c r="E1998">
        <v>58</v>
      </c>
      <c r="F1998" t="str">
        <f t="shared" si="31"/>
        <v>46+</v>
      </c>
      <c r="G1998" t="s">
        <v>4004</v>
      </c>
      <c r="H1998" t="s">
        <v>4009</v>
      </c>
      <c r="I1998" t="s">
        <v>4014</v>
      </c>
      <c r="J1998">
        <v>1</v>
      </c>
      <c r="K1998">
        <v>6714</v>
      </c>
      <c r="L1998">
        <v>5</v>
      </c>
      <c r="M1998">
        <v>6714</v>
      </c>
      <c r="N1998">
        <v>335.7</v>
      </c>
      <c r="O1998">
        <v>6378.3</v>
      </c>
    </row>
    <row r="1999" spans="1:15" x14ac:dyDescent="0.3">
      <c r="A1999" t="s">
        <v>2011</v>
      </c>
      <c r="B1999" s="1">
        <v>45187</v>
      </c>
      <c r="C1999" t="s">
        <v>3996</v>
      </c>
      <c r="D1999" t="s">
        <v>4000</v>
      </c>
      <c r="E1999">
        <v>21</v>
      </c>
      <c r="F1999" t="str">
        <f t="shared" si="31"/>
        <v>18-25</v>
      </c>
      <c r="G1999" t="s">
        <v>4005</v>
      </c>
      <c r="H1999" t="s">
        <v>4009</v>
      </c>
      <c r="I1999" t="s">
        <v>4016</v>
      </c>
      <c r="J1999">
        <v>1</v>
      </c>
      <c r="K1999">
        <v>7930</v>
      </c>
      <c r="L1999">
        <v>0</v>
      </c>
      <c r="M1999">
        <v>7930</v>
      </c>
      <c r="N1999">
        <v>0</v>
      </c>
      <c r="O1999">
        <v>7930</v>
      </c>
    </row>
    <row r="2000" spans="1:15" x14ac:dyDescent="0.3">
      <c r="A2000" t="s">
        <v>2012</v>
      </c>
      <c r="B2000" s="1">
        <v>44942</v>
      </c>
      <c r="C2000" t="s">
        <v>3997</v>
      </c>
      <c r="D2000" t="s">
        <v>4000</v>
      </c>
      <c r="E2000">
        <v>31</v>
      </c>
      <c r="F2000" t="str">
        <f t="shared" si="31"/>
        <v>26-35</v>
      </c>
      <c r="G2000" t="s">
        <v>4006</v>
      </c>
      <c r="H2000" t="s">
        <v>4012</v>
      </c>
      <c r="I2000" t="s">
        <v>4014</v>
      </c>
      <c r="J2000">
        <v>2</v>
      </c>
      <c r="K2000">
        <v>5520</v>
      </c>
      <c r="L2000">
        <v>0</v>
      </c>
      <c r="M2000">
        <v>11040</v>
      </c>
      <c r="N2000">
        <v>0</v>
      </c>
      <c r="O2000">
        <v>11040</v>
      </c>
    </row>
    <row r="2001" spans="1:15" x14ac:dyDescent="0.3">
      <c r="A2001" t="s">
        <v>2013</v>
      </c>
      <c r="B2001" s="1">
        <v>44617</v>
      </c>
      <c r="C2001" t="s">
        <v>3998</v>
      </c>
      <c r="D2001" t="s">
        <v>3999</v>
      </c>
      <c r="E2001">
        <v>18</v>
      </c>
      <c r="F2001" t="str">
        <f t="shared" si="31"/>
        <v>18-25</v>
      </c>
      <c r="G2001" t="s">
        <v>4001</v>
      </c>
      <c r="H2001" t="s">
        <v>4010</v>
      </c>
      <c r="I2001" t="s">
        <v>4014</v>
      </c>
      <c r="J2001">
        <v>4</v>
      </c>
      <c r="K2001">
        <v>7016</v>
      </c>
      <c r="L2001">
        <v>10</v>
      </c>
      <c r="M2001">
        <v>28064</v>
      </c>
      <c r="N2001">
        <v>2806.4</v>
      </c>
      <c r="O2001">
        <v>25257.599999999999</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F7543-F3E3-46CB-AD35-8CC8462BB57E}">
  <dimension ref="A4:B11"/>
  <sheetViews>
    <sheetView workbookViewId="0">
      <selection activeCell="N24" sqref="N24"/>
    </sheetView>
  </sheetViews>
  <sheetFormatPr defaultRowHeight="14.4" x14ac:dyDescent="0.3"/>
  <cols>
    <col min="1" max="1" width="12.5546875" bestFit="1" customWidth="1"/>
    <col min="2" max="2" width="15.21875" bestFit="1" customWidth="1"/>
  </cols>
  <sheetData>
    <row r="4" spans="1:2" x14ac:dyDescent="0.3">
      <c r="A4" s="4" t="s">
        <v>4019</v>
      </c>
      <c r="B4" t="s">
        <v>4037</v>
      </c>
    </row>
    <row r="5" spans="1:2" x14ac:dyDescent="0.3">
      <c r="A5" s="5" t="s">
        <v>4011</v>
      </c>
      <c r="B5">
        <v>3270026.0499999993</v>
      </c>
    </row>
    <row r="6" spans="1:2" x14ac:dyDescent="0.3">
      <c r="A6" s="5" t="s">
        <v>4008</v>
      </c>
      <c r="B6">
        <v>6275100.0499999989</v>
      </c>
    </row>
    <row r="7" spans="1:2" x14ac:dyDescent="0.3">
      <c r="A7" s="5" t="s">
        <v>4007</v>
      </c>
      <c r="B7">
        <v>7877455.9500000002</v>
      </c>
    </row>
    <row r="8" spans="1:2" x14ac:dyDescent="0.3">
      <c r="A8" s="5" t="s">
        <v>4012</v>
      </c>
      <c r="B8">
        <v>3670175.4499999993</v>
      </c>
    </row>
    <row r="9" spans="1:2" x14ac:dyDescent="0.3">
      <c r="A9" s="5" t="s">
        <v>4009</v>
      </c>
      <c r="B9">
        <v>4733265.7499999981</v>
      </c>
    </row>
    <row r="10" spans="1:2" x14ac:dyDescent="0.3">
      <c r="A10" s="5" t="s">
        <v>4010</v>
      </c>
      <c r="B10">
        <v>4439843.8000000007</v>
      </c>
    </row>
    <row r="11" spans="1:2" x14ac:dyDescent="0.3">
      <c r="A11" s="5" t="s">
        <v>4020</v>
      </c>
      <c r="B11">
        <v>30265867.049999993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4175F-B160-412C-A17A-55B18B00BFFB}">
  <dimension ref="A4:B11"/>
  <sheetViews>
    <sheetView workbookViewId="0">
      <selection activeCell="N12" sqref="N12"/>
    </sheetView>
  </sheetViews>
  <sheetFormatPr defaultRowHeight="14.4" x14ac:dyDescent="0.3"/>
  <cols>
    <col min="1" max="1" width="12.5546875" bestFit="1" customWidth="1"/>
    <col min="2" max="2" width="15.21875" bestFit="1" customWidth="1"/>
  </cols>
  <sheetData>
    <row r="4" spans="1:2" x14ac:dyDescent="0.3">
      <c r="A4" s="4" t="s">
        <v>4019</v>
      </c>
      <c r="B4" t="s">
        <v>4037</v>
      </c>
    </row>
    <row r="5" spans="1:2" x14ac:dyDescent="0.3">
      <c r="A5" s="5" t="s">
        <v>4006</v>
      </c>
      <c r="B5">
        <v>5423208.6499999994</v>
      </c>
    </row>
    <row r="6" spans="1:2" x14ac:dyDescent="0.3">
      <c r="A6" s="5" t="s">
        <v>4002</v>
      </c>
      <c r="B6">
        <v>5367585.45</v>
      </c>
    </row>
    <row r="7" spans="1:2" x14ac:dyDescent="0.3">
      <c r="A7" s="5" t="s">
        <v>4003</v>
      </c>
      <c r="B7">
        <v>4541224.05</v>
      </c>
    </row>
    <row r="8" spans="1:2" x14ac:dyDescent="0.3">
      <c r="A8" s="5" t="s">
        <v>4001</v>
      </c>
      <c r="B8">
        <v>4703533.2000000011</v>
      </c>
    </row>
    <row r="9" spans="1:2" x14ac:dyDescent="0.3">
      <c r="A9" s="5" t="s">
        <v>4004</v>
      </c>
      <c r="B9">
        <v>5254096.4999999991</v>
      </c>
    </row>
    <row r="10" spans="1:2" x14ac:dyDescent="0.3">
      <c r="A10" s="5" t="s">
        <v>4005</v>
      </c>
      <c r="B10">
        <v>4976219.1999999965</v>
      </c>
    </row>
    <row r="11" spans="1:2" x14ac:dyDescent="0.3">
      <c r="A11" s="5" t="s">
        <v>4020</v>
      </c>
      <c r="B11">
        <v>30265867.049999997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135F6-CFE2-46EA-B05E-7C512870DC44}">
  <dimension ref="A4:B17"/>
  <sheetViews>
    <sheetView workbookViewId="0">
      <selection activeCell="M10" sqref="M10"/>
    </sheetView>
  </sheetViews>
  <sheetFormatPr defaultRowHeight="14.4" x14ac:dyDescent="0.3"/>
  <cols>
    <col min="1" max="1" width="12.5546875" bestFit="1" customWidth="1"/>
    <col min="2" max="2" width="15.21875" bestFit="1" customWidth="1"/>
  </cols>
  <sheetData>
    <row r="4" spans="1:2" x14ac:dyDescent="0.3">
      <c r="A4" s="4" t="s">
        <v>4019</v>
      </c>
      <c r="B4" t="s">
        <v>4037</v>
      </c>
    </row>
    <row r="5" spans="1:2" x14ac:dyDescent="0.3">
      <c r="A5" s="5" t="s">
        <v>4021</v>
      </c>
      <c r="B5">
        <v>2178020.8500000006</v>
      </c>
    </row>
    <row r="6" spans="1:2" x14ac:dyDescent="0.3">
      <c r="A6" s="5" t="s">
        <v>4022</v>
      </c>
      <c r="B6">
        <v>1925641.4999999998</v>
      </c>
    </row>
    <row r="7" spans="1:2" x14ac:dyDescent="0.3">
      <c r="A7" s="5" t="s">
        <v>4023</v>
      </c>
      <c r="B7">
        <v>3132728.6999999993</v>
      </c>
    </row>
    <row r="8" spans="1:2" x14ac:dyDescent="0.3">
      <c r="A8" s="5" t="s">
        <v>4024</v>
      </c>
      <c r="B8">
        <v>2637188.0000000005</v>
      </c>
    </row>
    <row r="9" spans="1:2" x14ac:dyDescent="0.3">
      <c r="A9" s="5" t="s">
        <v>4025</v>
      </c>
      <c r="B9">
        <v>2597520.7999999989</v>
      </c>
    </row>
    <row r="10" spans="1:2" x14ac:dyDescent="0.3">
      <c r="A10" s="5" t="s">
        <v>4026</v>
      </c>
      <c r="B10">
        <v>2551602.7000000007</v>
      </c>
    </row>
    <row r="11" spans="1:2" x14ac:dyDescent="0.3">
      <c r="A11" s="5" t="s">
        <v>4027</v>
      </c>
      <c r="B11">
        <v>2252190.65</v>
      </c>
    </row>
    <row r="12" spans="1:2" x14ac:dyDescent="0.3">
      <c r="A12" s="5" t="s">
        <v>4028</v>
      </c>
      <c r="B12">
        <v>2638161.1999999988</v>
      </c>
    </row>
    <row r="13" spans="1:2" x14ac:dyDescent="0.3">
      <c r="A13" s="5" t="s">
        <v>4029</v>
      </c>
      <c r="B13">
        <v>2350199.65</v>
      </c>
    </row>
    <row r="14" spans="1:2" x14ac:dyDescent="0.3">
      <c r="A14" s="5" t="s">
        <v>4030</v>
      </c>
      <c r="B14">
        <v>2588714.5999999992</v>
      </c>
    </row>
    <row r="15" spans="1:2" x14ac:dyDescent="0.3">
      <c r="A15" s="5" t="s">
        <v>4031</v>
      </c>
      <c r="B15">
        <v>2960048.2499999986</v>
      </c>
    </row>
    <row r="16" spans="1:2" x14ac:dyDescent="0.3">
      <c r="A16" s="5" t="s">
        <v>4032</v>
      </c>
      <c r="B16">
        <v>2453850.1499999994</v>
      </c>
    </row>
    <row r="17" spans="1:2" x14ac:dyDescent="0.3">
      <c r="A17" s="5" t="s">
        <v>4020</v>
      </c>
      <c r="B17">
        <v>30265867.049999993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F7765-87F8-4B40-847B-8A7774C26EB2}">
  <dimension ref="A5:B8"/>
  <sheetViews>
    <sheetView workbookViewId="0">
      <selection activeCell="N12" sqref="N12"/>
    </sheetView>
  </sheetViews>
  <sheetFormatPr defaultRowHeight="14.4" x14ac:dyDescent="0.3"/>
  <cols>
    <col min="1" max="1" width="12.5546875" bestFit="1" customWidth="1"/>
    <col min="2" max="2" width="15.21875" bestFit="1" customWidth="1"/>
  </cols>
  <sheetData>
    <row r="5" spans="1:2" x14ac:dyDescent="0.3">
      <c r="A5" s="4" t="s">
        <v>4019</v>
      </c>
      <c r="B5" t="s">
        <v>4037</v>
      </c>
    </row>
    <row r="6" spans="1:2" x14ac:dyDescent="0.3">
      <c r="A6" s="5" t="s">
        <v>3999</v>
      </c>
      <c r="B6">
        <v>13120702.15</v>
      </c>
    </row>
    <row r="7" spans="1:2" x14ac:dyDescent="0.3">
      <c r="A7" s="5" t="s">
        <v>4000</v>
      </c>
      <c r="B7">
        <v>17145164.900000006</v>
      </c>
    </row>
    <row r="8" spans="1:2" x14ac:dyDescent="0.3">
      <c r="A8" s="5" t="s">
        <v>4020</v>
      </c>
      <c r="B8">
        <v>30265867.050000004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FB6DD-BEEE-4630-9CF1-DAF560F963DA}">
  <dimension ref="A4:B9"/>
  <sheetViews>
    <sheetView workbookViewId="0">
      <selection activeCell="R9" sqref="R9"/>
    </sheetView>
  </sheetViews>
  <sheetFormatPr defaultRowHeight="14.4" x14ac:dyDescent="0.3"/>
  <cols>
    <col min="1" max="1" width="12.5546875" bestFit="1" customWidth="1"/>
    <col min="2" max="2" width="15.21875" bestFit="1" customWidth="1"/>
    <col min="3" max="5" width="11" bestFit="1" customWidth="1"/>
    <col min="6" max="6" width="12" bestFit="1" customWidth="1"/>
  </cols>
  <sheetData>
    <row r="4" spans="1:2" x14ac:dyDescent="0.3">
      <c r="A4" s="4" t="s">
        <v>4019</v>
      </c>
      <c r="B4" t="s">
        <v>4037</v>
      </c>
    </row>
    <row r="5" spans="1:2" x14ac:dyDescent="0.3">
      <c r="A5" s="5" t="s">
        <v>4033</v>
      </c>
      <c r="B5">
        <v>5494763.9500000011</v>
      </c>
    </row>
    <row r="6" spans="1:2" x14ac:dyDescent="0.3">
      <c r="A6" s="5" t="s">
        <v>4034</v>
      </c>
      <c r="B6">
        <v>6130712.2499999963</v>
      </c>
    </row>
    <row r="7" spans="1:2" x14ac:dyDescent="0.3">
      <c r="A7" s="5" t="s">
        <v>4035</v>
      </c>
      <c r="B7">
        <v>6154587.5500000007</v>
      </c>
    </row>
    <row r="8" spans="1:2" x14ac:dyDescent="0.3">
      <c r="A8" s="5" t="s">
        <v>4036</v>
      </c>
      <c r="B8">
        <v>12485803.300000008</v>
      </c>
    </row>
    <row r="9" spans="1:2" x14ac:dyDescent="0.3">
      <c r="A9" s="5" t="s">
        <v>4020</v>
      </c>
      <c r="B9">
        <v>30265867.050000008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B02EA-DB59-44CE-8392-626947A40B14}">
  <dimension ref="A3:B9"/>
  <sheetViews>
    <sheetView workbookViewId="0">
      <selection activeCell="O19" sqref="O19"/>
    </sheetView>
  </sheetViews>
  <sheetFormatPr defaultRowHeight="14.4" x14ac:dyDescent="0.3"/>
  <cols>
    <col min="1" max="1" width="12.5546875" bestFit="1" customWidth="1"/>
    <col min="2" max="2" width="15.21875" bestFit="1" customWidth="1"/>
  </cols>
  <sheetData>
    <row r="3" spans="1:2" x14ac:dyDescent="0.3">
      <c r="A3" s="4" t="s">
        <v>4019</v>
      </c>
      <c r="B3" t="s">
        <v>4037</v>
      </c>
    </row>
    <row r="4" spans="1:2" x14ac:dyDescent="0.3">
      <c r="A4" s="5" t="s">
        <v>4016</v>
      </c>
      <c r="B4">
        <v>5966625.2999999961</v>
      </c>
    </row>
    <row r="5" spans="1:2" x14ac:dyDescent="0.3">
      <c r="A5" s="5" t="s">
        <v>4017</v>
      </c>
      <c r="B5">
        <v>6251025.5500000026</v>
      </c>
    </row>
    <row r="6" spans="1:2" x14ac:dyDescent="0.3">
      <c r="A6" s="5" t="s">
        <v>4015</v>
      </c>
      <c r="B6">
        <v>6402899.6999999983</v>
      </c>
    </row>
    <row r="7" spans="1:2" x14ac:dyDescent="0.3">
      <c r="A7" s="5" t="s">
        <v>4014</v>
      </c>
      <c r="B7">
        <v>5211439.9999999963</v>
      </c>
    </row>
    <row r="8" spans="1:2" x14ac:dyDescent="0.3">
      <c r="A8" s="5" t="s">
        <v>4013</v>
      </c>
      <c r="B8">
        <v>6433876.4999999972</v>
      </c>
    </row>
    <row r="9" spans="1:2" x14ac:dyDescent="0.3">
      <c r="A9" s="5" t="s">
        <v>4020</v>
      </c>
      <c r="B9">
        <v>30265867.04999999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20EBC-EFDE-48EE-A699-666B27EA980D}">
  <dimension ref="A1:D2"/>
  <sheetViews>
    <sheetView showGridLines="0" topLeftCell="A3" workbookViewId="0">
      <selection activeCell="I2" sqref="I2"/>
    </sheetView>
  </sheetViews>
  <sheetFormatPr defaultRowHeight="14.4" x14ac:dyDescent="0.3"/>
  <cols>
    <col min="1" max="1" width="19.109375" customWidth="1"/>
    <col min="2" max="2" width="16.33203125" customWidth="1"/>
    <col min="3" max="3" width="25.21875" customWidth="1"/>
    <col min="4" max="4" width="24.33203125" customWidth="1"/>
  </cols>
  <sheetData>
    <row r="1" spans="1:4" ht="18" x14ac:dyDescent="0.35">
      <c r="A1" s="13" t="s">
        <v>4038</v>
      </c>
      <c r="B1" s="13" t="s">
        <v>4039</v>
      </c>
      <c r="C1" s="13" t="s">
        <v>4040</v>
      </c>
      <c r="D1" s="13" t="s">
        <v>4041</v>
      </c>
    </row>
    <row r="2" spans="1:4" ht="18" x14ac:dyDescent="0.35">
      <c r="A2" s="14">
        <f>SUM(Table1[Net Sales])</f>
        <v>30265867.050000012</v>
      </c>
      <c r="B2" s="15">
        <f>COUNTA(Table1[Transaction ID])</f>
        <v>2000</v>
      </c>
      <c r="C2" s="14">
        <f>SUM(Table1[Net Sales]) / COUNTA(Table1[Transaction ID])</f>
        <v>15132.933525000006</v>
      </c>
      <c r="D2" s="14">
        <f>SUM(Table1[Discount Amount])</f>
        <v>2040668.9499999997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A4B3E-6623-45F8-A73F-4248BED6B36E}">
  <dimension ref="A1:R34"/>
  <sheetViews>
    <sheetView showGridLines="0" tabSelected="1" topLeftCell="A10" workbookViewId="0">
      <selection activeCell="S22" sqref="S22"/>
    </sheetView>
  </sheetViews>
  <sheetFormatPr defaultRowHeight="14.4" x14ac:dyDescent="0.3"/>
  <cols>
    <col min="1" max="1" width="9.21875" customWidth="1"/>
    <col min="6" max="6" width="10.44140625" customWidth="1"/>
  </cols>
  <sheetData>
    <row r="1" spans="1:18" ht="28.8" x14ac:dyDescent="0.55000000000000004">
      <c r="A1" s="12" t="s">
        <v>4052</v>
      </c>
      <c r="B1" s="8"/>
      <c r="C1" s="8"/>
      <c r="D1" s="9"/>
      <c r="E1" s="9"/>
    </row>
    <row r="2" spans="1:18" x14ac:dyDescent="0.3">
      <c r="A2" s="6"/>
    </row>
    <row r="3" spans="1:18" s="10" customFormat="1" ht="17.399999999999999" customHeight="1" x14ac:dyDescent="0.3">
      <c r="A3" s="11" t="s">
        <v>4042</v>
      </c>
    </row>
    <row r="4" spans="1:18" s="17" customFormat="1" ht="15.6" x14ac:dyDescent="0.3">
      <c r="A4" s="16" t="s">
        <v>4043</v>
      </c>
      <c r="B4" s="16"/>
      <c r="C4" s="16"/>
      <c r="D4" s="16"/>
      <c r="E4" s="16"/>
      <c r="F4" s="16"/>
      <c r="G4" s="16"/>
      <c r="H4" s="16"/>
      <c r="I4" s="16"/>
      <c r="J4" s="16"/>
      <c r="K4" s="16"/>
      <c r="L4" s="16"/>
      <c r="M4" s="16"/>
      <c r="N4" s="16"/>
      <c r="O4" s="16"/>
      <c r="P4" s="16"/>
      <c r="Q4" s="16"/>
      <c r="R4" s="16"/>
    </row>
    <row r="6" spans="1:18" s="10" customFormat="1" ht="15.6" x14ac:dyDescent="0.3">
      <c r="A6" s="11" t="s">
        <v>4044</v>
      </c>
    </row>
    <row r="7" spans="1:18" s="17" customFormat="1" ht="15.6" x14ac:dyDescent="0.3">
      <c r="A7" s="16" t="s">
        <v>4045</v>
      </c>
      <c r="B7" s="16"/>
      <c r="C7" s="16"/>
      <c r="D7" s="16"/>
      <c r="E7" s="16"/>
      <c r="F7" s="16"/>
      <c r="G7" s="16"/>
      <c r="H7" s="16"/>
      <c r="I7" s="16"/>
      <c r="J7" s="16"/>
      <c r="K7" s="16"/>
      <c r="L7" s="16"/>
      <c r="M7" s="16"/>
      <c r="N7" s="16"/>
    </row>
    <row r="9" spans="1:18" s="10" customFormat="1" ht="15.6" x14ac:dyDescent="0.3">
      <c r="A9" s="11" t="s">
        <v>4046</v>
      </c>
    </row>
    <row r="10" spans="1:18" s="16" customFormat="1" ht="15.6" x14ac:dyDescent="0.3">
      <c r="A10" s="16" t="s">
        <v>4047</v>
      </c>
    </row>
    <row r="12" spans="1:18" s="10" customFormat="1" ht="15.6" x14ac:dyDescent="0.3">
      <c r="A12" s="11" t="s">
        <v>4048</v>
      </c>
    </row>
    <row r="13" spans="1:18" s="16" customFormat="1" ht="15.6" x14ac:dyDescent="0.3">
      <c r="A13" s="16" t="s">
        <v>4049</v>
      </c>
    </row>
    <row r="15" spans="1:18" s="10" customFormat="1" ht="15.6" x14ac:dyDescent="0.3">
      <c r="A15" s="11" t="s">
        <v>4050</v>
      </c>
    </row>
    <row r="16" spans="1:18" s="16" customFormat="1" ht="15.6" x14ac:dyDescent="0.3">
      <c r="A16" s="16" t="s">
        <v>4051</v>
      </c>
    </row>
    <row r="19" spans="1:4" ht="28.8" x14ac:dyDescent="0.55000000000000004">
      <c r="A19" s="12" t="s">
        <v>4053</v>
      </c>
      <c r="B19" s="12"/>
      <c r="C19" s="9"/>
      <c r="D19" s="9"/>
    </row>
    <row r="21" spans="1:4" s="10" customFormat="1" ht="15.6" x14ac:dyDescent="0.3">
      <c r="A21" s="11" t="s">
        <v>4054</v>
      </c>
    </row>
    <row r="22" spans="1:4" s="16" customFormat="1" ht="15.6" x14ac:dyDescent="0.3">
      <c r="A22" s="16" t="s">
        <v>4055</v>
      </c>
    </row>
    <row r="24" spans="1:4" x14ac:dyDescent="0.3">
      <c r="A24" s="7" t="s">
        <v>4056</v>
      </c>
    </row>
    <row r="25" spans="1:4" s="16" customFormat="1" ht="15.6" x14ac:dyDescent="0.3">
      <c r="A25" s="16" t="s">
        <v>4057</v>
      </c>
    </row>
    <row r="27" spans="1:4" s="10" customFormat="1" ht="15.6" x14ac:dyDescent="0.3">
      <c r="A27" s="11" t="s">
        <v>4058</v>
      </c>
    </row>
    <row r="28" spans="1:4" s="16" customFormat="1" ht="15.6" x14ac:dyDescent="0.3">
      <c r="A28" s="16" t="s">
        <v>4059</v>
      </c>
    </row>
    <row r="30" spans="1:4" s="10" customFormat="1" ht="15.6" x14ac:dyDescent="0.3">
      <c r="A30" s="11" t="s">
        <v>4060</v>
      </c>
    </row>
    <row r="31" spans="1:4" s="16" customFormat="1" ht="15.6" x14ac:dyDescent="0.3">
      <c r="A31" s="16" t="s">
        <v>4061</v>
      </c>
    </row>
    <row r="33" spans="1:1" s="10" customFormat="1" ht="15.6" x14ac:dyDescent="0.3">
      <c r="A33" s="11" t="s">
        <v>4062</v>
      </c>
    </row>
    <row r="34" spans="1:1" s="16" customFormat="1" ht="15.6" x14ac:dyDescent="0.3">
      <c r="A34" s="16" t="s">
        <v>4063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retal sales datesheet</vt:lpstr>
      <vt:lpstr>Net Sales by Product Category</vt:lpstr>
      <vt:lpstr>Net Sales by City</vt:lpstr>
      <vt:lpstr>Monthly Net Sales Trend</vt:lpstr>
      <vt:lpstr>gender wise sales</vt:lpstr>
      <vt:lpstr>Age wise sales</vt:lpstr>
      <vt:lpstr>Payment mode wise sale</vt:lpstr>
      <vt:lpstr>Dashboard</vt:lpstr>
      <vt:lpstr>Insights &amp; 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piyush kadve</cp:lastModifiedBy>
  <dcterms:created xsi:type="dcterms:W3CDTF">2026-01-16T08:01:15Z</dcterms:created>
  <dcterms:modified xsi:type="dcterms:W3CDTF">2026-01-21T08:41:39Z</dcterms:modified>
</cp:coreProperties>
</file>